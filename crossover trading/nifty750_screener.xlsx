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meet\Downloads\"/>
    </mc:Choice>
  </mc:AlternateContent>
  <xr:revisionPtr revIDLastSave="0" documentId="13_ncr:1_{0BFC5A4B-7BCA-48DA-B015-B75FA053C4D1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trategy Parameters" sheetId="1" r:id="rId1"/>
    <sheet name="Ticker Data" sheetId="2" r:id="rId2"/>
    <sheet name="Screener &amp; Ranking" sheetId="3" r:id="rId3"/>
    <sheet name="Top 20 Signal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3" i="4" l="1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L54" i="3"/>
  <c r="K54" i="3"/>
  <c r="J54" i="3"/>
  <c r="I54" i="3"/>
  <c r="H54" i="3"/>
  <c r="G54" i="3"/>
  <c r="F54" i="3"/>
  <c r="E54" i="3"/>
  <c r="D54" i="3"/>
  <c r="C54" i="3"/>
  <c r="B54" i="3"/>
  <c r="A54" i="3"/>
  <c r="L53" i="3"/>
  <c r="K53" i="3"/>
  <c r="J53" i="3"/>
  <c r="I53" i="3"/>
  <c r="H53" i="3"/>
  <c r="G53" i="3"/>
  <c r="F53" i="3"/>
  <c r="E53" i="3"/>
  <c r="D53" i="3"/>
  <c r="C53" i="3"/>
  <c r="P53" i="3" s="1"/>
  <c r="B53" i="3"/>
  <c r="A53" i="3"/>
  <c r="L52" i="3"/>
  <c r="K52" i="3"/>
  <c r="J52" i="3"/>
  <c r="I52" i="3"/>
  <c r="H52" i="3"/>
  <c r="G52" i="3"/>
  <c r="F52" i="3"/>
  <c r="E52" i="3"/>
  <c r="D52" i="3"/>
  <c r="C52" i="3"/>
  <c r="N52" i="3" s="1"/>
  <c r="B52" i="3"/>
  <c r="A52" i="3"/>
  <c r="L51" i="3"/>
  <c r="K51" i="3"/>
  <c r="J51" i="3"/>
  <c r="I51" i="3"/>
  <c r="H51" i="3"/>
  <c r="G51" i="3"/>
  <c r="F51" i="3"/>
  <c r="E51" i="3"/>
  <c r="D51" i="3"/>
  <c r="C51" i="3"/>
  <c r="N51" i="3" s="1"/>
  <c r="B51" i="3"/>
  <c r="A51" i="3"/>
  <c r="S51" i="3" s="1"/>
  <c r="L50" i="3"/>
  <c r="K50" i="3"/>
  <c r="J50" i="3"/>
  <c r="I50" i="3"/>
  <c r="H50" i="3"/>
  <c r="G50" i="3"/>
  <c r="F50" i="3"/>
  <c r="E50" i="3"/>
  <c r="D50" i="3"/>
  <c r="S50" i="3" s="1"/>
  <c r="C50" i="3"/>
  <c r="B50" i="3"/>
  <c r="A50" i="3"/>
  <c r="L49" i="3"/>
  <c r="K49" i="3"/>
  <c r="J49" i="3"/>
  <c r="I49" i="3"/>
  <c r="H49" i="3"/>
  <c r="G49" i="3"/>
  <c r="F49" i="3"/>
  <c r="E49" i="3"/>
  <c r="D49" i="3"/>
  <c r="C49" i="3"/>
  <c r="P49" i="3" s="1"/>
  <c r="B49" i="3"/>
  <c r="A49" i="3"/>
  <c r="S49" i="3" s="1"/>
  <c r="L48" i="3"/>
  <c r="K48" i="3"/>
  <c r="J48" i="3"/>
  <c r="I48" i="3"/>
  <c r="H48" i="3"/>
  <c r="G48" i="3"/>
  <c r="F48" i="3"/>
  <c r="E48" i="3"/>
  <c r="D48" i="3"/>
  <c r="C48" i="3"/>
  <c r="B48" i="3"/>
  <c r="A48" i="3"/>
  <c r="L47" i="3"/>
  <c r="K47" i="3"/>
  <c r="J47" i="3"/>
  <c r="O47" i="3" s="1"/>
  <c r="I47" i="3"/>
  <c r="H47" i="3"/>
  <c r="G47" i="3"/>
  <c r="F47" i="3"/>
  <c r="E47" i="3"/>
  <c r="D47" i="3"/>
  <c r="C47" i="3"/>
  <c r="P47" i="3" s="1"/>
  <c r="B47" i="3"/>
  <c r="A47" i="3"/>
  <c r="L46" i="3"/>
  <c r="K46" i="3"/>
  <c r="J46" i="3"/>
  <c r="I46" i="3"/>
  <c r="H46" i="3"/>
  <c r="G46" i="3"/>
  <c r="F46" i="3"/>
  <c r="E46" i="3"/>
  <c r="D46" i="3"/>
  <c r="C46" i="3"/>
  <c r="N46" i="3" s="1"/>
  <c r="B46" i="3"/>
  <c r="A46" i="3"/>
  <c r="S46" i="3" s="1"/>
  <c r="P45" i="3"/>
  <c r="L45" i="3"/>
  <c r="K45" i="3"/>
  <c r="J45" i="3"/>
  <c r="I45" i="3"/>
  <c r="H45" i="3"/>
  <c r="G45" i="3"/>
  <c r="F45" i="3"/>
  <c r="E45" i="3"/>
  <c r="D45" i="3"/>
  <c r="C45" i="3"/>
  <c r="B45" i="3"/>
  <c r="A45" i="3"/>
  <c r="L44" i="3"/>
  <c r="K44" i="3"/>
  <c r="J44" i="3"/>
  <c r="I44" i="3"/>
  <c r="H44" i="3"/>
  <c r="G44" i="3"/>
  <c r="F44" i="3"/>
  <c r="E44" i="3"/>
  <c r="D44" i="3"/>
  <c r="C44" i="3"/>
  <c r="B44" i="3"/>
  <c r="A44" i="3"/>
  <c r="S44" i="3" s="1"/>
  <c r="S43" i="3"/>
  <c r="L43" i="3"/>
  <c r="K43" i="3"/>
  <c r="J43" i="3"/>
  <c r="I43" i="3"/>
  <c r="H43" i="3"/>
  <c r="G43" i="3"/>
  <c r="F43" i="3"/>
  <c r="E43" i="3"/>
  <c r="D43" i="3"/>
  <c r="C43" i="3"/>
  <c r="B43" i="3"/>
  <c r="A43" i="3"/>
  <c r="L42" i="3"/>
  <c r="K42" i="3"/>
  <c r="J42" i="3"/>
  <c r="I42" i="3"/>
  <c r="H42" i="3"/>
  <c r="G42" i="3"/>
  <c r="F42" i="3"/>
  <c r="E42" i="3"/>
  <c r="D42" i="3"/>
  <c r="C42" i="3"/>
  <c r="B42" i="3"/>
  <c r="A42" i="3"/>
  <c r="L41" i="3"/>
  <c r="K41" i="3"/>
  <c r="J41" i="3"/>
  <c r="I41" i="3"/>
  <c r="H41" i="3"/>
  <c r="G41" i="3"/>
  <c r="F41" i="3"/>
  <c r="E41" i="3"/>
  <c r="D41" i="3"/>
  <c r="C41" i="3"/>
  <c r="P41" i="3" s="1"/>
  <c r="B41" i="3"/>
  <c r="A41" i="3"/>
  <c r="L40" i="3"/>
  <c r="K40" i="3"/>
  <c r="J40" i="3"/>
  <c r="I40" i="3"/>
  <c r="H40" i="3"/>
  <c r="G40" i="3"/>
  <c r="F40" i="3"/>
  <c r="E40" i="3"/>
  <c r="D40" i="3"/>
  <c r="C40" i="3"/>
  <c r="N40" i="3" s="1"/>
  <c r="B40" i="3"/>
  <c r="A40" i="3"/>
  <c r="L39" i="3"/>
  <c r="K39" i="3"/>
  <c r="J39" i="3"/>
  <c r="O39" i="3" s="1"/>
  <c r="I39" i="3"/>
  <c r="H39" i="3"/>
  <c r="G39" i="3"/>
  <c r="F39" i="3"/>
  <c r="E39" i="3"/>
  <c r="D39" i="3"/>
  <c r="C39" i="3"/>
  <c r="N39" i="3" s="1"/>
  <c r="B39" i="3"/>
  <c r="A39" i="3"/>
  <c r="L38" i="3"/>
  <c r="K38" i="3"/>
  <c r="J38" i="3"/>
  <c r="I38" i="3"/>
  <c r="H38" i="3"/>
  <c r="G38" i="3"/>
  <c r="F38" i="3"/>
  <c r="E38" i="3"/>
  <c r="D38" i="3"/>
  <c r="C38" i="3"/>
  <c r="N38" i="3" s="1"/>
  <c r="B38" i="3"/>
  <c r="A38" i="3"/>
  <c r="L37" i="3"/>
  <c r="K37" i="3"/>
  <c r="J37" i="3"/>
  <c r="I37" i="3"/>
  <c r="H37" i="3"/>
  <c r="G37" i="3"/>
  <c r="F37" i="3"/>
  <c r="E37" i="3"/>
  <c r="D37" i="3"/>
  <c r="C37" i="3"/>
  <c r="B37" i="3"/>
  <c r="A37" i="3"/>
  <c r="L36" i="3"/>
  <c r="K36" i="3"/>
  <c r="J36" i="3"/>
  <c r="I36" i="3"/>
  <c r="H36" i="3"/>
  <c r="G36" i="3"/>
  <c r="F36" i="3"/>
  <c r="E36" i="3"/>
  <c r="D36" i="3"/>
  <c r="C36" i="3"/>
  <c r="B36" i="3"/>
  <c r="A36" i="3"/>
  <c r="P35" i="3"/>
  <c r="L35" i="3"/>
  <c r="K35" i="3"/>
  <c r="J35" i="3"/>
  <c r="I35" i="3"/>
  <c r="H35" i="3"/>
  <c r="G35" i="3"/>
  <c r="F35" i="3"/>
  <c r="E35" i="3"/>
  <c r="D35" i="3"/>
  <c r="C35" i="3"/>
  <c r="B35" i="3"/>
  <c r="A35" i="3"/>
  <c r="L34" i="3"/>
  <c r="K34" i="3"/>
  <c r="J34" i="3"/>
  <c r="I34" i="3"/>
  <c r="H34" i="3"/>
  <c r="G34" i="3"/>
  <c r="F34" i="3"/>
  <c r="E34" i="3"/>
  <c r="D34" i="3"/>
  <c r="C34" i="3"/>
  <c r="B34" i="3"/>
  <c r="A34" i="3"/>
  <c r="L33" i="3"/>
  <c r="K33" i="3"/>
  <c r="J33" i="3"/>
  <c r="I33" i="3"/>
  <c r="H33" i="3"/>
  <c r="G33" i="3"/>
  <c r="F33" i="3"/>
  <c r="E33" i="3"/>
  <c r="S33" i="3" s="1"/>
  <c r="R33" i="3" s="1"/>
  <c r="D33" i="3"/>
  <c r="C33" i="3"/>
  <c r="N33" i="3" s="1"/>
  <c r="B33" i="3"/>
  <c r="A33" i="3"/>
  <c r="L32" i="3"/>
  <c r="K32" i="3"/>
  <c r="J32" i="3"/>
  <c r="I32" i="3"/>
  <c r="H32" i="3"/>
  <c r="G32" i="3"/>
  <c r="F32" i="3"/>
  <c r="E32" i="3"/>
  <c r="D32" i="3"/>
  <c r="C32" i="3"/>
  <c r="B32" i="3"/>
  <c r="A32" i="3"/>
  <c r="S32" i="3" s="1"/>
  <c r="R32" i="3" s="1"/>
  <c r="L31" i="3"/>
  <c r="K31" i="3"/>
  <c r="J31" i="3"/>
  <c r="I31" i="3"/>
  <c r="H31" i="3"/>
  <c r="G31" i="3"/>
  <c r="F31" i="3"/>
  <c r="E31" i="3"/>
  <c r="D31" i="3"/>
  <c r="C31" i="3"/>
  <c r="N31" i="3" s="1"/>
  <c r="B31" i="3"/>
  <c r="A31" i="3"/>
  <c r="L30" i="3"/>
  <c r="K30" i="3"/>
  <c r="J30" i="3"/>
  <c r="I30" i="3"/>
  <c r="H30" i="3"/>
  <c r="G30" i="3"/>
  <c r="F30" i="3"/>
  <c r="E30" i="3"/>
  <c r="D30" i="3"/>
  <c r="C30" i="3"/>
  <c r="N30" i="3" s="1"/>
  <c r="B30" i="3"/>
  <c r="A30" i="3"/>
  <c r="P29" i="3"/>
  <c r="L29" i="3"/>
  <c r="K29" i="3"/>
  <c r="J29" i="3"/>
  <c r="I29" i="3"/>
  <c r="H29" i="3"/>
  <c r="G29" i="3"/>
  <c r="F29" i="3"/>
  <c r="E29" i="3"/>
  <c r="D29" i="3"/>
  <c r="C29" i="3"/>
  <c r="B29" i="3"/>
  <c r="A29" i="3"/>
  <c r="L28" i="3"/>
  <c r="K28" i="3"/>
  <c r="J28" i="3"/>
  <c r="I28" i="3"/>
  <c r="H28" i="3"/>
  <c r="G28" i="3"/>
  <c r="F28" i="3"/>
  <c r="E28" i="3"/>
  <c r="D28" i="3"/>
  <c r="C28" i="3"/>
  <c r="B28" i="3"/>
  <c r="A28" i="3"/>
  <c r="L27" i="3"/>
  <c r="K27" i="3"/>
  <c r="J27" i="3"/>
  <c r="I27" i="3"/>
  <c r="H27" i="3"/>
  <c r="G27" i="3"/>
  <c r="F27" i="3"/>
  <c r="E27" i="3"/>
  <c r="D27" i="3"/>
  <c r="C27" i="3"/>
  <c r="N27" i="3" s="1"/>
  <c r="B27" i="3"/>
  <c r="A27" i="3"/>
  <c r="L26" i="3"/>
  <c r="K26" i="3"/>
  <c r="J26" i="3"/>
  <c r="I26" i="3"/>
  <c r="H26" i="3"/>
  <c r="G26" i="3"/>
  <c r="F26" i="3"/>
  <c r="E26" i="3"/>
  <c r="D26" i="3"/>
  <c r="C26" i="3"/>
  <c r="B26" i="3"/>
  <c r="A26" i="3"/>
  <c r="S26" i="3" s="1"/>
  <c r="R26" i="3" s="1"/>
  <c r="L25" i="3"/>
  <c r="K25" i="3"/>
  <c r="J25" i="3"/>
  <c r="I25" i="3"/>
  <c r="N25" i="3" s="1"/>
  <c r="H25" i="3"/>
  <c r="G25" i="3"/>
  <c r="F25" i="3"/>
  <c r="E25" i="3"/>
  <c r="D25" i="3"/>
  <c r="C25" i="3"/>
  <c r="P25" i="3" s="1"/>
  <c r="B25" i="3"/>
  <c r="A25" i="3"/>
  <c r="S25" i="3" s="1"/>
  <c r="L24" i="3"/>
  <c r="K24" i="3"/>
  <c r="J24" i="3"/>
  <c r="I24" i="3"/>
  <c r="H24" i="3"/>
  <c r="G24" i="3"/>
  <c r="F24" i="3"/>
  <c r="E24" i="3"/>
  <c r="D24" i="3"/>
  <c r="C24" i="3"/>
  <c r="B24" i="3"/>
  <c r="A24" i="3"/>
  <c r="L23" i="3"/>
  <c r="K23" i="3"/>
  <c r="J23" i="3"/>
  <c r="I23" i="3"/>
  <c r="H23" i="3"/>
  <c r="G23" i="3"/>
  <c r="F23" i="3"/>
  <c r="E23" i="3"/>
  <c r="D23" i="3"/>
  <c r="C23" i="3"/>
  <c r="P23" i="3" s="1"/>
  <c r="B23" i="3"/>
  <c r="A23" i="3"/>
  <c r="L22" i="3"/>
  <c r="K22" i="3"/>
  <c r="J22" i="3"/>
  <c r="I22" i="3"/>
  <c r="H22" i="3"/>
  <c r="G22" i="3"/>
  <c r="F22" i="3"/>
  <c r="E22" i="3"/>
  <c r="D22" i="3"/>
  <c r="C22" i="3"/>
  <c r="B22" i="3"/>
  <c r="A22" i="3"/>
  <c r="L21" i="3"/>
  <c r="K21" i="3"/>
  <c r="J21" i="3"/>
  <c r="O21" i="3" s="1"/>
  <c r="I21" i="3"/>
  <c r="H21" i="3"/>
  <c r="G21" i="3"/>
  <c r="F21" i="3"/>
  <c r="E21" i="3"/>
  <c r="D21" i="3"/>
  <c r="C21" i="3"/>
  <c r="B21" i="3"/>
  <c r="A21" i="3"/>
  <c r="L20" i="3"/>
  <c r="K20" i="3"/>
  <c r="J20" i="3"/>
  <c r="I20" i="3"/>
  <c r="H20" i="3"/>
  <c r="G20" i="3"/>
  <c r="F20" i="3"/>
  <c r="E20" i="3"/>
  <c r="D20" i="3"/>
  <c r="C20" i="3"/>
  <c r="B20" i="3"/>
  <c r="A20" i="3"/>
  <c r="L19" i="3"/>
  <c r="K19" i="3"/>
  <c r="J19" i="3"/>
  <c r="I19" i="3"/>
  <c r="H19" i="3"/>
  <c r="G19" i="3"/>
  <c r="F19" i="3"/>
  <c r="E19" i="3"/>
  <c r="D19" i="3"/>
  <c r="S19" i="3" s="1"/>
  <c r="C19" i="3"/>
  <c r="B19" i="3"/>
  <c r="A19" i="3"/>
  <c r="R19" i="3" s="1"/>
  <c r="L18" i="3"/>
  <c r="K18" i="3"/>
  <c r="J18" i="3"/>
  <c r="I18" i="3"/>
  <c r="H18" i="3"/>
  <c r="G18" i="3"/>
  <c r="F18" i="3"/>
  <c r="E18" i="3"/>
  <c r="D18" i="3"/>
  <c r="C18" i="3"/>
  <c r="B18" i="3"/>
  <c r="A18" i="3"/>
  <c r="S18" i="3" s="1"/>
  <c r="N17" i="3"/>
  <c r="L17" i="3"/>
  <c r="K17" i="3"/>
  <c r="J17" i="3"/>
  <c r="I17" i="3"/>
  <c r="H17" i="3"/>
  <c r="G17" i="3"/>
  <c r="F17" i="3"/>
  <c r="E17" i="3"/>
  <c r="D17" i="3"/>
  <c r="C17" i="3"/>
  <c r="P17" i="3" s="1"/>
  <c r="B17" i="3"/>
  <c r="A17" i="3"/>
  <c r="L16" i="3"/>
  <c r="K16" i="3"/>
  <c r="J16" i="3"/>
  <c r="I16" i="3"/>
  <c r="H16" i="3"/>
  <c r="G16" i="3"/>
  <c r="F16" i="3"/>
  <c r="E16" i="3"/>
  <c r="D16" i="3"/>
  <c r="C16" i="3"/>
  <c r="B16" i="3"/>
  <c r="A16" i="3"/>
  <c r="S16" i="3" s="1"/>
  <c r="R16" i="3" s="1"/>
  <c r="T16" i="3" s="1"/>
  <c r="L15" i="3"/>
  <c r="K15" i="3"/>
  <c r="J15" i="3"/>
  <c r="I15" i="3"/>
  <c r="H15" i="3"/>
  <c r="G15" i="3"/>
  <c r="F15" i="3"/>
  <c r="E15" i="3"/>
  <c r="D15" i="3"/>
  <c r="C15" i="3"/>
  <c r="P15" i="3" s="1"/>
  <c r="B15" i="3"/>
  <c r="A15" i="3"/>
  <c r="L14" i="3"/>
  <c r="K14" i="3"/>
  <c r="J14" i="3"/>
  <c r="I14" i="3"/>
  <c r="H14" i="3"/>
  <c r="G14" i="3"/>
  <c r="F14" i="3"/>
  <c r="E14" i="3"/>
  <c r="D14" i="3"/>
  <c r="C14" i="3"/>
  <c r="B14" i="3"/>
  <c r="A14" i="3"/>
  <c r="L13" i="3"/>
  <c r="K13" i="3"/>
  <c r="J13" i="3"/>
  <c r="I13" i="3"/>
  <c r="H13" i="3"/>
  <c r="G13" i="3"/>
  <c r="F13" i="3"/>
  <c r="E13" i="3"/>
  <c r="D13" i="3"/>
  <c r="C13" i="3"/>
  <c r="B13" i="3"/>
  <c r="A13" i="3"/>
  <c r="L12" i="3"/>
  <c r="K12" i="3"/>
  <c r="J12" i="3"/>
  <c r="I12" i="3"/>
  <c r="H12" i="3"/>
  <c r="G12" i="3"/>
  <c r="F12" i="3"/>
  <c r="E12" i="3"/>
  <c r="D12" i="3"/>
  <c r="C12" i="3"/>
  <c r="B12" i="3"/>
  <c r="A12" i="3"/>
  <c r="L11" i="3"/>
  <c r="K11" i="3"/>
  <c r="J11" i="3"/>
  <c r="I11" i="3"/>
  <c r="H11" i="3"/>
  <c r="G11" i="3"/>
  <c r="F11" i="3"/>
  <c r="E11" i="3"/>
  <c r="D11" i="3"/>
  <c r="C11" i="3"/>
  <c r="B11" i="3"/>
  <c r="A11" i="3"/>
  <c r="L10" i="3"/>
  <c r="K10" i="3"/>
  <c r="J10" i="3"/>
  <c r="I10" i="3"/>
  <c r="H10" i="3"/>
  <c r="G10" i="3"/>
  <c r="F10" i="3"/>
  <c r="E10" i="3"/>
  <c r="D10" i="3"/>
  <c r="C10" i="3"/>
  <c r="B10" i="3"/>
  <c r="A10" i="3"/>
  <c r="S10" i="3" s="1"/>
  <c r="L9" i="3"/>
  <c r="K9" i="3"/>
  <c r="J9" i="3"/>
  <c r="I9" i="3"/>
  <c r="H9" i="3"/>
  <c r="G9" i="3"/>
  <c r="F9" i="3"/>
  <c r="E9" i="3"/>
  <c r="D9" i="3"/>
  <c r="C9" i="3"/>
  <c r="B9" i="3"/>
  <c r="A9" i="3"/>
  <c r="L8" i="3"/>
  <c r="K8" i="3"/>
  <c r="J8" i="3"/>
  <c r="I8" i="3"/>
  <c r="H8" i="3"/>
  <c r="G8" i="3"/>
  <c r="F8" i="3"/>
  <c r="E8" i="3"/>
  <c r="D8" i="3"/>
  <c r="C8" i="3"/>
  <c r="B8" i="3"/>
  <c r="A8" i="3"/>
  <c r="L7" i="3"/>
  <c r="K7" i="3"/>
  <c r="J7" i="3"/>
  <c r="I7" i="3"/>
  <c r="H7" i="3"/>
  <c r="G7" i="3"/>
  <c r="F7" i="3"/>
  <c r="E7" i="3"/>
  <c r="D7" i="3"/>
  <c r="C7" i="3"/>
  <c r="B7" i="3"/>
  <c r="A7" i="3"/>
  <c r="L6" i="3"/>
  <c r="K6" i="3"/>
  <c r="J6" i="3"/>
  <c r="I6" i="3"/>
  <c r="N13" i="3" s="1"/>
  <c r="H6" i="3"/>
  <c r="G6" i="3"/>
  <c r="F6" i="3"/>
  <c r="E6" i="3"/>
  <c r="D6" i="3"/>
  <c r="C6" i="3"/>
  <c r="B6" i="3"/>
  <c r="A6" i="3"/>
  <c r="L5" i="3"/>
  <c r="K5" i="3"/>
  <c r="J5" i="3"/>
  <c r="I5" i="3"/>
  <c r="H5" i="3"/>
  <c r="G5" i="3"/>
  <c r="F5" i="3"/>
  <c r="E5" i="3"/>
  <c r="D5" i="3"/>
  <c r="C5" i="3"/>
  <c r="B5" i="3"/>
  <c r="A5" i="3"/>
  <c r="N6" i="3" l="1"/>
  <c r="S7" i="3"/>
  <c r="N16" i="3"/>
  <c r="M21" i="3"/>
  <c r="Q21" i="3" s="1"/>
  <c r="O25" i="3"/>
  <c r="N28" i="3"/>
  <c r="N54" i="3"/>
  <c r="N37" i="3"/>
  <c r="N44" i="3"/>
  <c r="S9" i="3"/>
  <c r="R9" i="3" s="1"/>
  <c r="S17" i="3"/>
  <c r="P21" i="3"/>
  <c r="S28" i="3"/>
  <c r="R28" i="3" s="1"/>
  <c r="O41" i="3"/>
  <c r="R43" i="3"/>
  <c r="S48" i="3"/>
  <c r="N14" i="3"/>
  <c r="O9" i="3"/>
  <c r="S37" i="3"/>
  <c r="R37" i="3" s="1"/>
  <c r="T37" i="3" s="1"/>
  <c r="M7" i="3"/>
  <c r="P11" i="3"/>
  <c r="N9" i="3"/>
  <c r="T26" i="3"/>
  <c r="S31" i="3"/>
  <c r="S38" i="3"/>
  <c r="R38" i="3" s="1"/>
  <c r="P39" i="3"/>
  <c r="N43" i="3"/>
  <c r="O45" i="3"/>
  <c r="S8" i="3"/>
  <c r="S36" i="3"/>
  <c r="R36" i="3" s="1"/>
  <c r="N22" i="3"/>
  <c r="N24" i="3"/>
  <c r="P27" i="3"/>
  <c r="N36" i="3"/>
  <c r="S40" i="3"/>
  <c r="N12" i="3"/>
  <c r="N15" i="3"/>
  <c r="S27" i="3"/>
  <c r="O29" i="3"/>
  <c r="P31" i="3"/>
  <c r="N35" i="3"/>
  <c r="O37" i="3"/>
  <c r="S39" i="3"/>
  <c r="R39" i="3" s="1"/>
  <c r="N41" i="3"/>
  <c r="O43" i="3"/>
  <c r="S45" i="3"/>
  <c r="R45" i="3" s="1"/>
  <c r="R49" i="3"/>
  <c r="N53" i="3"/>
  <c r="N5" i="3"/>
  <c r="S5" i="3"/>
  <c r="O6" i="3"/>
  <c r="S12" i="3"/>
  <c r="R12" i="3" s="1"/>
  <c r="T12" i="3" s="1"/>
  <c r="O15" i="3"/>
  <c r="R17" i="3"/>
  <c r="O19" i="3"/>
  <c r="N23" i="3"/>
  <c r="R25" i="3"/>
  <c r="N29" i="3"/>
  <c r="R31" i="3"/>
  <c r="P37" i="3"/>
  <c r="P43" i="3"/>
  <c r="R46" i="3"/>
  <c r="N47" i="3"/>
  <c r="N10" i="3"/>
  <c r="O13" i="3"/>
  <c r="S14" i="3"/>
  <c r="M19" i="3"/>
  <c r="Q19" i="3" s="1"/>
  <c r="N21" i="3"/>
  <c r="S24" i="3"/>
  <c r="R24" i="3" s="1"/>
  <c r="T24" i="3" s="1"/>
  <c r="N34" i="3"/>
  <c r="O35" i="3"/>
  <c r="S42" i="3"/>
  <c r="R50" i="3"/>
  <c r="T50" i="3" s="1"/>
  <c r="O53" i="3"/>
  <c r="S6" i="3"/>
  <c r="R6" i="3" s="1"/>
  <c r="T6" i="3" s="1"/>
  <c r="O8" i="3"/>
  <c r="O11" i="3"/>
  <c r="S30" i="3"/>
  <c r="R30" i="3" s="1"/>
  <c r="T43" i="3"/>
  <c r="S11" i="3"/>
  <c r="R11" i="3" s="1"/>
  <c r="T11" i="3" s="1"/>
  <c r="O10" i="3"/>
  <c r="P13" i="3"/>
  <c r="S15" i="3"/>
  <c r="O17" i="3"/>
  <c r="N19" i="3"/>
  <c r="S22" i="3"/>
  <c r="R22" i="3" s="1"/>
  <c r="T22" i="3" s="1"/>
  <c r="S23" i="3"/>
  <c r="O33" i="3"/>
  <c r="S34" i="3"/>
  <c r="R34" i="3" s="1"/>
  <c r="R44" i="3"/>
  <c r="T44" i="3" s="1"/>
  <c r="N45" i="3"/>
  <c r="O49" i="3"/>
  <c r="O51" i="3"/>
  <c r="S13" i="3"/>
  <c r="P9" i="3"/>
  <c r="N11" i="3"/>
  <c r="P19" i="3"/>
  <c r="S20" i="3"/>
  <c r="S21" i="3"/>
  <c r="O27" i="3"/>
  <c r="S29" i="3"/>
  <c r="R29" i="3" s="1"/>
  <c r="T29" i="3" s="1"/>
  <c r="O31" i="3"/>
  <c r="P33" i="3"/>
  <c r="S35" i="3"/>
  <c r="R35" i="3" s="1"/>
  <c r="S41" i="3"/>
  <c r="R41" i="3" s="1"/>
  <c r="T41" i="3" s="1"/>
  <c r="S47" i="3"/>
  <c r="R47" i="3" s="1"/>
  <c r="T47" i="3" s="1"/>
  <c r="N49" i="3"/>
  <c r="P51" i="3"/>
  <c r="S52" i="3"/>
  <c r="R52" i="3" s="1"/>
  <c r="S53" i="3"/>
  <c r="R53" i="3" s="1"/>
  <c r="T53" i="3" s="1"/>
  <c r="O23" i="3"/>
  <c r="R42" i="3"/>
  <c r="T42" i="3" s="1"/>
  <c r="T46" i="3"/>
  <c r="R51" i="3"/>
  <c r="T51" i="3" s="1"/>
  <c r="R14" i="3"/>
  <c r="T14" i="3" s="1"/>
  <c r="R5" i="3"/>
  <c r="T5" i="3" s="1"/>
  <c r="R7" i="3"/>
  <c r="T7" i="3" s="1"/>
  <c r="R8" i="3"/>
  <c r="T8" i="3"/>
  <c r="P18" i="3"/>
  <c r="O18" i="3"/>
  <c r="M18" i="3"/>
  <c r="Q18" i="3" s="1"/>
  <c r="P50" i="3"/>
  <c r="O50" i="3"/>
  <c r="M50" i="3"/>
  <c r="P7" i="3"/>
  <c r="M5" i="3"/>
  <c r="P6" i="3"/>
  <c r="M6" i="3"/>
  <c r="R10" i="3"/>
  <c r="T10" i="3" s="1"/>
  <c r="P16" i="3"/>
  <c r="O16" i="3"/>
  <c r="M16" i="3"/>
  <c r="M17" i="3"/>
  <c r="Q17" i="3" s="1"/>
  <c r="P36" i="3"/>
  <c r="O36" i="3"/>
  <c r="Q36" i="3" s="1"/>
  <c r="M36" i="3"/>
  <c r="T45" i="3"/>
  <c r="R48" i="3"/>
  <c r="T48" i="3" s="1"/>
  <c r="P52" i="3"/>
  <c r="O52" i="3"/>
  <c r="Q52" i="3" s="1"/>
  <c r="M52" i="3"/>
  <c r="T9" i="3"/>
  <c r="O12" i="3"/>
  <c r="P32" i="3"/>
  <c r="O32" i="3"/>
  <c r="M32" i="3"/>
  <c r="Q32" i="3" s="1"/>
  <c r="P48" i="3"/>
  <c r="O48" i="3"/>
  <c r="M48" i="3"/>
  <c r="P5" i="3"/>
  <c r="N7" i="3"/>
  <c r="M9" i="3"/>
  <c r="Q9" i="3" s="1"/>
  <c r="N18" i="3"/>
  <c r="P22" i="3"/>
  <c r="O22" i="3"/>
  <c r="Q22" i="3" s="1"/>
  <c r="M22" i="3"/>
  <c r="M23" i="3"/>
  <c r="Q23" i="3" s="1"/>
  <c r="Q26" i="3"/>
  <c r="P30" i="3"/>
  <c r="O30" i="3"/>
  <c r="M30" i="3"/>
  <c r="Q30" i="3" s="1"/>
  <c r="T39" i="3"/>
  <c r="P46" i="3"/>
  <c r="O46" i="3"/>
  <c r="M46" i="3"/>
  <c r="Q46" i="3" s="1"/>
  <c r="N50" i="3"/>
  <c r="O5" i="3"/>
  <c r="P8" i="3"/>
  <c r="M8" i="3"/>
  <c r="P20" i="3"/>
  <c r="O20" i="3"/>
  <c r="Q20" i="3" s="1"/>
  <c r="M20" i="3"/>
  <c r="T25" i="3"/>
  <c r="O7" i="3"/>
  <c r="N8" i="3"/>
  <c r="P10" i="3"/>
  <c r="M10" i="3"/>
  <c r="R13" i="3"/>
  <c r="T13" i="3" s="1"/>
  <c r="R18" i="3"/>
  <c r="T18" i="3" s="1"/>
  <c r="N20" i="3"/>
  <c r="P24" i="3"/>
  <c r="O24" i="3"/>
  <c r="Q24" i="3" s="1"/>
  <c r="M24" i="3"/>
  <c r="M25" i="3"/>
  <c r="Q25" i="3" s="1"/>
  <c r="P28" i="3"/>
  <c r="O28" i="3"/>
  <c r="M28" i="3"/>
  <c r="Q28" i="3" s="1"/>
  <c r="N32" i="3"/>
  <c r="T36" i="3"/>
  <c r="R40" i="3"/>
  <c r="T40" i="3" s="1"/>
  <c r="P44" i="3"/>
  <c r="O44" i="3"/>
  <c r="M44" i="3"/>
  <c r="Q44" i="3" s="1"/>
  <c r="N48" i="3"/>
  <c r="Q48" i="3" s="1"/>
  <c r="M11" i="3"/>
  <c r="Q11" i="3" s="1"/>
  <c r="P26" i="3"/>
  <c r="O26" i="3"/>
  <c r="M26" i="3"/>
  <c r="P42" i="3"/>
  <c r="O42" i="3"/>
  <c r="M42" i="3"/>
  <c r="P12" i="3"/>
  <c r="M12" i="3"/>
  <c r="Q16" i="3"/>
  <c r="T17" i="3"/>
  <c r="T32" i="3"/>
  <c r="T33" i="3"/>
  <c r="P40" i="3"/>
  <c r="O40" i="3"/>
  <c r="M40" i="3"/>
  <c r="Q40" i="3" s="1"/>
  <c r="T49" i="3"/>
  <c r="P34" i="3"/>
  <c r="O34" i="3"/>
  <c r="M34" i="3"/>
  <c r="Q34" i="3" s="1"/>
  <c r="M13" i="3"/>
  <c r="Q13" i="3" s="1"/>
  <c r="P14" i="3"/>
  <c r="O14" i="3"/>
  <c r="M14" i="3"/>
  <c r="Q14" i="3" s="1"/>
  <c r="M15" i="3"/>
  <c r="Q15" i="3" s="1"/>
  <c r="T19" i="3"/>
  <c r="N26" i="3"/>
  <c r="T30" i="3"/>
  <c r="T31" i="3"/>
  <c r="P38" i="3"/>
  <c r="O38" i="3"/>
  <c r="Q38" i="3" s="1"/>
  <c r="M38" i="3"/>
  <c r="N42" i="3"/>
  <c r="P54" i="3"/>
  <c r="O54" i="3"/>
  <c r="M54" i="3"/>
  <c r="Q54" i="3" s="1"/>
  <c r="M27" i="3"/>
  <c r="Q27" i="3" s="1"/>
  <c r="M29" i="3"/>
  <c r="Q29" i="3" s="1"/>
  <c r="M31" i="3"/>
  <c r="Q31" i="3" s="1"/>
  <c r="M33" i="3"/>
  <c r="Q33" i="3" s="1"/>
  <c r="M35" i="3"/>
  <c r="Q35" i="3" s="1"/>
  <c r="M37" i="3"/>
  <c r="Q37" i="3" s="1"/>
  <c r="M39" i="3"/>
  <c r="Q39" i="3" s="1"/>
  <c r="M41" i="3"/>
  <c r="Q41" i="3" s="1"/>
  <c r="Q42" i="3"/>
  <c r="M43" i="3"/>
  <c r="Q43" i="3" s="1"/>
  <c r="M45" i="3"/>
  <c r="Q45" i="3" s="1"/>
  <c r="M47" i="3"/>
  <c r="Q47" i="3" s="1"/>
  <c r="M49" i="3"/>
  <c r="Q49" i="3" s="1"/>
  <c r="Q50" i="3"/>
  <c r="M51" i="3"/>
  <c r="Q51" i="3" s="1"/>
  <c r="M53" i="3"/>
  <c r="Q53" i="3" s="1"/>
  <c r="S54" i="3"/>
  <c r="R54" i="3" s="1"/>
  <c r="T54" i="3" s="1"/>
  <c r="Q5" i="3" l="1"/>
  <c r="T38" i="3"/>
  <c r="Q6" i="3"/>
  <c r="T28" i="3"/>
  <c r="Q8" i="3"/>
  <c r="Q12" i="3"/>
  <c r="Q10" i="3"/>
  <c r="T35" i="3"/>
  <c r="Q7" i="3"/>
  <c r="T34" i="3"/>
  <c r="T52" i="3"/>
  <c r="R21" i="3"/>
  <c r="T21" i="3" s="1"/>
  <c r="R20" i="3"/>
  <c r="T20" i="3" s="1"/>
  <c r="R23" i="3"/>
  <c r="T23" i="3" s="1"/>
  <c r="R15" i="3"/>
  <c r="T15" i="3" s="1"/>
  <c r="R27" i="3"/>
  <c r="T27" i="3" s="1"/>
  <c r="D18" i="4"/>
  <c r="D10" i="4"/>
  <c r="C22" i="4"/>
  <c r="E11" i="4"/>
  <c r="H21" i="4"/>
  <c r="H13" i="4"/>
  <c r="H5" i="4"/>
  <c r="C15" i="4"/>
  <c r="E4" i="4"/>
  <c r="D16" i="4"/>
  <c r="D8" i="4"/>
  <c r="G18" i="4"/>
  <c r="C8" i="4"/>
  <c r="G19" i="4"/>
  <c r="C9" i="4"/>
  <c r="B8" i="4"/>
  <c r="F18" i="4"/>
  <c r="E16" i="4" l="1"/>
  <c r="H15" i="4"/>
  <c r="E20" i="4"/>
  <c r="H19" i="4"/>
  <c r="G15" i="4"/>
  <c r="F5" i="4"/>
  <c r="F21" i="4"/>
  <c r="G21" i="4"/>
  <c r="B10" i="4"/>
  <c r="E7" i="4"/>
  <c r="C18" i="4"/>
  <c r="F7" i="4"/>
  <c r="F23" i="4"/>
  <c r="B12" i="4"/>
  <c r="D5" i="4"/>
  <c r="G7" i="4"/>
  <c r="E18" i="4"/>
  <c r="G6" i="4"/>
  <c r="E17" i="4"/>
  <c r="B7" i="4"/>
  <c r="B15" i="4"/>
  <c r="B23" i="4"/>
  <c r="G13" i="4"/>
  <c r="F4" i="4"/>
  <c r="F12" i="4"/>
  <c r="F20" i="4"/>
  <c r="C10" i="4"/>
  <c r="G20" i="4"/>
  <c r="B9" i="4"/>
  <c r="B17" i="4"/>
  <c r="E9" i="4"/>
  <c r="F17" i="4"/>
  <c r="G12" i="4"/>
  <c r="F6" i="4"/>
  <c r="F10" i="4"/>
  <c r="F14" i="4"/>
  <c r="G11" i="4"/>
  <c r="E22" i="4"/>
  <c r="G10" i="4"/>
  <c r="E21" i="4"/>
  <c r="H10" i="4"/>
  <c r="H18" i="4"/>
  <c r="C7" i="4"/>
  <c r="G17" i="4"/>
  <c r="D7" i="4"/>
  <c r="D15" i="4"/>
  <c r="D23" i="4"/>
  <c r="C14" i="4"/>
  <c r="H4" i="4"/>
  <c r="H12" i="4"/>
  <c r="H20" i="4"/>
  <c r="C21" i="4"/>
  <c r="G5" i="4"/>
  <c r="F19" i="4"/>
  <c r="D9" i="4"/>
  <c r="D13" i="4"/>
  <c r="D17" i="4"/>
  <c r="C13" i="4"/>
  <c r="G23" i="4"/>
  <c r="C12" i="4"/>
  <c r="G22" i="4"/>
  <c r="B11" i="4"/>
  <c r="B19" i="4"/>
  <c r="N19" i="4" s="1"/>
  <c r="E8" i="4"/>
  <c r="C19" i="4"/>
  <c r="F8" i="4"/>
  <c r="F16" i="4"/>
  <c r="G4" i="4"/>
  <c r="E15" i="4"/>
  <c r="B5" i="4"/>
  <c r="B13" i="4"/>
  <c r="N13" i="4" s="1"/>
  <c r="B21" i="4"/>
  <c r="H7" i="4"/>
  <c r="C20" i="4"/>
  <c r="B6" i="4"/>
  <c r="F11" i="4"/>
  <c r="E14" i="4"/>
  <c r="D4" i="4"/>
  <c r="D20" i="4"/>
  <c r="H9" i="4"/>
  <c r="C6" i="4"/>
  <c r="G16" i="4"/>
  <c r="D14" i="4"/>
  <c r="H11" i="4"/>
  <c r="B22" i="4"/>
  <c r="B16" i="4"/>
  <c r="E13" i="4"/>
  <c r="D6" i="4"/>
  <c r="D21" i="4"/>
  <c r="C5" i="4"/>
  <c r="G14" i="4"/>
  <c r="F13" i="4"/>
  <c r="C11" i="4"/>
  <c r="B18" i="4"/>
  <c r="F15" i="4"/>
  <c r="E10" i="4"/>
  <c r="F9" i="4"/>
  <c r="B14" i="4"/>
  <c r="E23" i="4"/>
  <c r="B20" i="4"/>
  <c r="H23" i="4"/>
  <c r="D12" i="4"/>
  <c r="G9" i="4"/>
  <c r="H17" i="4"/>
  <c r="D22" i="4"/>
  <c r="C4" i="4"/>
  <c r="B4" i="4"/>
  <c r="F22" i="4"/>
  <c r="E6" i="4"/>
  <c r="C17" i="4"/>
  <c r="E5" i="4"/>
  <c r="C16" i="4"/>
  <c r="H6" i="4"/>
  <c r="H14" i="4"/>
  <c r="H22" i="4"/>
  <c r="E12" i="4"/>
  <c r="C23" i="4"/>
  <c r="D11" i="4"/>
  <c r="D19" i="4"/>
  <c r="G8" i="4"/>
  <c r="E19" i="4"/>
  <c r="H8" i="4"/>
  <c r="H16" i="4"/>
  <c r="N23" i="4"/>
  <c r="M23" i="4"/>
  <c r="L23" i="4"/>
  <c r="K23" i="4"/>
  <c r="N17" i="4"/>
  <c r="M17" i="4"/>
  <c r="K17" i="4"/>
  <c r="L17" i="4"/>
  <c r="J19" i="4"/>
  <c r="I19" i="4"/>
  <c r="N4" i="4"/>
  <c r="M4" i="4"/>
  <c r="L4" i="4"/>
  <c r="K4" i="4"/>
  <c r="J6" i="4"/>
  <c r="I6" i="4"/>
  <c r="J14" i="4"/>
  <c r="I14" i="4"/>
  <c r="J22" i="4"/>
  <c r="I22" i="4"/>
  <c r="I8" i="4"/>
  <c r="J8" i="4"/>
  <c r="I16" i="4"/>
  <c r="J16" i="4"/>
  <c r="J21" i="4"/>
  <c r="I21" i="4"/>
  <c r="J7" i="4"/>
  <c r="I7" i="4"/>
  <c r="J11" i="4"/>
  <c r="I11" i="4"/>
  <c r="L6" i="4"/>
  <c r="K6" i="4"/>
  <c r="M6" i="4"/>
  <c r="N6" i="4"/>
  <c r="L14" i="4"/>
  <c r="K14" i="4"/>
  <c r="M14" i="4"/>
  <c r="N14" i="4"/>
  <c r="L22" i="4"/>
  <c r="K22" i="4"/>
  <c r="M22" i="4"/>
  <c r="N22" i="4"/>
  <c r="J10" i="4"/>
  <c r="I10" i="4"/>
  <c r="J18" i="4"/>
  <c r="I18" i="4"/>
  <c r="I4" i="4"/>
  <c r="J4" i="4"/>
  <c r="I12" i="4"/>
  <c r="J12" i="4"/>
  <c r="I20" i="4"/>
  <c r="J20" i="4"/>
  <c r="N8" i="4"/>
  <c r="M8" i="4"/>
  <c r="L8" i="4"/>
  <c r="K8" i="4"/>
  <c r="J5" i="4"/>
  <c r="I5" i="4"/>
  <c r="N11" i="4"/>
  <c r="M11" i="4"/>
  <c r="L11" i="4"/>
  <c r="K11" i="4"/>
  <c r="N5" i="4"/>
  <c r="M5" i="4"/>
  <c r="K5" i="4"/>
  <c r="L5" i="4"/>
  <c r="N21" i="4"/>
  <c r="M21" i="4"/>
  <c r="K21" i="4"/>
  <c r="L21" i="4"/>
  <c r="N15" i="4"/>
  <c r="M15" i="4"/>
  <c r="L15" i="4"/>
  <c r="K15" i="4"/>
  <c r="J13" i="4"/>
  <c r="I13" i="4"/>
  <c r="J15" i="4"/>
  <c r="I15" i="4"/>
  <c r="N16" i="4"/>
  <c r="M16" i="4"/>
  <c r="L16" i="4"/>
  <c r="K16" i="4"/>
  <c r="N20" i="4"/>
  <c r="M20" i="4"/>
  <c r="L20" i="4"/>
  <c r="K20" i="4"/>
  <c r="J23" i="4"/>
  <c r="I23" i="4"/>
  <c r="J9" i="4"/>
  <c r="I9" i="4"/>
  <c r="J17" i="4"/>
  <c r="I17" i="4"/>
  <c r="N12" i="4"/>
  <c r="M12" i="4"/>
  <c r="L12" i="4"/>
  <c r="K12" i="4"/>
  <c r="N7" i="4"/>
  <c r="M7" i="4"/>
  <c r="L7" i="4"/>
  <c r="K7" i="4"/>
  <c r="N9" i="4"/>
  <c r="M9" i="4"/>
  <c r="K9" i="4"/>
  <c r="L9" i="4"/>
  <c r="L10" i="4"/>
  <c r="K10" i="4"/>
  <c r="M10" i="4"/>
  <c r="N10" i="4"/>
  <c r="L18" i="4"/>
  <c r="K18" i="4"/>
  <c r="M18" i="4"/>
  <c r="N18" i="4"/>
  <c r="L13" i="4" l="1"/>
  <c r="K19" i="4"/>
  <c r="K13" i="4"/>
  <c r="L19" i="4"/>
  <c r="M19" i="4"/>
  <c r="M13" i="4"/>
</calcChain>
</file>

<file path=xl/sharedStrings.xml><?xml version="1.0" encoding="utf-8"?>
<sst xmlns="http://schemas.openxmlformats.org/spreadsheetml/2006/main" count="880" uniqueCount="866">
  <si>
    <t>⚙  STRATEGY PARAMETERS &amp; ASSUMPTIONS</t>
  </si>
  <si>
    <t>FILTER RULES</t>
  </si>
  <si>
    <t>Trend Filter</t>
  </si>
  <si>
    <t>Price &gt; 50 EMA &gt; 200 EMA &gt; 0</t>
  </si>
  <si>
    <t>All three must hold simultaneously</t>
  </si>
  <si>
    <t>52W High Proximity</t>
  </si>
  <si>
    <t>Price ≥ 52W High × 0.85</t>
  </si>
  <si>
    <t>Within 15% of 52-week high</t>
  </si>
  <si>
    <t>3M Breakout</t>
  </si>
  <si>
    <t>Price ≥ 3M High (65-day)</t>
  </si>
  <si>
    <t>Price making a new 65-day high</t>
  </si>
  <si>
    <t>Volume Surge</t>
  </si>
  <si>
    <t>1M Median Vol &gt; 3M Median Vol</t>
  </si>
  <si>
    <t>Rising accumulation confirmation</t>
  </si>
  <si>
    <t>RANKING WEIGHTS</t>
  </si>
  <si>
    <t>3M Momentum</t>
  </si>
  <si>
    <t>30%</t>
  </si>
  <si>
    <t>Percentile rank of 3-month return</t>
  </si>
  <si>
    <t>Volume Surge Ratio</t>
  </si>
  <si>
    <t>25%</t>
  </si>
  <si>
    <t>Percentile rank of 1M/3M volume ratio</t>
  </si>
  <si>
    <t>Breakout Strength</t>
  </si>
  <si>
    <t>Percentile rank of (Price−3M High)/3M High</t>
  </si>
  <si>
    <t>EMA Separation</t>
  </si>
  <si>
    <t>20%</t>
  </si>
  <si>
    <t>Percentile rank of (Price−50EMA)/50EMA</t>
  </si>
  <si>
    <t>TRADE MANAGEMENT</t>
  </si>
  <si>
    <t>Universe</t>
  </si>
  <si>
    <t>Nifty 750</t>
  </si>
  <si>
    <t>NSE listed Nifty 750 stocks</t>
  </si>
  <si>
    <t>Entry Day &amp; Time</t>
  </si>
  <si>
    <t>Every Monday at 3:00 PM</t>
  </si>
  <si>
    <t>Market order near close</t>
  </si>
  <si>
    <t>Max Positions</t>
  </si>
  <si>
    <t>20</t>
  </si>
  <si>
    <t>Equal weight allocation</t>
  </si>
  <si>
    <t>Position Size</t>
  </si>
  <si>
    <t>Portfolio ÷ 20</t>
  </si>
  <si>
    <t>Equal weight per trade</t>
  </si>
  <si>
    <t>Trailing Stop Loss</t>
  </si>
  <si>
    <t>Entry Price × 0.95</t>
  </si>
  <si>
    <t>5% TSL from entry</t>
  </si>
  <si>
    <t>Profit Target</t>
  </si>
  <si>
    <t>Entry Price × 1.10</t>
  </si>
  <si>
    <t>10% target per trade</t>
  </si>
  <si>
    <t>Max Holding Period</t>
  </si>
  <si>
    <t>1 Calendar Month</t>
  </si>
  <si>
    <t>Exit regardless on month-end</t>
  </si>
  <si>
    <t>Re-entry</t>
  </si>
  <si>
    <t>Allowed next Monday</t>
  </si>
  <si>
    <t>If stock re-qualifies after stop-out</t>
  </si>
  <si>
    <t>📊  NIFTY 750 MOMENTUM SCREENER  —  Ticker Data Input</t>
  </si>
  <si>
    <t>Enter OHLCV and indicator data below. Blue cells = manual inputs. Screener tab auto-calculates signals and ranking.</t>
  </si>
  <si>
    <t>Ticker</t>
  </si>
  <si>
    <t>Company Name</t>
  </si>
  <si>
    <t>Current Price</t>
  </si>
  <si>
    <t>50 EMA</t>
  </si>
  <si>
    <t>200 EMA</t>
  </si>
  <si>
    <t>52W High</t>
  </si>
  <si>
    <t>3M High
(65-day)</t>
  </si>
  <si>
    <t>3M Low
(65-day)</t>
  </si>
  <si>
    <t>1M Median
Volume</t>
  </si>
  <si>
    <t>3M Median
Volume</t>
  </si>
  <si>
    <t>3M Return %</t>
  </si>
  <si>
    <t>Sector</t>
  </si>
  <si>
    <t>RELIANCE</t>
  </si>
  <si>
    <t>Reliance Industries</t>
  </si>
  <si>
    <t>Energy</t>
  </si>
  <si>
    <t>INFY</t>
  </si>
  <si>
    <t>Infosys</t>
  </si>
  <si>
    <t>IT</t>
  </si>
  <si>
    <t>HDFCBANK</t>
  </si>
  <si>
    <t>HDFC Bank</t>
  </si>
  <si>
    <t>Banking</t>
  </si>
  <si>
    <t>TCS</t>
  </si>
  <si>
    <t>Tata Consultancy</t>
  </si>
  <si>
    <t>ICICIBANK</t>
  </si>
  <si>
    <t>ICICI Bank</t>
  </si>
  <si>
    <t>WIPRO</t>
  </si>
  <si>
    <t>Wipro</t>
  </si>
  <si>
    <t>Tata Motors</t>
  </si>
  <si>
    <t>Auto</t>
  </si>
  <si>
    <t>AXISBANK</t>
  </si>
  <si>
    <t>Axis Bank</t>
  </si>
  <si>
    <t>SUNPHARMA</t>
  </si>
  <si>
    <t>Sun Pharma</t>
  </si>
  <si>
    <t>Pharma</t>
  </si>
  <si>
    <t>BAJFINANCE</t>
  </si>
  <si>
    <t>Bajaj Finance</t>
  </si>
  <si>
    <t>NBFC</t>
  </si>
  <si>
    <t>🎯  SCREENER &amp; RANKING ENGINE  —  Monday 3 PM Entry Signals</t>
  </si>
  <si>
    <t>All filters auto-calculated from Ticker Data sheet. Green = PASS | Red = FAIL | Top 20 by Composite Score highlighted in gold.</t>
  </si>
  <si>
    <t>IDENTIFIER</t>
  </si>
  <si>
    <t>FILTER CHECKS</t>
  </si>
  <si>
    <t>RANKING FACTORS</t>
  </si>
  <si>
    <t>RANK SCORES (0–100)</t>
  </si>
  <si>
    <t>COMPOSITE</t>
  </si>
  <si>
    <t>DECISION</t>
  </si>
  <si>
    <t>Company</t>
  </si>
  <si>
    <t>Price&gt;
50EMA&gt;
200EMA</t>
  </si>
  <si>
    <t>Price &lt;15%
from 52W
High</t>
  </si>
  <si>
    <t>3M
Breakout?</t>
  </si>
  <si>
    <t>Vol Surge
1M&gt;3M?</t>
  </si>
  <si>
    <t>3M Return
%</t>
  </si>
  <si>
    <t>Vol Surge
Ratio</t>
  </si>
  <si>
    <t>Breakout
Strength %</t>
  </si>
  <si>
    <t>EMA
Sep %</t>
  </si>
  <si>
    <t>52W High
Prox %</t>
  </si>
  <si>
    <t>Momentum
Score</t>
  </si>
  <si>
    <t>Volume
Score</t>
  </si>
  <si>
    <t>Breakout
Score</t>
  </si>
  <si>
    <t>EMA
Score</t>
  </si>
  <si>
    <t>Composite
Score</t>
  </si>
  <si>
    <t>Rank</t>
  </si>
  <si>
    <t>All Filters
Pass?</t>
  </si>
  <si>
    <t>Top 20
Signal</t>
  </si>
  <si>
    <t>🟢  TOP 20 BUY SIGNALS  —  Entry at Monday 3 PM  |  Exit: 1 Month or 5% TSL</t>
  </si>
  <si>
    <t>Auto-populated from Screener. Equal weight per trade. Max 20 positions. TSL = Entry Price × 0.95. Target = Entry Price × 1.10.</t>
  </si>
  <si>
    <t>Entry
Price ₹</t>
  </si>
  <si>
    <t>TSL
(−5%)</t>
  </si>
  <si>
    <t>Target
(+10%)</t>
  </si>
  <si>
    <t>Position
Size</t>
  </si>
  <si>
    <t>Holding
Period</t>
  </si>
  <si>
    <t>Exit
Condition</t>
  </si>
  <si>
    <t>Notes</t>
  </si>
  <si>
    <t>PRSMJOHNSN</t>
  </si>
  <si>
    <t>CASTROLIND</t>
  </si>
  <si>
    <t>ZYDUSLIFE</t>
  </si>
  <si>
    <t>ABBOTINDIA</t>
  </si>
  <si>
    <t>GODIGIT</t>
  </si>
  <si>
    <t>LUPIN</t>
  </si>
  <si>
    <t>DIVISLAB</t>
  </si>
  <si>
    <t>LALPATHLAB</t>
  </si>
  <si>
    <t>NHPC</t>
  </si>
  <si>
    <t>GICRE</t>
  </si>
  <si>
    <t>AADHARHFC</t>
  </si>
  <si>
    <t>HSCL</t>
  </si>
  <si>
    <t>MARICO</t>
  </si>
  <si>
    <t>STARCEMENT</t>
  </si>
  <si>
    <t>CANHLIFE</t>
  </si>
  <si>
    <t>PIRAMALFIN</t>
  </si>
  <si>
    <t>JLHL</t>
  </si>
  <si>
    <t>ANURAS</t>
  </si>
  <si>
    <t>STARHEALTH</t>
  </si>
  <si>
    <t>CHAMBLFERT</t>
  </si>
  <si>
    <t>TORNTPHARM</t>
  </si>
  <si>
    <t>BRITANNIA</t>
  </si>
  <si>
    <t>NESTLEIND</t>
  </si>
  <si>
    <t>IRB</t>
  </si>
  <si>
    <t>USHAMART</t>
  </si>
  <si>
    <t>IPCALAB</t>
  </si>
  <si>
    <t>BHARTIARTL</t>
  </si>
  <si>
    <t>DRREDDY</t>
  </si>
  <si>
    <t>ALKEM</t>
  </si>
  <si>
    <t>NAVINFLUOR</t>
  </si>
  <si>
    <t>JSWDULUX</t>
  </si>
  <si>
    <t>BAYERCROP</t>
  </si>
  <si>
    <t>APOLLOHOSP</t>
  </si>
  <si>
    <t>PFIZER</t>
  </si>
  <si>
    <t>COALINDIA</t>
  </si>
  <si>
    <t>THELEELA</t>
  </si>
  <si>
    <t>JSWSTEEL</t>
  </si>
  <si>
    <t>BAJAJ-AUTO</t>
  </si>
  <si>
    <t>RBLBANK</t>
  </si>
  <si>
    <t>RAINBOW</t>
  </si>
  <si>
    <t>ITC</t>
  </si>
  <si>
    <t>MEDPLUS</t>
  </si>
  <si>
    <t>INDUSTOWER</t>
  </si>
  <si>
    <t>ICICIGI</t>
  </si>
  <si>
    <t>JBCHEPHARM</t>
  </si>
  <si>
    <t>PRIVISCL</t>
  </si>
  <si>
    <t>NIVABUPA</t>
  </si>
  <si>
    <t>JSWINFRA</t>
  </si>
  <si>
    <t>BIOCON</t>
  </si>
  <si>
    <t>NMDC</t>
  </si>
  <si>
    <t>CESC</t>
  </si>
  <si>
    <t>BIKAJI</t>
  </si>
  <si>
    <t>ACI</t>
  </si>
  <si>
    <t>INDIAMART</t>
  </si>
  <si>
    <t>NTPC</t>
  </si>
  <si>
    <t>AJANTPHARM</t>
  </si>
  <si>
    <t>GRASIM</t>
  </si>
  <si>
    <t>HEROMOTOCO</t>
  </si>
  <si>
    <t>UNITDSPR</t>
  </si>
  <si>
    <t>JSWCEMENT</t>
  </si>
  <si>
    <t>BEL</t>
  </si>
  <si>
    <t>TATACONSUM</t>
  </si>
  <si>
    <t>TI</t>
  </si>
  <si>
    <t>EMCURE</t>
  </si>
  <si>
    <t>CERA</t>
  </si>
  <si>
    <t>IOB</t>
  </si>
  <si>
    <t>CIPLA</t>
  </si>
  <si>
    <t>PATANJALI</t>
  </si>
  <si>
    <t>V2RETAIL</t>
  </si>
  <si>
    <t>SAIL</t>
  </si>
  <si>
    <t>VGUARD</t>
  </si>
  <si>
    <t>ATUL</t>
  </si>
  <si>
    <t>TIPSMUSIC</t>
  </si>
  <si>
    <t>TITAN</t>
  </si>
  <si>
    <t>AVL</t>
  </si>
  <si>
    <t>TATASTEEL</t>
  </si>
  <si>
    <t>RADICO</t>
  </si>
  <si>
    <t>FEDERALBNK</t>
  </si>
  <si>
    <t>SAREGAMA</t>
  </si>
  <si>
    <t>INDGN</t>
  </si>
  <si>
    <t>NAVA</t>
  </si>
  <si>
    <t>TATACAP</t>
  </si>
  <si>
    <t>JSL</t>
  </si>
  <si>
    <t>VIJAYA</t>
  </si>
  <si>
    <t>NLCINDIA</t>
  </si>
  <si>
    <t>RBA</t>
  </si>
  <si>
    <t>LICHSGFIN</t>
  </si>
  <si>
    <t>MANKIND</t>
  </si>
  <si>
    <t>BHARTIHEXA</t>
  </si>
  <si>
    <t>CORONA</t>
  </si>
  <si>
    <t>TEGA</t>
  </si>
  <si>
    <t>GLENMARK</t>
  </si>
  <si>
    <t>BLACKBUCK</t>
  </si>
  <si>
    <t>SBILIFE</t>
  </si>
  <si>
    <t>JSFB</t>
  </si>
  <si>
    <t>METROPOLIS</t>
  </si>
  <si>
    <t>TVSMOTOR</t>
  </si>
  <si>
    <t>GLAND</t>
  </si>
  <si>
    <t>PIDILITIND</t>
  </si>
  <si>
    <t>ORKLAINDIA</t>
  </si>
  <si>
    <t>INDIANB</t>
  </si>
  <si>
    <t>VEDL</t>
  </si>
  <si>
    <t>FLUOROCHEM</t>
  </si>
  <si>
    <t>SHYAMMETL</t>
  </si>
  <si>
    <t>EXIDEIND</t>
  </si>
  <si>
    <t>ERIS</t>
  </si>
  <si>
    <t>MAXHEALTH</t>
  </si>
  <si>
    <t>AGARWALEYE</t>
  </si>
  <si>
    <t>NH</t>
  </si>
  <si>
    <t>ONGC</t>
  </si>
  <si>
    <t>DIACABS</t>
  </si>
  <si>
    <t>GLAXO</t>
  </si>
  <si>
    <t>MARKSANS</t>
  </si>
  <si>
    <t>CAMS</t>
  </si>
  <si>
    <t>OIL</t>
  </si>
  <si>
    <t>CARBORUNIV</t>
  </si>
  <si>
    <t>HINDUNILVR</t>
  </si>
  <si>
    <t>CANFINHOME</t>
  </si>
  <si>
    <t>NYKAA</t>
  </si>
  <si>
    <t>JSWENERGY</t>
  </si>
  <si>
    <t>GMDCLTD</t>
  </si>
  <si>
    <t>TENNIND</t>
  </si>
  <si>
    <t>LAURUSLABS</t>
  </si>
  <si>
    <t>ADANIPORTS</t>
  </si>
  <si>
    <t>LGEINDIA</t>
  </si>
  <si>
    <t>NCC</t>
  </si>
  <si>
    <t>GMRAIRPORT</t>
  </si>
  <si>
    <t>PIIND</t>
  </si>
  <si>
    <t>IGIL</t>
  </si>
  <si>
    <t>SUMICHEM</t>
  </si>
  <si>
    <t>NESCO</t>
  </si>
  <si>
    <t>SUPREMEIND</t>
  </si>
  <si>
    <t>POLICYBZR</t>
  </si>
  <si>
    <t>WHIRLPOOL</t>
  </si>
  <si>
    <t>GILLETTE</t>
  </si>
  <si>
    <t>RRKABEL</t>
  </si>
  <si>
    <t>ZENTEC</t>
  </si>
  <si>
    <t>PVRINOX</t>
  </si>
  <si>
    <t>SAMMAANCAP</t>
  </si>
  <si>
    <t>PAGEIND</t>
  </si>
  <si>
    <t>BHEL</t>
  </si>
  <si>
    <t>ZFCVINDIA</t>
  </si>
  <si>
    <t>ASTRAMICRO</t>
  </si>
  <si>
    <t>UTIAMC</t>
  </si>
  <si>
    <t>EIDPARRY</t>
  </si>
  <si>
    <t>KOTAKBANK</t>
  </si>
  <si>
    <t>OBEROIRLTY</t>
  </si>
  <si>
    <t>KIRLPNU</t>
  </si>
  <si>
    <t>APLAPOLLO</t>
  </si>
  <si>
    <t>MRF</t>
  </si>
  <si>
    <t>JINDALSTEL</t>
  </si>
  <si>
    <t>TIMKEN</t>
  </si>
  <si>
    <t>MEDANTA</t>
  </si>
  <si>
    <t>AUBANK</t>
  </si>
  <si>
    <t>AARTIDRUGS</t>
  </si>
  <si>
    <t>DIXON</t>
  </si>
  <si>
    <t>INDIASHLTR</t>
  </si>
  <si>
    <t>GRANULES</t>
  </si>
  <si>
    <t>PICCADIL</t>
  </si>
  <si>
    <t>DBL</t>
  </si>
  <si>
    <t>REDTAPE</t>
  </si>
  <si>
    <t>HINDALCO</t>
  </si>
  <si>
    <t>IEX</t>
  </si>
  <si>
    <t>CGCL</t>
  </si>
  <si>
    <t>JKCEMENT</t>
  </si>
  <si>
    <t>ASKAUTOLTD</t>
  </si>
  <si>
    <t>KPIL</t>
  </si>
  <si>
    <t>JKPAPER</t>
  </si>
  <si>
    <t>ENDURANCE</t>
  </si>
  <si>
    <t>SHREECEM</t>
  </si>
  <si>
    <t>HAVELLS</t>
  </si>
  <si>
    <t>KFINTECH</t>
  </si>
  <si>
    <t>FORTIS</t>
  </si>
  <si>
    <t>TATAPOWER</t>
  </si>
  <si>
    <t>SUNTV</t>
  </si>
  <si>
    <t>GAEL</t>
  </si>
  <si>
    <t>DCMSHRIRAM</t>
  </si>
  <si>
    <t>ACE</t>
  </si>
  <si>
    <t>INDIAGLYCO</t>
  </si>
  <si>
    <t>SCHAEFFLER</t>
  </si>
  <si>
    <t>ADVENZYMES</t>
  </si>
  <si>
    <t>AUROPHARMA</t>
  </si>
  <si>
    <t>TORNTPOWER</t>
  </si>
  <si>
    <t>UNOMINDA</t>
  </si>
  <si>
    <t>CROMPTON</t>
  </si>
  <si>
    <t>ABCAPITAL</t>
  </si>
  <si>
    <t>AIAENG</t>
  </si>
  <si>
    <t>HEG</t>
  </si>
  <si>
    <t>UNIONBANK</t>
  </si>
  <si>
    <t>NAM-INDIA</t>
  </si>
  <si>
    <t>BLUEDART</t>
  </si>
  <si>
    <t>POWERGRID</t>
  </si>
  <si>
    <t>KPRMILL</t>
  </si>
  <si>
    <t>SKIPPER</t>
  </si>
  <si>
    <t>CRAFTSMAN</t>
  </si>
  <si>
    <t>TRIVENI</t>
  </si>
  <si>
    <t>STYRENIX</t>
  </si>
  <si>
    <t>WELENT</t>
  </si>
  <si>
    <t>IGL</t>
  </si>
  <si>
    <t>CMSINFO</t>
  </si>
  <si>
    <t>MAZDOCK</t>
  </si>
  <si>
    <t>PRICOLLTD</t>
  </si>
  <si>
    <t>UBL</t>
  </si>
  <si>
    <t>CCL</t>
  </si>
  <si>
    <t>DELHIVERY</t>
  </si>
  <si>
    <t>LICI</t>
  </si>
  <si>
    <t>CONCOR</t>
  </si>
  <si>
    <t>PFC</t>
  </si>
  <si>
    <t>RENUKA</t>
  </si>
  <si>
    <t>AEGISLOG</t>
  </si>
  <si>
    <t>MINDACORP</t>
  </si>
  <si>
    <t>PPLPHARMA</t>
  </si>
  <si>
    <t>ALIVUS</t>
  </si>
  <si>
    <t>RKFORGE</t>
  </si>
  <si>
    <t>DOMS</t>
  </si>
  <si>
    <t>HCG</t>
  </si>
  <si>
    <t>INDHOTEL</t>
  </si>
  <si>
    <t>SJVN</t>
  </si>
  <si>
    <t>EMIL</t>
  </si>
  <si>
    <t>MAHSCOOTER</t>
  </si>
  <si>
    <t>JIOFIN</t>
  </si>
  <si>
    <t>EICHERMOT</t>
  </si>
  <si>
    <t>CUPID</t>
  </si>
  <si>
    <t>ENTERO</t>
  </si>
  <si>
    <t>GAIL</t>
  </si>
  <si>
    <t>RECLTD</t>
  </si>
  <si>
    <t>KAYNES</t>
  </si>
  <si>
    <t>IREDA</t>
  </si>
  <si>
    <t>APLLTD</t>
  </si>
  <si>
    <t>M&amp;M</t>
  </si>
  <si>
    <t>ULTRACEMCO</t>
  </si>
  <si>
    <t>VIYASH</t>
  </si>
  <si>
    <t>PTC</t>
  </si>
  <si>
    <t>BAJAJHFL</t>
  </si>
  <si>
    <t>MANAPPURAM</t>
  </si>
  <si>
    <t>CEATLTD</t>
  </si>
  <si>
    <t>SBIN</t>
  </si>
  <si>
    <t>CIEINDIA</t>
  </si>
  <si>
    <t>BAJAJFINSV</t>
  </si>
  <si>
    <t>LTF</t>
  </si>
  <si>
    <t>PTCIL</t>
  </si>
  <si>
    <t>SOLARINDS</t>
  </si>
  <si>
    <t>MAHABANK</t>
  </si>
  <si>
    <t>ITI</t>
  </si>
  <si>
    <t>JMFINANCIL</t>
  </si>
  <si>
    <t>PHOENIXLTD</t>
  </si>
  <si>
    <t>GABRIEL</t>
  </si>
  <si>
    <t>MSUMI</t>
  </si>
  <si>
    <t>IONEXCHANG</t>
  </si>
  <si>
    <t>AWL</t>
  </si>
  <si>
    <t>SUZLON</t>
  </si>
  <si>
    <t>GODREJCP</t>
  </si>
  <si>
    <t>SHRIRAMFIN</t>
  </si>
  <si>
    <t>HAPPSTMNDS</t>
  </si>
  <si>
    <t>SIEMENS</t>
  </si>
  <si>
    <t>JAINREC</t>
  </si>
  <si>
    <t>LINDEINDIA</t>
  </si>
  <si>
    <t>ICICIAMC</t>
  </si>
  <si>
    <t>INDIGO</t>
  </si>
  <si>
    <t>EIHOTEL</t>
  </si>
  <si>
    <t>STAR</t>
  </si>
  <si>
    <t>SARDAEN</t>
  </si>
  <si>
    <t>FINPIPE</t>
  </si>
  <si>
    <t>SUNDARMFIN</t>
  </si>
  <si>
    <t>DCBBANK</t>
  </si>
  <si>
    <t>NUVOCO</t>
  </si>
  <si>
    <t>TRAVELFOOD</t>
  </si>
  <si>
    <t>RTNPOWER</t>
  </si>
  <si>
    <t>SUDEEPPHRM</t>
  </si>
  <si>
    <t>MAHSEAMLES</t>
  </si>
  <si>
    <t>CAPLIPOINT</t>
  </si>
  <si>
    <t>GODREJAGRO</t>
  </si>
  <si>
    <t>ANTHEM</t>
  </si>
  <si>
    <t>NATIONALUM</t>
  </si>
  <si>
    <t>ADANIENT</t>
  </si>
  <si>
    <t>TRITURBINE</t>
  </si>
  <si>
    <t>DMART</t>
  </si>
  <si>
    <t>DABUR</t>
  </si>
  <si>
    <t>NTPCGREEN</t>
  </si>
  <si>
    <t>SRF</t>
  </si>
  <si>
    <t>ASTERDM</t>
  </si>
  <si>
    <t>NFL</t>
  </si>
  <si>
    <t>INDUSINDBK</t>
  </si>
  <si>
    <t>CHALET</t>
  </si>
  <si>
    <t>SMARTWORKS</t>
  </si>
  <si>
    <t>LTTS</t>
  </si>
  <si>
    <t>MFSL</t>
  </si>
  <si>
    <t>ASAHIINDIA</t>
  </si>
  <si>
    <t>OFSS</t>
  </si>
  <si>
    <t>HEMIPROP</t>
  </si>
  <si>
    <t>STYL</t>
  </si>
  <si>
    <t>RCF</t>
  </si>
  <si>
    <t>VOLTAS</t>
  </si>
  <si>
    <t>COROMANDEL</t>
  </si>
  <si>
    <t>DALBHARAT</t>
  </si>
  <si>
    <t>COLPAL</t>
  </si>
  <si>
    <t>PRAJIND</t>
  </si>
  <si>
    <t>PRUDENT</t>
  </si>
  <si>
    <t>GPIL</t>
  </si>
  <si>
    <t>CDSL</t>
  </si>
  <si>
    <t>CANBK</t>
  </si>
  <si>
    <t>3MINDIA</t>
  </si>
  <si>
    <t>APOLLOTYRE</t>
  </si>
  <si>
    <t>CENTRALBK</t>
  </si>
  <si>
    <t>KIMS</t>
  </si>
  <si>
    <t>EMAMILTD</t>
  </si>
  <si>
    <t>TATACHEM</t>
  </si>
  <si>
    <t>GODREJPROP</t>
  </si>
  <si>
    <t>360ONE</t>
  </si>
  <si>
    <t>HONAUT</t>
  </si>
  <si>
    <t>MCX</t>
  </si>
  <si>
    <t>LTFOODS</t>
  </si>
  <si>
    <t>WOCKPHARMA</t>
  </si>
  <si>
    <t>POLYCAB</t>
  </si>
  <si>
    <t>EDELWEISS</t>
  </si>
  <si>
    <t>NETWEB</t>
  </si>
  <si>
    <t>CREDITACC</t>
  </si>
  <si>
    <t>HDFCAMC</t>
  </si>
  <si>
    <t>GMMPFAUDLR</t>
  </si>
  <si>
    <t>ASTRAL</t>
  </si>
  <si>
    <t>JBMA</t>
  </si>
  <si>
    <t>QUESS</t>
  </si>
  <si>
    <t>MOTHERSON</t>
  </si>
  <si>
    <t>ANANDRATHI</t>
  </si>
  <si>
    <t>PNBHOUSING</t>
  </si>
  <si>
    <t>BANKINDIA</t>
  </si>
  <si>
    <t>BERGEPAINT</t>
  </si>
  <si>
    <t>GPPL</t>
  </si>
  <si>
    <t>MEESHO</t>
  </si>
  <si>
    <t>UJJIVANSFB</t>
  </si>
  <si>
    <t>CAMPUS</t>
  </si>
  <si>
    <t>J&amp;KBANK</t>
  </si>
  <si>
    <t>BAJAJELEC</t>
  </si>
  <si>
    <t>LENSKART</t>
  </si>
  <si>
    <t>VMM</t>
  </si>
  <si>
    <t>RITES</t>
  </si>
  <si>
    <t>TIINDIA</t>
  </si>
  <si>
    <t>CRISIL</t>
  </si>
  <si>
    <t>TATATECH</t>
  </si>
  <si>
    <t>GRAPHITE</t>
  </si>
  <si>
    <t>HBLENGINE</t>
  </si>
  <si>
    <t>CENTURYPLY</t>
  </si>
  <si>
    <t>TRENT</t>
  </si>
  <si>
    <t>CHOLAFIN</t>
  </si>
  <si>
    <t>PARAS</t>
  </si>
  <si>
    <t>TMCV</t>
  </si>
  <si>
    <t>GHCL</t>
  </si>
  <si>
    <t>HDFCLIFE</t>
  </si>
  <si>
    <t>IRCTC</t>
  </si>
  <si>
    <t>NEULANDLAB</t>
  </si>
  <si>
    <t>CUB</t>
  </si>
  <si>
    <t>JUBLINGREA</t>
  </si>
  <si>
    <t>BALRAMCHIN</t>
  </si>
  <si>
    <t>BOSCHLTD</t>
  </si>
  <si>
    <t>TMB</t>
  </si>
  <si>
    <t>PNGJL</t>
  </si>
  <si>
    <t>NSLNISP</t>
  </si>
  <si>
    <t>ATGL</t>
  </si>
  <si>
    <t>KALYANKJIL</t>
  </si>
  <si>
    <t>CHOLAHLDNG</t>
  </si>
  <si>
    <t>BBOX</t>
  </si>
  <si>
    <t>GRAVITA</t>
  </si>
  <si>
    <t>WESTLIFE</t>
  </si>
  <si>
    <t>KPIGREEN</t>
  </si>
  <si>
    <t>SKFINDUS</t>
  </si>
  <si>
    <t>SUDARSCHEM</t>
  </si>
  <si>
    <t>WABAG</t>
  </si>
  <si>
    <t>JYOTHYLAB</t>
  </si>
  <si>
    <t>BANKBARODA</t>
  </si>
  <si>
    <t>BAJAJHLDNG</t>
  </si>
  <si>
    <t>TIMETECHNO</t>
  </si>
  <si>
    <t>JUBLPHARMA</t>
  </si>
  <si>
    <t>AKUMS</t>
  </si>
  <si>
    <t>TRANSRAILL</t>
  </si>
  <si>
    <t>CUMMINSIND</t>
  </si>
  <si>
    <t>ALKYLAMINE</t>
  </si>
  <si>
    <t>KSCL</t>
  </si>
  <si>
    <t>PNB</t>
  </si>
  <si>
    <t>AFCONS</t>
  </si>
  <si>
    <t>VBL</t>
  </si>
  <si>
    <t>ASIANPAINT</t>
  </si>
  <si>
    <t>TATACOMM</t>
  </si>
  <si>
    <t>BLUESTARCO</t>
  </si>
  <si>
    <t>BELRISE</t>
  </si>
  <si>
    <t>AEQUS</t>
  </si>
  <si>
    <t>UCOBANK</t>
  </si>
  <si>
    <t>ABLBL</t>
  </si>
  <si>
    <t>RUBICON</t>
  </si>
  <si>
    <t>GSFC</t>
  </si>
  <si>
    <t>MARUTI</t>
  </si>
  <si>
    <t>EPL</t>
  </si>
  <si>
    <t>BEML</t>
  </si>
  <si>
    <t>BALAMINES</t>
  </si>
  <si>
    <t>EUREKAFORB</t>
  </si>
  <si>
    <t>TMPV</t>
  </si>
  <si>
    <t>SUBROS</t>
  </si>
  <si>
    <t>TATAINVEST</t>
  </si>
  <si>
    <t>ELGIEQUIP</t>
  </si>
  <si>
    <t>SHAREINDIA</t>
  </si>
  <si>
    <t>SFL</t>
  </si>
  <si>
    <t>LT</t>
  </si>
  <si>
    <t>VARROC</t>
  </si>
  <si>
    <t>HONASA</t>
  </si>
  <si>
    <t>KARURVYSYA</t>
  </si>
  <si>
    <t>SONACOMS</t>
  </si>
  <si>
    <t>NAZARA</t>
  </si>
  <si>
    <t>ARVINDFASN</t>
  </si>
  <si>
    <t>MUTHOOTFIN</t>
  </si>
  <si>
    <t>DEEPAKNTR</t>
  </si>
  <si>
    <t>MMTC</t>
  </si>
  <si>
    <t>GNFC</t>
  </si>
  <si>
    <t>ARVIND</t>
  </si>
  <si>
    <t>POWERMECH</t>
  </si>
  <si>
    <t>SBICARD</t>
  </si>
  <si>
    <t>URBANCO</t>
  </si>
  <si>
    <t>HAL</t>
  </si>
  <si>
    <t>CELLO</t>
  </si>
  <si>
    <t>VIPIND</t>
  </si>
  <si>
    <t>FEDFINA</t>
  </si>
  <si>
    <t>BRIGADE</t>
  </si>
  <si>
    <t>CHENNPETRO</t>
  </si>
  <si>
    <t>JYOTICNC</t>
  </si>
  <si>
    <t>FACT</t>
  </si>
  <si>
    <t>HCLTECH</t>
  </si>
  <si>
    <t>DLF</t>
  </si>
  <si>
    <t>RELIGARE</t>
  </si>
  <si>
    <t>TECHNOE</t>
  </si>
  <si>
    <t>KIRLOSBROS</t>
  </si>
  <si>
    <t>BECTORFOOD</t>
  </si>
  <si>
    <t>BSE</t>
  </si>
  <si>
    <t>SHAILY</t>
  </si>
  <si>
    <t>SOBHA</t>
  </si>
  <si>
    <t>JAMNAAUTO</t>
  </si>
  <si>
    <t>TRIDENT</t>
  </si>
  <si>
    <t>DATAMATICS</t>
  </si>
  <si>
    <t>POONAWALLA</t>
  </si>
  <si>
    <t>ICICIPRULI</t>
  </si>
  <si>
    <t>NUVAMA</t>
  </si>
  <si>
    <t>BALKRISIND</t>
  </si>
  <si>
    <t>JUBLFOOD</t>
  </si>
  <si>
    <t>KAJARIACER</t>
  </si>
  <si>
    <t>NEOGEN</t>
  </si>
  <si>
    <t>GOKULAGRO</t>
  </si>
  <si>
    <t>REFEX</t>
  </si>
  <si>
    <t>CONCORDBIO</t>
  </si>
  <si>
    <t>TECHM</t>
  </si>
  <si>
    <t>SKFINDIA</t>
  </si>
  <si>
    <t>NBCC</t>
  </si>
  <si>
    <t>MGL</t>
  </si>
  <si>
    <t>ETHOSLTD</t>
  </si>
  <si>
    <t>IMFA</t>
  </si>
  <si>
    <t>SBFC</t>
  </si>
  <si>
    <t>CLEAN</t>
  </si>
  <si>
    <t>SAILIFE</t>
  </si>
  <si>
    <t>FIEMIND</t>
  </si>
  <si>
    <t>WAAREERTL</t>
  </si>
  <si>
    <t>SANDUMA</t>
  </si>
  <si>
    <t>MANORAMA</t>
  </si>
  <si>
    <t>IFCI</t>
  </si>
  <si>
    <t>ARE&amp;M</t>
  </si>
  <si>
    <t>BANDHANBNK</t>
  </si>
  <si>
    <t>AVALON</t>
  </si>
  <si>
    <t>PARADEEP</t>
  </si>
  <si>
    <t>JAYNECOIND</t>
  </si>
  <si>
    <t>RALLIS</t>
  </si>
  <si>
    <t>BLS</t>
  </si>
  <si>
    <t>HUDCO</t>
  </si>
  <si>
    <t>AARTIPHARM</t>
  </si>
  <si>
    <t>AETHER</t>
  </si>
  <si>
    <t>AZAD</t>
  </si>
  <si>
    <t>SUPRIYA</t>
  </si>
  <si>
    <t>PETRONET</t>
  </si>
  <si>
    <t>SENCO</t>
  </si>
  <si>
    <t>MOTILALOFS</t>
  </si>
  <si>
    <t>SCI</t>
  </si>
  <si>
    <t>TSFINV</t>
  </si>
  <si>
    <t>DYNAMATECH</t>
  </si>
  <si>
    <t>ITCHOTELS</t>
  </si>
  <si>
    <t>THANGAMAYL</t>
  </si>
  <si>
    <t>GSPL</t>
  </si>
  <si>
    <t>CAPILLARY</t>
  </si>
  <si>
    <t>KEC</t>
  </si>
  <si>
    <t>KRBL</t>
  </si>
  <si>
    <t>HDBFS</t>
  </si>
  <si>
    <t>BLUESTONE</t>
  </si>
  <si>
    <t>GMRP&amp;UI</t>
  </si>
  <si>
    <t>GESHIP</t>
  </si>
  <si>
    <t>EQUITASBNK</t>
  </si>
  <si>
    <t>WELSPUNLIV</t>
  </si>
  <si>
    <t>TARIL</t>
  </si>
  <si>
    <t>ELECON</t>
  </si>
  <si>
    <t>AFFLE</t>
  </si>
  <si>
    <t>MSTCLTD</t>
  </si>
  <si>
    <t>YESBANK</t>
  </si>
  <si>
    <t>JSLL</t>
  </si>
  <si>
    <t>KTKBANK</t>
  </si>
  <si>
    <t>TANLA</t>
  </si>
  <si>
    <t>SOUTHBANK</t>
  </si>
  <si>
    <t>JWL</t>
  </si>
  <si>
    <t>VTL</t>
  </si>
  <si>
    <t>FIRSTCRY</t>
  </si>
  <si>
    <t>AARTIIND</t>
  </si>
  <si>
    <t>ORIENTCEM</t>
  </si>
  <si>
    <t>VMART</t>
  </si>
  <si>
    <t>PCBL</t>
  </si>
  <si>
    <t>BANCOINDIA</t>
  </si>
  <si>
    <t>CRAMC</t>
  </si>
  <si>
    <t>SWIGGY</t>
  </si>
  <si>
    <t>RVNL</t>
  </si>
  <si>
    <t>FINCABLES</t>
  </si>
  <si>
    <t>ABFRL</t>
  </si>
  <si>
    <t>HYUNDAI</t>
  </si>
  <si>
    <t>AURIONPRO</t>
  </si>
  <si>
    <t>ELECTCAST</t>
  </si>
  <si>
    <t>THYROCARE</t>
  </si>
  <si>
    <t>KEI</t>
  </si>
  <si>
    <t>ENGINERSIN</t>
  </si>
  <si>
    <t>UTLSOLAR</t>
  </si>
  <si>
    <t>ANANTRAJ</t>
  </si>
  <si>
    <t>JAIBALAJI</t>
  </si>
  <si>
    <t>ESCORTS</t>
  </si>
  <si>
    <t>HOMEFIRST</t>
  </si>
  <si>
    <t>RAMCOCEM</t>
  </si>
  <si>
    <t>CEMPRO</t>
  </si>
  <si>
    <t>AHLUCONT</t>
  </si>
  <si>
    <t>COCHINSHIP</t>
  </si>
  <si>
    <t>GODREJIND</t>
  </si>
  <si>
    <t>SYRMA</t>
  </si>
  <si>
    <t>IKS</t>
  </si>
  <si>
    <t>CGPOWER</t>
  </si>
  <si>
    <t>ENRIN</t>
  </si>
  <si>
    <t>BHARATFORG</t>
  </si>
  <si>
    <t>ABSLAMC</t>
  </si>
  <si>
    <t>ACC</t>
  </si>
  <si>
    <t>BBTC</t>
  </si>
  <si>
    <t>AMBUJACEM</t>
  </si>
  <si>
    <t>IDEA</t>
  </si>
  <si>
    <t>SPARC</t>
  </si>
  <si>
    <t>GODFRYPHLP</t>
  </si>
  <si>
    <t>AAVAS</t>
  </si>
  <si>
    <t>GRSE</t>
  </si>
  <si>
    <t>ABDL</t>
  </si>
  <si>
    <t>SHRIPISTON</t>
  </si>
  <si>
    <t>INDIACEM</t>
  </si>
  <si>
    <t>BIRLACORPN</t>
  </si>
  <si>
    <t>IRFC</t>
  </si>
  <si>
    <t>UPL</t>
  </si>
  <si>
    <t>POLYMED</t>
  </si>
  <si>
    <t>DEEPAKFERT</t>
  </si>
  <si>
    <t>VOLTAMP</t>
  </si>
  <si>
    <t>IOC</t>
  </si>
  <si>
    <t>M&amp;MFIN</t>
  </si>
  <si>
    <t>CHOICEIN</t>
  </si>
  <si>
    <t>SURYAROSNI</t>
  </si>
  <si>
    <t>NATCOPHARM</t>
  </si>
  <si>
    <t>ZEEL</t>
  </si>
  <si>
    <t>EMMVEE</t>
  </si>
  <si>
    <t>CRIZAC</t>
  </si>
  <si>
    <t>INOXGREEN</t>
  </si>
  <si>
    <t>FORCEMOT</t>
  </si>
  <si>
    <t>OLECTRA</t>
  </si>
  <si>
    <t>ASHOKLEY</t>
  </si>
  <si>
    <t>INOXINDIA</t>
  </si>
  <si>
    <t>BALUFORGE</t>
  </si>
  <si>
    <t>PGEL</t>
  </si>
  <si>
    <t>REDINGTON</t>
  </si>
  <si>
    <t>PRESTIGE</t>
  </si>
  <si>
    <t>ANGELONE</t>
  </si>
  <si>
    <t>SANSERA</t>
  </si>
  <si>
    <t>BSOFT</t>
  </si>
  <si>
    <t>IRCON</t>
  </si>
  <si>
    <t>LXCHEM</t>
  </si>
  <si>
    <t>ZYDUSWELL</t>
  </si>
  <si>
    <t>ADANIPOWER</t>
  </si>
  <si>
    <t>ABREL</t>
  </si>
  <si>
    <t>PCJEWELLER</t>
  </si>
  <si>
    <t>BPCL</t>
  </si>
  <si>
    <t>PAYTM</t>
  </si>
  <si>
    <t>TATAELXSI</t>
  </si>
  <si>
    <t>TITAGARH</t>
  </si>
  <si>
    <t>ETERNAL</t>
  </si>
  <si>
    <t>SKYGOLD</t>
  </si>
  <si>
    <t>WAAREEENER</t>
  </si>
  <si>
    <t>KSB</t>
  </si>
  <si>
    <t>MIDHANI</t>
  </si>
  <si>
    <t>JINDALSAW</t>
  </si>
  <si>
    <t>MPHASIS</t>
  </si>
  <si>
    <t>GREAVESCOT</t>
  </si>
  <si>
    <t>ZENSARTECH</t>
  </si>
  <si>
    <t>PARKHOSPS</t>
  </si>
  <si>
    <t>RAILTEL</t>
  </si>
  <si>
    <t>APOLLO</t>
  </si>
  <si>
    <t>SAATVIKGL</t>
  </si>
  <si>
    <t>NAUKRI</t>
  </si>
  <si>
    <t>ADANIGREEN</t>
  </si>
  <si>
    <t>RAYMONDLSL</t>
  </si>
  <si>
    <t>BORORENEW</t>
  </si>
  <si>
    <t>WEWORK</t>
  </si>
  <si>
    <t>GROWW</t>
  </si>
  <si>
    <t>LLOYDSME</t>
  </si>
  <si>
    <t>LEMONTREE</t>
  </si>
  <si>
    <t>PERSISTENT</t>
  </si>
  <si>
    <t>JKLAKSHMI</t>
  </si>
  <si>
    <t>HINDPETRO</t>
  </si>
  <si>
    <t>LUMAXTECH</t>
  </si>
  <si>
    <t>KNRCON</t>
  </si>
  <si>
    <t>SWANCORP</t>
  </si>
  <si>
    <t>DEVYANI</t>
  </si>
  <si>
    <t>BDL</t>
  </si>
  <si>
    <t>YATHARTH</t>
  </si>
  <si>
    <t>IDFCFIRSTB</t>
  </si>
  <si>
    <t>JPPOWER</t>
  </si>
  <si>
    <t>VIKRAMSOLR</t>
  </si>
  <si>
    <t>APTUS</t>
  </si>
  <si>
    <t>AEGISVOPAK</t>
  </si>
  <si>
    <t>ACMESOLAR</t>
  </si>
  <si>
    <t>RHIM</t>
  </si>
  <si>
    <t>SAMHI</t>
  </si>
  <si>
    <t>ALOKINDS</t>
  </si>
  <si>
    <t>SWSOLAR</t>
  </si>
  <si>
    <t>TTML</t>
  </si>
  <si>
    <t>PGIL</t>
  </si>
  <si>
    <t>ADANIENSOL</t>
  </si>
  <si>
    <t>PNCINFRA</t>
  </si>
  <si>
    <t>AMBER</t>
  </si>
  <si>
    <t>NETWORK18</t>
  </si>
  <si>
    <t>MRPL</t>
  </si>
  <si>
    <t>ABB</t>
  </si>
  <si>
    <t>KIRLOSENG</t>
  </si>
  <si>
    <t>TVSSCS</t>
  </si>
  <si>
    <t>KANSAINER</t>
  </si>
  <si>
    <t>JUSTDIAL</t>
  </si>
  <si>
    <t>ANUP</t>
  </si>
  <si>
    <t>VAIBHAVGBL</t>
  </si>
  <si>
    <t>NIACL</t>
  </si>
  <si>
    <t>CCAVENUE</t>
  </si>
  <si>
    <t>HFCL</t>
  </si>
  <si>
    <t>TDPOWERSYS</t>
  </si>
  <si>
    <t>LLOYDSENGG</t>
  </si>
  <si>
    <t>ICIL</t>
  </si>
  <si>
    <t>PREMIERENE</t>
  </si>
  <si>
    <t>HCC</t>
  </si>
  <si>
    <t>WAKEFIT</t>
  </si>
  <si>
    <t>SAGILITY</t>
  </si>
  <si>
    <t>BLUEJET</t>
  </si>
  <si>
    <t>TARC</t>
  </si>
  <si>
    <t>SUNTECK</t>
  </si>
  <si>
    <t>BATAINDIA</t>
  </si>
  <si>
    <t>SMLMAH</t>
  </si>
  <si>
    <t>FIVESTAR</t>
  </si>
  <si>
    <t>LOTUSDEV</t>
  </si>
  <si>
    <t>HINDZINC</t>
  </si>
  <si>
    <t>WELCORP</t>
  </si>
  <si>
    <t>INOXWIND</t>
  </si>
  <si>
    <t>SAPPHIRE</t>
  </si>
  <si>
    <t>LLOYDSENT</t>
  </si>
  <si>
    <t>SPLPETRO</t>
  </si>
  <si>
    <t>ELLEN</t>
  </si>
  <si>
    <t>THERMAX</t>
  </si>
  <si>
    <t>SAFARI</t>
  </si>
  <si>
    <t>IXIGO</t>
  </si>
  <si>
    <t>RATEGAIN</t>
  </si>
  <si>
    <t>OPTIEMUS</t>
  </si>
  <si>
    <t>MOIL</t>
  </si>
  <si>
    <t>CPPLUS</t>
  </si>
  <si>
    <t>ATHERENERG</t>
  </si>
  <si>
    <t>CSBBANK</t>
  </si>
  <si>
    <t>TBOTEK</t>
  </si>
  <si>
    <t>KITEX</t>
  </si>
  <si>
    <t>ROUTE</t>
  </si>
  <si>
    <t>HERITGFOOD</t>
  </si>
  <si>
    <t>IIFLCAPS</t>
  </si>
  <si>
    <t>SIGNATURE</t>
  </si>
  <si>
    <t>AXISCADES</t>
  </si>
  <si>
    <t>COHANCE</t>
  </si>
  <si>
    <t>DATAPATTNS</t>
  </si>
  <si>
    <t>GRWRHITECH</t>
  </si>
  <si>
    <t>GVT&amp;D</t>
  </si>
  <si>
    <t>INTELLECT</t>
  </si>
  <si>
    <t>PURVA</t>
  </si>
  <si>
    <t>IIFL</t>
  </si>
  <si>
    <t>DBREALTY</t>
  </si>
  <si>
    <t>THOMASCOOK</t>
  </si>
  <si>
    <t>SHAKTIPUMP</t>
  </si>
  <si>
    <t>RPOWER</t>
  </si>
  <si>
    <t>IFBIND</t>
  </si>
  <si>
    <t>SHARDACROP</t>
  </si>
  <si>
    <t>ACUTAAS</t>
  </si>
  <si>
    <t>MANYAVAR</t>
  </si>
  <si>
    <t>APARINDS</t>
  </si>
  <si>
    <t>GOKEX</t>
  </si>
  <si>
    <t>AIIL</t>
  </si>
  <si>
    <t>ASHOKA</t>
  </si>
  <si>
    <t>OSWALPUMPS</t>
  </si>
  <si>
    <t>RTNINDIA</t>
  </si>
  <si>
    <t>CYIENT</t>
  </si>
  <si>
    <t>PINELABS</t>
  </si>
  <si>
    <t>HGINFRA</t>
  </si>
  <si>
    <t>SHILPAMED</t>
  </si>
  <si>
    <t>RELAXO</t>
  </si>
  <si>
    <t>JKTYRE</t>
  </si>
  <si>
    <t>EIEL</t>
  </si>
  <si>
    <t>LODHA</t>
  </si>
  <si>
    <t>ONESOURCE</t>
  </si>
  <si>
    <t>TEXRAIL</t>
  </si>
  <si>
    <t>SONATSOFTW</t>
  </si>
  <si>
    <t>GALLANTT</t>
  </si>
  <si>
    <t>FSL</t>
  </si>
  <si>
    <t>LTM</t>
  </si>
  <si>
    <t>COFORGE</t>
  </si>
  <si>
    <t>CIGNITITEC</t>
  </si>
  <si>
    <t>ZAGGLE</t>
  </si>
  <si>
    <t>RAIN</t>
  </si>
  <si>
    <t>MASTEK</t>
  </si>
  <si>
    <t>PFOCUS</t>
  </si>
  <si>
    <t>WEBELSOLAR</t>
  </si>
  <si>
    <t>PWL</t>
  </si>
  <si>
    <t>TEJASNET</t>
  </si>
  <si>
    <t>SCHNEIDER</t>
  </si>
  <si>
    <t>POWERINDIA</t>
  </si>
  <si>
    <t>CARTRADE</t>
  </si>
  <si>
    <t>SYNGENE</t>
  </si>
  <si>
    <t>HINDCOPPER</t>
  </si>
  <si>
    <t>INDIGOPNTS</t>
  </si>
  <si>
    <t>IDBI</t>
  </si>
  <si>
    <t>ECLERX</t>
  </si>
  <si>
    <t>HEXT</t>
  </si>
  <si>
    <t>MAPMYINDIA</t>
  </si>
  <si>
    <t>AVANTIFEED</t>
  </si>
  <si>
    <t>ASHAPURMIN</t>
  </si>
  <si>
    <t>OLAELEC</t>
  </si>
  <si>
    <t>ATLANTAELE</t>
  </si>
  <si>
    <t>QPOWER</t>
  </si>
  <si>
    <t>KRN</t>
  </si>
  <si>
    <t>LATENTVIEW</t>
  </si>
  <si>
    <t>KPITTECH</t>
  </si>
  <si>
    <t>AWFIS</t>
  </si>
  <si>
    <t>NEWGEN</t>
  </si>
  <si>
    <t>MTARTECH</t>
  </si>
  <si>
    <t>STLTECH</t>
  </si>
  <si>
    <t>EMBDL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</si>
</sst>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\x"/>
    <numFmt numFmtId="166" formatCode="0.0"/>
  </numFmts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i/>
      <sz val="9"/>
      <color rgb="FFAAAAAA"/>
      <name val="Arial"/>
      <charset val="1"/>
    </font>
    <font>
      <b/>
      <sz val="9"/>
      <color rgb="FFFFFFFF"/>
      <name val="Arial"/>
      <charset val="1"/>
    </font>
    <font>
      <sz val="10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E2A3A"/>
        <bgColor rgb="FF2C3E50"/>
      </patternFill>
    </fill>
    <fill>
      <patternFill patternType="solid">
        <fgColor rgb="FF2E4057"/>
        <bgColor rgb="FF2C3E50"/>
      </patternFill>
    </fill>
    <fill>
      <patternFill patternType="solid">
        <fgColor rgb="FFFFFFFF"/>
        <bgColor rgb="FFFFF9E6"/>
      </patternFill>
    </fill>
    <fill>
      <patternFill patternType="solid">
        <fgColor rgb="FFE8F0F7"/>
        <bgColor rgb="FFF5F5DC"/>
      </patternFill>
    </fill>
    <fill>
      <patternFill patternType="solid">
        <fgColor rgb="FFFFF9E6"/>
        <bgColor rgb="FFF5F5DC"/>
      </patternFill>
    </fill>
    <fill>
      <patternFill patternType="solid">
        <fgColor rgb="FF2C3E50"/>
        <bgColor rgb="FF2E4057"/>
      </patternFill>
    </fill>
    <fill>
      <patternFill patternType="solid">
        <fgColor rgb="FF1A5276"/>
        <bgColor rgb="FF2E4057"/>
      </patternFill>
    </fill>
    <fill>
      <patternFill patternType="solid">
        <fgColor rgb="FF145A32"/>
        <bgColor rgb="FF1A5276"/>
      </patternFill>
    </fill>
    <fill>
      <patternFill patternType="solid">
        <fgColor rgb="FF6E2F8E"/>
        <bgColor rgb="FF993366"/>
      </patternFill>
    </fill>
    <fill>
      <patternFill patternType="solid">
        <fgColor rgb="FF7D6608"/>
        <bgColor rgb="FF555555"/>
      </patternFill>
    </fill>
    <fill>
      <patternFill patternType="solid">
        <fgColor rgb="FF922B21"/>
        <bgColor rgb="FF993366"/>
      </patternFill>
    </fill>
    <fill>
      <patternFill patternType="solid">
        <fgColor rgb="FFF5F5DC"/>
        <bgColor rgb="FFFFF9E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6" fillId="12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/>
    </xf>
    <xf numFmtId="4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0" fontId="2" fillId="11" borderId="0" xfId="0" applyFont="1" applyFill="1" applyAlignment="1">
      <alignment horizontal="center" vertical="center" wrapText="1"/>
    </xf>
    <xf numFmtId="4" fontId="7" fillId="0" borderId="1" xfId="0" applyNumberFormat="1" applyFont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left" vertical="center"/>
    </xf>
    <xf numFmtId="166" fontId="7" fillId="13" borderId="1" xfId="0" applyNumberFormat="1" applyFont="1" applyFill="1" applyBorder="1" applyAlignment="1">
      <alignment horizontal="center" vertical="center"/>
    </xf>
    <xf numFmtId="164" fontId="7" fillId="13" borderId="1" xfId="0" applyNumberFormat="1" applyFont="1" applyFill="1" applyBorder="1" applyAlignment="1">
      <alignment horizontal="center" vertical="center"/>
    </xf>
    <xf numFmtId="165" fontId="7" fillId="13" borderId="1" xfId="0" applyNumberFormat="1" applyFont="1" applyFill="1" applyBorder="1" applyAlignment="1">
      <alignment horizontal="center" vertical="center"/>
    </xf>
    <xf numFmtId="4" fontId="7" fillId="13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5A32"/>
      <rgbColor rgb="FF000080"/>
      <rgbColor rgb="FF7D6608"/>
      <rgbColor rgb="FF800080"/>
      <rgbColor rgb="FF008080"/>
      <rgbColor rgb="FFCCCCCC"/>
      <rgbColor rgb="FF808080"/>
      <rgbColor rgb="FF9999FF"/>
      <rgbColor rgb="FF6E2F8E"/>
      <rgbColor rgb="FFFFF9E6"/>
      <rgbColor rgb="FFE8F0F7"/>
      <rgbColor rgb="FF660066"/>
      <rgbColor rgb="FFFF8080"/>
      <rgbColor rgb="FF1A527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5F5D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1E2A3A"/>
      <rgbColor rgb="FF339966"/>
      <rgbColor rgb="FF003300"/>
      <rgbColor rgb="FF333300"/>
      <rgbColor rgb="FF922B21"/>
      <rgbColor rgb="FF993366"/>
      <rgbColor rgb="FF2E4057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showGridLines="0" zoomScaleNormal="100" workbookViewId="0">
      <selection activeCell="G7" sqref="G7"/>
    </sheetView>
  </sheetViews>
  <sheetFormatPr defaultColWidth="8.7109375" defaultRowHeight="15" x14ac:dyDescent="0.25"/>
  <cols>
    <col min="1" max="1" width="30" customWidth="1"/>
    <col min="2" max="2" width="20" customWidth="1"/>
    <col min="3" max="3" width="45" customWidth="1"/>
  </cols>
  <sheetData>
    <row r="1" spans="1:3" ht="34.5" customHeight="1" x14ac:dyDescent="0.25">
      <c r="A1" s="8" t="s">
        <v>0</v>
      </c>
      <c r="B1" s="8"/>
      <c r="C1" s="8"/>
    </row>
    <row r="2" spans="1:3" ht="19.5" customHeight="1" x14ac:dyDescent="0.25">
      <c r="A2" s="9" t="s">
        <v>1</v>
      </c>
      <c r="B2" s="10"/>
      <c r="C2" s="9"/>
    </row>
    <row r="3" spans="1:3" ht="19.5" customHeight="1" x14ac:dyDescent="0.25">
      <c r="A3" s="11" t="s">
        <v>2</v>
      </c>
      <c r="B3" s="12" t="s">
        <v>3</v>
      </c>
      <c r="C3" s="11" t="s">
        <v>4</v>
      </c>
    </row>
    <row r="4" spans="1:3" ht="19.5" customHeight="1" x14ac:dyDescent="0.25">
      <c r="A4" s="13" t="s">
        <v>5</v>
      </c>
      <c r="B4" s="14" t="s">
        <v>6</v>
      </c>
      <c r="C4" s="13" t="s">
        <v>7</v>
      </c>
    </row>
    <row r="5" spans="1:3" ht="19.5" customHeight="1" x14ac:dyDescent="0.25">
      <c r="A5" s="11" t="s">
        <v>8</v>
      </c>
      <c r="B5" s="12" t="s">
        <v>9</v>
      </c>
      <c r="C5" s="11" t="s">
        <v>10</v>
      </c>
    </row>
    <row r="6" spans="1:3" ht="19.5" customHeight="1" x14ac:dyDescent="0.25">
      <c r="A6" s="13" t="s">
        <v>11</v>
      </c>
      <c r="B6" s="14" t="s">
        <v>12</v>
      </c>
      <c r="C6" s="13" t="s">
        <v>13</v>
      </c>
    </row>
    <row r="7" spans="1:3" ht="19.5" customHeight="1" x14ac:dyDescent="0.25">
      <c r="A7" s="11"/>
      <c r="B7" s="12"/>
      <c r="C7" s="11"/>
    </row>
    <row r="8" spans="1:3" ht="19.5" customHeight="1" x14ac:dyDescent="0.25">
      <c r="A8" s="9" t="s">
        <v>14</v>
      </c>
      <c r="B8" s="10"/>
      <c r="C8" s="9"/>
    </row>
    <row r="9" spans="1:3" ht="19.5" customHeight="1" x14ac:dyDescent="0.25">
      <c r="A9" s="11" t="s">
        <v>15</v>
      </c>
      <c r="B9" s="12" t="s">
        <v>16</v>
      </c>
      <c r="C9" s="11" t="s">
        <v>17</v>
      </c>
    </row>
    <row r="10" spans="1:3" ht="19.5" customHeight="1" x14ac:dyDescent="0.25">
      <c r="A10" s="13" t="s">
        <v>18</v>
      </c>
      <c r="B10" s="14" t="s">
        <v>19</v>
      </c>
      <c r="C10" s="13" t="s">
        <v>20</v>
      </c>
    </row>
    <row r="11" spans="1:3" ht="19.5" customHeight="1" x14ac:dyDescent="0.25">
      <c r="A11" s="11" t="s">
        <v>21</v>
      </c>
      <c r="B11" s="12" t="s">
        <v>19</v>
      </c>
      <c r="C11" s="11" t="s">
        <v>22</v>
      </c>
    </row>
    <row r="12" spans="1:3" ht="19.5" customHeight="1" x14ac:dyDescent="0.25">
      <c r="A12" s="13" t="s">
        <v>23</v>
      </c>
      <c r="B12" s="14" t="s">
        <v>24</v>
      </c>
      <c r="C12" s="13" t="s">
        <v>25</v>
      </c>
    </row>
    <row r="13" spans="1:3" ht="19.5" customHeight="1" x14ac:dyDescent="0.25">
      <c r="A13" s="11"/>
      <c r="B13" s="12"/>
      <c r="C13" s="11"/>
    </row>
    <row r="14" spans="1:3" ht="19.5" customHeight="1" x14ac:dyDescent="0.25">
      <c r="A14" s="9" t="s">
        <v>26</v>
      </c>
      <c r="B14" s="10"/>
      <c r="C14" s="9"/>
    </row>
    <row r="15" spans="1:3" ht="19.5" customHeight="1" x14ac:dyDescent="0.25">
      <c r="A15" s="11" t="s">
        <v>27</v>
      </c>
      <c r="B15" s="12" t="s">
        <v>28</v>
      </c>
      <c r="C15" s="11" t="s">
        <v>29</v>
      </c>
    </row>
    <row r="16" spans="1:3" ht="19.5" customHeight="1" x14ac:dyDescent="0.25">
      <c r="A16" s="13" t="s">
        <v>30</v>
      </c>
      <c r="B16" s="14" t="s">
        <v>31</v>
      </c>
      <c r="C16" s="13" t="s">
        <v>32</v>
      </c>
    </row>
    <row r="17" spans="1:3" ht="19.5" customHeight="1" x14ac:dyDescent="0.25">
      <c r="A17" s="11" t="s">
        <v>33</v>
      </c>
      <c r="B17" s="12" t="s">
        <v>34</v>
      </c>
      <c r="C17" s="11" t="s">
        <v>35</v>
      </c>
    </row>
    <row r="18" spans="1:3" ht="19.5" customHeight="1" x14ac:dyDescent="0.25">
      <c r="A18" s="13" t="s">
        <v>36</v>
      </c>
      <c r="B18" s="14" t="s">
        <v>37</v>
      </c>
      <c r="C18" s="13" t="s">
        <v>38</v>
      </c>
    </row>
    <row r="19" spans="1:3" ht="19.5" customHeight="1" x14ac:dyDescent="0.25">
      <c r="A19" s="11" t="s">
        <v>39</v>
      </c>
      <c r="B19" s="12" t="s">
        <v>40</v>
      </c>
      <c r="C19" s="11" t="s">
        <v>41</v>
      </c>
    </row>
    <row r="20" spans="1:3" ht="19.5" customHeight="1" x14ac:dyDescent="0.25">
      <c r="A20" s="13" t="s">
        <v>42</v>
      </c>
      <c r="B20" s="14" t="s">
        <v>43</v>
      </c>
      <c r="C20" s="13" t="s">
        <v>44</v>
      </c>
    </row>
    <row r="21" spans="1:3" ht="19.5" customHeight="1" x14ac:dyDescent="0.25">
      <c r="A21" s="11" t="s">
        <v>45</v>
      </c>
      <c r="B21" s="12" t="s">
        <v>46</v>
      </c>
      <c r="C21" s="11" t="s">
        <v>47</v>
      </c>
    </row>
    <row r="22" spans="1:3" ht="19.5" customHeight="1" x14ac:dyDescent="0.25">
      <c r="A22" s="13" t="s">
        <v>48</v>
      </c>
      <c r="B22" s="14" t="s">
        <v>49</v>
      </c>
      <c r="C22" s="13" t="s">
        <v>50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53"/>
  <sheetViews>
    <sheetView showGridLines="0" tabSelected="1" zoomScaleNormal="100" workbookViewId="0">
      <pane ySplit="3" topLeftCell="A41" activePane="bottomLeft" state="frozen"/>
      <selection pane="bottomLeft" activeCell="B14" sqref="B14"/>
    </sheetView>
  </sheetViews>
  <sheetFormatPr defaultColWidth="8.7109375" defaultRowHeight="15" x14ac:dyDescent="0.25"/>
  <cols>
    <col min="1" max="1" width="13.7109375" style="35" bestFit="1" customWidth="1"/>
    <col min="2" max="2" width="22" customWidth="1"/>
    <col min="3" max="3" width="13" customWidth="1"/>
    <col min="4" max="6" width="11" customWidth="1"/>
    <col min="7" max="8" width="12" customWidth="1"/>
    <col min="9" max="10" width="14" customWidth="1"/>
    <col min="11" max="11" width="13" customWidth="1"/>
    <col min="12" max="12" width="16" customWidth="1"/>
  </cols>
  <sheetData>
    <row r="1" spans="1:20" ht="34.5" customHeight="1" x14ac:dyDescent="0.25">
      <c r="A1" s="8" t="s">
        <v>51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ht="18" customHeight="1" x14ac:dyDescent="0.25">
      <c r="A2" s="7" t="s">
        <v>52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ht="30" customHeight="1" x14ac:dyDescent="0.25">
      <c r="A3" s="34" t="s">
        <v>53</v>
      </c>
      <c r="B3" s="15" t="s">
        <v>54</v>
      </c>
      <c r="C3" s="15" t="s">
        <v>55</v>
      </c>
      <c r="D3" s="15" t="s">
        <v>56</v>
      </c>
      <c r="E3" s="15" t="s">
        <v>57</v>
      </c>
      <c r="F3" s="15" t="s">
        <v>58</v>
      </c>
      <c r="G3" s="15" t="s">
        <v>59</v>
      </c>
      <c r="H3" s="15" t="s">
        <v>60</v>
      </c>
      <c r="I3" s="15" t="s">
        <v>61</v>
      </c>
      <c r="J3" s="15" t="s">
        <v>62</v>
      </c>
      <c r="K3" s="15" t="s">
        <v>63</v>
      </c>
      <c r="L3" s="15" t="s">
        <v>64</v>
      </c>
    </row>
    <row r="4" spans="1:20" ht="18" customHeight="1" x14ac:dyDescent="0.25">
      <c r="A4" s="16" t="s">
        <v>125</v>
      </c>
      <c r="B4" s="16" t="s">
        <v>66</v>
      </c>
      <c r="C4" s="17">
        <v>2950</v>
      </c>
      <c r="D4" s="17">
        <v>2820</v>
      </c>
      <c r="E4" s="17">
        <v>2540</v>
      </c>
      <c r="F4" s="17">
        <v>3030</v>
      </c>
      <c r="G4" s="17">
        <v>2960</v>
      </c>
      <c r="H4" s="17">
        <v>2650</v>
      </c>
      <c r="I4" s="18">
        <v>8500000</v>
      </c>
      <c r="J4" s="18">
        <v>7200000</v>
      </c>
      <c r="K4" s="19">
        <v>12.5</v>
      </c>
      <c r="L4" s="16" t="s">
        <v>67</v>
      </c>
    </row>
    <row r="5" spans="1:20" ht="18" customHeight="1" x14ac:dyDescent="0.25">
      <c r="A5" s="16" t="s">
        <v>126</v>
      </c>
      <c r="B5" s="16" t="s">
        <v>69</v>
      </c>
      <c r="C5" s="17">
        <v>1780</v>
      </c>
      <c r="D5" s="17">
        <v>1710</v>
      </c>
      <c r="E5" s="17">
        <v>1540</v>
      </c>
      <c r="F5" s="17">
        <v>1980</v>
      </c>
      <c r="G5" s="17">
        <v>1820</v>
      </c>
      <c r="H5" s="17">
        <v>1600</v>
      </c>
      <c r="I5" s="18">
        <v>12000000</v>
      </c>
      <c r="J5" s="18">
        <v>10500000</v>
      </c>
      <c r="K5" s="19">
        <v>8.1999999999999993</v>
      </c>
      <c r="L5" s="16" t="s">
        <v>70</v>
      </c>
    </row>
    <row r="6" spans="1:20" ht="18" customHeight="1" x14ac:dyDescent="0.25">
      <c r="A6" s="16" t="s">
        <v>127</v>
      </c>
      <c r="B6" s="16" t="s">
        <v>72</v>
      </c>
      <c r="C6" s="17">
        <v>1720</v>
      </c>
      <c r="D6" s="17">
        <v>1650</v>
      </c>
      <c r="E6" s="17">
        <v>1490</v>
      </c>
      <c r="F6" s="17">
        <v>1880</v>
      </c>
      <c r="G6" s="17">
        <v>1740</v>
      </c>
      <c r="H6" s="17">
        <v>1560</v>
      </c>
      <c r="I6" s="18">
        <v>18000000</v>
      </c>
      <c r="J6" s="18">
        <v>15000000</v>
      </c>
      <c r="K6" s="19">
        <v>9.8000000000000007</v>
      </c>
      <c r="L6" s="16" t="s">
        <v>73</v>
      </c>
    </row>
    <row r="7" spans="1:20" ht="18" customHeight="1" x14ac:dyDescent="0.25">
      <c r="A7" s="16" t="s">
        <v>128</v>
      </c>
      <c r="B7" s="16" t="s">
        <v>75</v>
      </c>
      <c r="C7" s="17">
        <v>4250</v>
      </c>
      <c r="D7" s="17">
        <v>4080</v>
      </c>
      <c r="E7" s="17">
        <v>3720</v>
      </c>
      <c r="F7" s="17">
        <v>4480</v>
      </c>
      <c r="G7" s="17">
        <v>4310</v>
      </c>
      <c r="H7" s="17">
        <v>3900</v>
      </c>
      <c r="I7" s="18">
        <v>5500000</v>
      </c>
      <c r="J7" s="18">
        <v>5000000</v>
      </c>
      <c r="K7" s="19">
        <v>11.2</v>
      </c>
      <c r="L7" s="16" t="s">
        <v>70</v>
      </c>
    </row>
    <row r="8" spans="1:20" ht="18" customHeight="1" x14ac:dyDescent="0.25">
      <c r="A8" s="16" t="s">
        <v>129</v>
      </c>
      <c r="B8" s="16" t="s">
        <v>77</v>
      </c>
      <c r="C8" s="17">
        <v>1290</v>
      </c>
      <c r="D8" s="17">
        <v>1240</v>
      </c>
      <c r="E8" s="17">
        <v>1120</v>
      </c>
      <c r="F8" s="17">
        <v>1350</v>
      </c>
      <c r="G8" s="17">
        <v>1300</v>
      </c>
      <c r="H8" s="17">
        <v>1160</v>
      </c>
      <c r="I8" s="18">
        <v>22000000</v>
      </c>
      <c r="J8" s="18">
        <v>19000000</v>
      </c>
      <c r="K8" s="19">
        <v>7.5</v>
      </c>
      <c r="L8" s="16" t="s">
        <v>73</v>
      </c>
    </row>
    <row r="9" spans="1:20" ht="18" customHeight="1" x14ac:dyDescent="0.25">
      <c r="A9" s="16" t="s">
        <v>130</v>
      </c>
      <c r="B9" s="16" t="s">
        <v>79</v>
      </c>
      <c r="C9" s="17">
        <v>620</v>
      </c>
      <c r="D9" s="17">
        <v>598</v>
      </c>
      <c r="E9" s="17">
        <v>545</v>
      </c>
      <c r="F9" s="17">
        <v>660</v>
      </c>
      <c r="G9" s="17">
        <v>635</v>
      </c>
      <c r="H9" s="17">
        <v>565</v>
      </c>
      <c r="I9" s="18">
        <v>9000000</v>
      </c>
      <c r="J9" s="18">
        <v>8200000</v>
      </c>
      <c r="K9" s="19">
        <v>6.8</v>
      </c>
      <c r="L9" s="16" t="s">
        <v>70</v>
      </c>
    </row>
    <row r="10" spans="1:20" ht="18" customHeight="1" x14ac:dyDescent="0.25">
      <c r="A10" s="16" t="s">
        <v>131</v>
      </c>
      <c r="B10" s="16" t="s">
        <v>80</v>
      </c>
      <c r="C10" s="17">
        <v>1080</v>
      </c>
      <c r="D10" s="17">
        <v>1020</v>
      </c>
      <c r="E10" s="17">
        <v>890</v>
      </c>
      <c r="F10" s="17">
        <v>1150</v>
      </c>
      <c r="G10" s="17">
        <v>1095</v>
      </c>
      <c r="H10" s="17">
        <v>940</v>
      </c>
      <c r="I10" s="18">
        <v>25000000</v>
      </c>
      <c r="J10" s="18">
        <v>20000000</v>
      </c>
      <c r="K10" s="19">
        <v>15.3</v>
      </c>
      <c r="L10" s="16" t="s">
        <v>81</v>
      </c>
    </row>
    <row r="11" spans="1:20" ht="18" customHeight="1" x14ac:dyDescent="0.25">
      <c r="A11" s="16" t="s">
        <v>132</v>
      </c>
      <c r="B11" s="16" t="s">
        <v>83</v>
      </c>
      <c r="C11" s="17">
        <v>1195</v>
      </c>
      <c r="D11" s="17">
        <v>1140</v>
      </c>
      <c r="E11" s="17">
        <v>1030</v>
      </c>
      <c r="F11" s="17">
        <v>1280</v>
      </c>
      <c r="G11" s="17">
        <v>1210</v>
      </c>
      <c r="H11" s="17">
        <v>1070</v>
      </c>
      <c r="I11" s="18">
        <v>16000000</v>
      </c>
      <c r="J11" s="18">
        <v>13500000</v>
      </c>
      <c r="K11" s="19">
        <v>10.1</v>
      </c>
      <c r="L11" s="16" t="s">
        <v>73</v>
      </c>
    </row>
    <row r="12" spans="1:20" ht="18" customHeight="1" x14ac:dyDescent="0.25">
      <c r="A12" s="16" t="s">
        <v>133</v>
      </c>
      <c r="B12" s="16" t="s">
        <v>85</v>
      </c>
      <c r="C12" s="17">
        <v>1920</v>
      </c>
      <c r="D12" s="17">
        <v>1840</v>
      </c>
      <c r="E12" s="17">
        <v>1650</v>
      </c>
      <c r="F12" s="17">
        <v>2050</v>
      </c>
      <c r="G12" s="17">
        <v>1950</v>
      </c>
      <c r="H12" s="17">
        <v>1720</v>
      </c>
      <c r="I12" s="18">
        <v>7000000</v>
      </c>
      <c r="J12" s="18">
        <v>6200000</v>
      </c>
      <c r="K12" s="19">
        <v>9.4</v>
      </c>
      <c r="L12" s="16" t="s">
        <v>86</v>
      </c>
    </row>
    <row r="13" spans="1:20" ht="18" customHeight="1" x14ac:dyDescent="0.25">
      <c r="A13" s="16" t="s">
        <v>134</v>
      </c>
      <c r="B13" s="16" t="s">
        <v>88</v>
      </c>
      <c r="C13" s="17">
        <v>7850</v>
      </c>
      <c r="D13" s="17">
        <v>7500</v>
      </c>
      <c r="E13" s="17">
        <v>6800</v>
      </c>
      <c r="F13" s="17">
        <v>8400</v>
      </c>
      <c r="G13" s="17">
        <v>7950</v>
      </c>
      <c r="H13" s="17">
        <v>7100</v>
      </c>
      <c r="I13" s="18">
        <v>4500000</v>
      </c>
      <c r="J13" s="18">
        <v>4000000</v>
      </c>
      <c r="K13" s="19">
        <v>13.7</v>
      </c>
      <c r="L13" s="16" t="s">
        <v>89</v>
      </c>
    </row>
    <row r="14" spans="1:20" ht="18" customHeight="1" x14ac:dyDescent="0.25">
      <c r="A14" s="16" t="s">
        <v>135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</row>
    <row r="15" spans="1:20" ht="18" customHeight="1" x14ac:dyDescent="0.25">
      <c r="A15" s="16" t="s">
        <v>136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20" ht="18" customHeight="1" x14ac:dyDescent="0.25">
      <c r="A16" s="16" t="s">
        <v>65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1:12" ht="18" customHeight="1" x14ac:dyDescent="0.25">
      <c r="A17" s="16" t="s">
        <v>137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</row>
    <row r="18" spans="1:12" ht="18" customHeight="1" x14ac:dyDescent="0.25">
      <c r="A18" s="16" t="s">
        <v>138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" customHeight="1" x14ac:dyDescent="0.25">
      <c r="A19" s="16" t="s">
        <v>139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</row>
    <row r="20" spans="1:12" ht="18" customHeight="1" x14ac:dyDescent="0.25">
      <c r="A20" s="16" t="s">
        <v>140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</row>
    <row r="21" spans="1:12" ht="18" customHeight="1" x14ac:dyDescent="0.25">
      <c r="A21" s="16" t="s">
        <v>141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</row>
    <row r="22" spans="1:12" ht="18" customHeight="1" x14ac:dyDescent="0.25">
      <c r="A22" s="16" t="s">
        <v>142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spans="1:12" ht="18" customHeight="1" x14ac:dyDescent="0.25">
      <c r="A23" s="16" t="s">
        <v>143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</row>
    <row r="24" spans="1:12" ht="18" customHeight="1" x14ac:dyDescent="0.25">
      <c r="A24" s="16" t="s">
        <v>144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1:12" ht="18" customHeight="1" x14ac:dyDescent="0.25">
      <c r="A25" s="16" t="s">
        <v>145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18" customHeight="1" x14ac:dyDescent="0.25">
      <c r="A26" s="16" t="s">
        <v>146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</row>
    <row r="27" spans="1:12" ht="18" customHeight="1" x14ac:dyDescent="0.25">
      <c r="A27" s="16" t="s">
        <v>147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</row>
    <row r="28" spans="1:12" ht="18" customHeight="1" x14ac:dyDescent="0.25">
      <c r="A28" s="16" t="s">
        <v>148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</row>
    <row r="29" spans="1:12" ht="18" customHeight="1" x14ac:dyDescent="0.25">
      <c r="A29" s="16" t="s">
        <v>149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</row>
    <row r="30" spans="1:12" ht="18" customHeight="1" x14ac:dyDescent="0.25">
      <c r="A30" s="16" t="s">
        <v>150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</row>
    <row r="31" spans="1:12" ht="18" customHeight="1" x14ac:dyDescent="0.25">
      <c r="A31" s="16" t="s">
        <v>151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</row>
    <row r="32" spans="1:12" ht="18" customHeight="1" x14ac:dyDescent="0.25">
      <c r="A32" s="16" t="s">
        <v>152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</row>
    <row r="33" spans="1:12" ht="18" customHeight="1" x14ac:dyDescent="0.25">
      <c r="A33" s="16" t="s">
        <v>153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</row>
    <row r="34" spans="1:12" ht="18" customHeight="1" x14ac:dyDescent="0.25">
      <c r="A34" s="16" t="s">
        <v>154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</row>
    <row r="35" spans="1:12" ht="18" customHeight="1" x14ac:dyDescent="0.25">
      <c r="A35" s="16" t="s">
        <v>155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spans="1:12" ht="18" customHeight="1" x14ac:dyDescent="0.25">
      <c r="A36" s="16" t="s">
        <v>84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</row>
    <row r="37" spans="1:12" ht="18" customHeight="1" x14ac:dyDescent="0.25">
      <c r="A37" s="16" t="s">
        <v>156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</row>
    <row r="38" spans="1:12" ht="18" customHeight="1" x14ac:dyDescent="0.25">
      <c r="A38" s="16" t="s">
        <v>157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</row>
    <row r="39" spans="1:12" ht="18" customHeight="1" x14ac:dyDescent="0.25">
      <c r="A39" s="16" t="s">
        <v>158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</row>
    <row r="40" spans="1:12" ht="18" customHeight="1" x14ac:dyDescent="0.25">
      <c r="A40" s="16" t="s">
        <v>159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</row>
    <row r="41" spans="1:12" ht="18" customHeight="1" x14ac:dyDescent="0.25">
      <c r="A41" s="16" t="s">
        <v>160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</row>
    <row r="42" spans="1:12" ht="18" customHeight="1" x14ac:dyDescent="0.25">
      <c r="A42" s="16" t="s">
        <v>161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</row>
    <row r="43" spans="1:12" ht="18" customHeight="1" x14ac:dyDescent="0.25">
      <c r="A43" s="16" t="s">
        <v>162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</row>
    <row r="44" spans="1:12" ht="18" customHeight="1" x14ac:dyDescent="0.25">
      <c r="A44" s="16" t="s">
        <v>163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</row>
    <row r="45" spans="1:12" ht="18" customHeight="1" x14ac:dyDescent="0.25">
      <c r="A45" s="16" t="s">
        <v>164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</row>
    <row r="46" spans="1:12" ht="18" customHeight="1" x14ac:dyDescent="0.25">
      <c r="A46" s="16" t="s">
        <v>165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</row>
    <row r="47" spans="1:12" ht="18" customHeight="1" x14ac:dyDescent="0.25">
      <c r="A47" s="16" t="s">
        <v>166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</row>
    <row r="48" spans="1:12" ht="18" customHeight="1" x14ac:dyDescent="0.25">
      <c r="A48" s="16" t="s">
        <v>167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</row>
    <row r="49" spans="1:12" ht="18" customHeight="1" x14ac:dyDescent="0.25">
      <c r="A49" s="16" t="s">
        <v>168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</row>
    <row r="50" spans="1:12" ht="18" customHeight="1" x14ac:dyDescent="0.25">
      <c r="A50" s="16" t="s">
        <v>169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</row>
    <row r="51" spans="1:12" ht="18" customHeight="1" x14ac:dyDescent="0.25">
      <c r="A51" s="16" t="s">
        <v>170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</row>
    <row r="52" spans="1:12" ht="18" customHeight="1" x14ac:dyDescent="0.25">
      <c r="A52" s="16" t="s">
        <v>171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</row>
    <row r="53" spans="1:12" ht="18" customHeight="1" x14ac:dyDescent="0.25">
      <c r="A53" s="16" t="s">
        <v>172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</row>
    <row r="54" spans="1:12" x14ac:dyDescent="0.25">
      <c r="A54" s="35" t="s">
        <v>173</v>
      </c>
    </row>
    <row r="55" spans="1:12" x14ac:dyDescent="0.25">
      <c r="A55" s="35" t="s">
        <v>174</v>
      </c>
    </row>
    <row r="56" spans="1:12" x14ac:dyDescent="0.25">
      <c r="A56" s="35" t="s">
        <v>175</v>
      </c>
    </row>
    <row r="57" spans="1:12" x14ac:dyDescent="0.25">
      <c r="A57" s="35" t="s">
        <v>176</v>
      </c>
    </row>
    <row r="58" spans="1:12" x14ac:dyDescent="0.25">
      <c r="A58" s="35" t="s">
        <v>177</v>
      </c>
    </row>
    <row r="59" spans="1:12" x14ac:dyDescent="0.25">
      <c r="A59" s="35" t="s">
        <v>178</v>
      </c>
    </row>
    <row r="60" spans="1:12" x14ac:dyDescent="0.25">
      <c r="A60" s="35" t="s">
        <v>179</v>
      </c>
    </row>
    <row r="61" spans="1:12" x14ac:dyDescent="0.25">
      <c r="A61" s="35" t="s">
        <v>180</v>
      </c>
    </row>
    <row r="62" spans="1:12" x14ac:dyDescent="0.25">
      <c r="A62" s="35" t="s">
        <v>181</v>
      </c>
    </row>
    <row r="63" spans="1:12" x14ac:dyDescent="0.25">
      <c r="A63" s="35" t="s">
        <v>182</v>
      </c>
    </row>
    <row r="64" spans="1:12" x14ac:dyDescent="0.25">
      <c r="A64" s="35" t="s">
        <v>183</v>
      </c>
    </row>
    <row r="65" spans="1:1" x14ac:dyDescent="0.25">
      <c r="A65" s="35" t="s">
        <v>184</v>
      </c>
    </row>
    <row r="66" spans="1:1" x14ac:dyDescent="0.25">
      <c r="A66" s="35" t="s">
        <v>185</v>
      </c>
    </row>
    <row r="67" spans="1:1" x14ac:dyDescent="0.25">
      <c r="A67" s="35" t="s">
        <v>186</v>
      </c>
    </row>
    <row r="68" spans="1:1" x14ac:dyDescent="0.25">
      <c r="A68" s="35" t="s">
        <v>187</v>
      </c>
    </row>
    <row r="69" spans="1:1" x14ac:dyDescent="0.25">
      <c r="A69" s="35" t="s">
        <v>188</v>
      </c>
    </row>
    <row r="70" spans="1:1" x14ac:dyDescent="0.25">
      <c r="A70" s="35" t="s">
        <v>189</v>
      </c>
    </row>
    <row r="71" spans="1:1" x14ac:dyDescent="0.25">
      <c r="A71" s="35" t="s">
        <v>190</v>
      </c>
    </row>
    <row r="72" spans="1:1" x14ac:dyDescent="0.25">
      <c r="A72" s="35" t="s">
        <v>191</v>
      </c>
    </row>
    <row r="73" spans="1:1" x14ac:dyDescent="0.25">
      <c r="A73" s="35" t="s">
        <v>192</v>
      </c>
    </row>
    <row r="74" spans="1:1" x14ac:dyDescent="0.25">
      <c r="A74" s="35" t="s">
        <v>193</v>
      </c>
    </row>
    <row r="75" spans="1:1" x14ac:dyDescent="0.25">
      <c r="A75" s="35" t="s">
        <v>194</v>
      </c>
    </row>
    <row r="76" spans="1:1" x14ac:dyDescent="0.25">
      <c r="A76" s="35" t="s">
        <v>195</v>
      </c>
    </row>
    <row r="77" spans="1:1" x14ac:dyDescent="0.25">
      <c r="A77" s="35" t="s">
        <v>196</v>
      </c>
    </row>
    <row r="78" spans="1:1" x14ac:dyDescent="0.25">
      <c r="A78" s="35" t="s">
        <v>197</v>
      </c>
    </row>
    <row r="79" spans="1:1" x14ac:dyDescent="0.25">
      <c r="A79" s="35" t="s">
        <v>198</v>
      </c>
    </row>
    <row r="80" spans="1:1" x14ac:dyDescent="0.25">
      <c r="A80" s="35" t="s">
        <v>199</v>
      </c>
    </row>
    <row r="81" spans="1:1" x14ac:dyDescent="0.25">
      <c r="A81" s="35" t="s">
        <v>200</v>
      </c>
    </row>
    <row r="82" spans="1:1" x14ac:dyDescent="0.25">
      <c r="A82" s="35" t="s">
        <v>201</v>
      </c>
    </row>
    <row r="83" spans="1:1" x14ac:dyDescent="0.25">
      <c r="A83" s="35" t="s">
        <v>202</v>
      </c>
    </row>
    <row r="84" spans="1:1" x14ac:dyDescent="0.25">
      <c r="A84" s="35" t="s">
        <v>203</v>
      </c>
    </row>
    <row r="85" spans="1:1" x14ac:dyDescent="0.25">
      <c r="A85" s="35" t="s">
        <v>204</v>
      </c>
    </row>
    <row r="86" spans="1:1" x14ac:dyDescent="0.25">
      <c r="A86" s="35" t="s">
        <v>205</v>
      </c>
    </row>
    <row r="87" spans="1:1" x14ac:dyDescent="0.25">
      <c r="A87" s="35" t="s">
        <v>206</v>
      </c>
    </row>
    <row r="88" spans="1:1" x14ac:dyDescent="0.25">
      <c r="A88" s="35" t="s">
        <v>207</v>
      </c>
    </row>
    <row r="89" spans="1:1" x14ac:dyDescent="0.25">
      <c r="A89" s="35" t="s">
        <v>208</v>
      </c>
    </row>
    <row r="90" spans="1:1" x14ac:dyDescent="0.25">
      <c r="A90" s="35" t="s">
        <v>209</v>
      </c>
    </row>
    <row r="91" spans="1:1" x14ac:dyDescent="0.25">
      <c r="A91" s="35" t="s">
        <v>210</v>
      </c>
    </row>
    <row r="92" spans="1:1" x14ac:dyDescent="0.25">
      <c r="A92" s="35" t="s">
        <v>76</v>
      </c>
    </row>
    <row r="93" spans="1:1" x14ac:dyDescent="0.25">
      <c r="A93" s="35" t="s">
        <v>211</v>
      </c>
    </row>
    <row r="94" spans="1:1" x14ac:dyDescent="0.25">
      <c r="A94" s="35" t="s">
        <v>212</v>
      </c>
    </row>
    <row r="95" spans="1:1" x14ac:dyDescent="0.25">
      <c r="A95" s="35" t="s">
        <v>213</v>
      </c>
    </row>
    <row r="96" spans="1:1" x14ac:dyDescent="0.25">
      <c r="A96" s="35" t="s">
        <v>214</v>
      </c>
    </row>
    <row r="97" spans="1:1" x14ac:dyDescent="0.25">
      <c r="A97" s="35" t="s">
        <v>215</v>
      </c>
    </row>
    <row r="98" spans="1:1" x14ac:dyDescent="0.25">
      <c r="A98" s="35" t="s">
        <v>216</v>
      </c>
    </row>
    <row r="99" spans="1:1" x14ac:dyDescent="0.25">
      <c r="A99" s="35" t="s">
        <v>217</v>
      </c>
    </row>
    <row r="100" spans="1:1" x14ac:dyDescent="0.25">
      <c r="A100" s="35" t="s">
        <v>218</v>
      </c>
    </row>
    <row r="101" spans="1:1" x14ac:dyDescent="0.25">
      <c r="A101" s="35" t="s">
        <v>219</v>
      </c>
    </row>
    <row r="102" spans="1:1" x14ac:dyDescent="0.25">
      <c r="A102" s="35" t="s">
        <v>220</v>
      </c>
    </row>
    <row r="103" spans="1:1" x14ac:dyDescent="0.25">
      <c r="A103" s="35" t="s">
        <v>221</v>
      </c>
    </row>
    <row r="104" spans="1:1" x14ac:dyDescent="0.25">
      <c r="A104" s="35" t="s">
        <v>222</v>
      </c>
    </row>
    <row r="105" spans="1:1" x14ac:dyDescent="0.25">
      <c r="A105" s="35" t="s">
        <v>223</v>
      </c>
    </row>
    <row r="106" spans="1:1" x14ac:dyDescent="0.25">
      <c r="A106" s="35" t="s">
        <v>224</v>
      </c>
    </row>
    <row r="107" spans="1:1" x14ac:dyDescent="0.25">
      <c r="A107" s="35" t="s">
        <v>225</v>
      </c>
    </row>
    <row r="108" spans="1:1" x14ac:dyDescent="0.25">
      <c r="A108" s="35" t="s">
        <v>226</v>
      </c>
    </row>
    <row r="109" spans="1:1" x14ac:dyDescent="0.25">
      <c r="A109" s="35" t="s">
        <v>227</v>
      </c>
    </row>
    <row r="110" spans="1:1" x14ac:dyDescent="0.25">
      <c r="A110" s="35" t="s">
        <v>228</v>
      </c>
    </row>
    <row r="111" spans="1:1" x14ac:dyDescent="0.25">
      <c r="A111" s="35" t="s">
        <v>229</v>
      </c>
    </row>
    <row r="112" spans="1:1" x14ac:dyDescent="0.25">
      <c r="A112" s="35" t="s">
        <v>230</v>
      </c>
    </row>
    <row r="113" spans="1:1" x14ac:dyDescent="0.25">
      <c r="A113" s="35" t="s">
        <v>231</v>
      </c>
    </row>
    <row r="114" spans="1:1" x14ac:dyDescent="0.25">
      <c r="A114" s="35" t="s">
        <v>232</v>
      </c>
    </row>
    <row r="115" spans="1:1" x14ac:dyDescent="0.25">
      <c r="A115" s="35" t="s">
        <v>233</v>
      </c>
    </row>
    <row r="116" spans="1:1" x14ac:dyDescent="0.25">
      <c r="A116" s="35" t="s">
        <v>234</v>
      </c>
    </row>
    <row r="117" spans="1:1" x14ac:dyDescent="0.25">
      <c r="A117" s="35" t="s">
        <v>235</v>
      </c>
    </row>
    <row r="118" spans="1:1" x14ac:dyDescent="0.25">
      <c r="A118" s="35" t="s">
        <v>236</v>
      </c>
    </row>
    <row r="119" spans="1:1" x14ac:dyDescent="0.25">
      <c r="A119" s="35" t="s">
        <v>237</v>
      </c>
    </row>
    <row r="120" spans="1:1" x14ac:dyDescent="0.25">
      <c r="A120" s="35" t="s">
        <v>238</v>
      </c>
    </row>
    <row r="121" spans="1:1" x14ac:dyDescent="0.25">
      <c r="A121" s="35" t="s">
        <v>239</v>
      </c>
    </row>
    <row r="122" spans="1:1" x14ac:dyDescent="0.25">
      <c r="A122" s="35" t="s">
        <v>240</v>
      </c>
    </row>
    <row r="123" spans="1:1" x14ac:dyDescent="0.25">
      <c r="A123" s="35" t="s">
        <v>241</v>
      </c>
    </row>
    <row r="124" spans="1:1" x14ac:dyDescent="0.25">
      <c r="A124" s="35" t="s">
        <v>242</v>
      </c>
    </row>
    <row r="125" spans="1:1" x14ac:dyDescent="0.25">
      <c r="A125" s="35" t="s">
        <v>243</v>
      </c>
    </row>
    <row r="126" spans="1:1" x14ac:dyDescent="0.25">
      <c r="A126" s="35" t="s">
        <v>244</v>
      </c>
    </row>
    <row r="127" spans="1:1" x14ac:dyDescent="0.25">
      <c r="A127" s="35" t="s">
        <v>245</v>
      </c>
    </row>
    <row r="128" spans="1:1" x14ac:dyDescent="0.25">
      <c r="A128" s="35" t="s">
        <v>246</v>
      </c>
    </row>
    <row r="129" spans="1:1" x14ac:dyDescent="0.25">
      <c r="A129" s="35" t="s">
        <v>247</v>
      </c>
    </row>
    <row r="130" spans="1:1" x14ac:dyDescent="0.25">
      <c r="A130" s="35" t="s">
        <v>248</v>
      </c>
    </row>
    <row r="131" spans="1:1" x14ac:dyDescent="0.25">
      <c r="A131" s="35" t="s">
        <v>249</v>
      </c>
    </row>
    <row r="132" spans="1:1" x14ac:dyDescent="0.25">
      <c r="A132" s="35" t="s">
        <v>250</v>
      </c>
    </row>
    <row r="133" spans="1:1" x14ac:dyDescent="0.25">
      <c r="A133" s="35" t="s">
        <v>251</v>
      </c>
    </row>
    <row r="134" spans="1:1" x14ac:dyDescent="0.25">
      <c r="A134" s="35" t="s">
        <v>252</v>
      </c>
    </row>
    <row r="135" spans="1:1" x14ac:dyDescent="0.25">
      <c r="A135" s="35" t="s">
        <v>82</v>
      </c>
    </row>
    <row r="136" spans="1:1" x14ac:dyDescent="0.25">
      <c r="A136" s="35" t="s">
        <v>253</v>
      </c>
    </row>
    <row r="137" spans="1:1" x14ac:dyDescent="0.25">
      <c r="A137" s="35" t="s">
        <v>254</v>
      </c>
    </row>
    <row r="138" spans="1:1" x14ac:dyDescent="0.25">
      <c r="A138" s="35" t="s">
        <v>255</v>
      </c>
    </row>
    <row r="139" spans="1:1" x14ac:dyDescent="0.25">
      <c r="A139" s="35" t="s">
        <v>256</v>
      </c>
    </row>
    <row r="140" spans="1:1" x14ac:dyDescent="0.25">
      <c r="A140" s="35" t="s">
        <v>257</v>
      </c>
    </row>
    <row r="141" spans="1:1" x14ac:dyDescent="0.25">
      <c r="A141" s="35" t="s">
        <v>258</v>
      </c>
    </row>
    <row r="142" spans="1:1" x14ac:dyDescent="0.25">
      <c r="A142" s="35" t="s">
        <v>259</v>
      </c>
    </row>
    <row r="143" spans="1:1" x14ac:dyDescent="0.25">
      <c r="A143" s="35" t="s">
        <v>260</v>
      </c>
    </row>
    <row r="144" spans="1:1" x14ac:dyDescent="0.25">
      <c r="A144" s="35" t="s">
        <v>261</v>
      </c>
    </row>
    <row r="145" spans="1:1" x14ac:dyDescent="0.25">
      <c r="A145" s="35" t="s">
        <v>262</v>
      </c>
    </row>
    <row r="146" spans="1:1" x14ac:dyDescent="0.25">
      <c r="A146" s="35" t="s">
        <v>263</v>
      </c>
    </row>
    <row r="147" spans="1:1" x14ac:dyDescent="0.25">
      <c r="A147" s="35" t="s">
        <v>264</v>
      </c>
    </row>
    <row r="148" spans="1:1" x14ac:dyDescent="0.25">
      <c r="A148" s="35" t="s">
        <v>265</v>
      </c>
    </row>
    <row r="149" spans="1:1" x14ac:dyDescent="0.25">
      <c r="A149" s="35" t="s">
        <v>266</v>
      </c>
    </row>
    <row r="150" spans="1:1" x14ac:dyDescent="0.25">
      <c r="A150" s="35" t="s">
        <v>267</v>
      </c>
    </row>
    <row r="151" spans="1:1" x14ac:dyDescent="0.25">
      <c r="A151" s="35" t="s">
        <v>268</v>
      </c>
    </row>
    <row r="152" spans="1:1" x14ac:dyDescent="0.25">
      <c r="A152" s="35" t="s">
        <v>269</v>
      </c>
    </row>
    <row r="153" spans="1:1" x14ac:dyDescent="0.25">
      <c r="A153" s="35" t="s">
        <v>270</v>
      </c>
    </row>
    <row r="154" spans="1:1" x14ac:dyDescent="0.25">
      <c r="A154" s="35" t="s">
        <v>271</v>
      </c>
    </row>
    <row r="155" spans="1:1" x14ac:dyDescent="0.25">
      <c r="A155" s="35" t="s">
        <v>272</v>
      </c>
    </row>
    <row r="156" spans="1:1" x14ac:dyDescent="0.25">
      <c r="A156" s="35" t="s">
        <v>273</v>
      </c>
    </row>
    <row r="157" spans="1:1" x14ac:dyDescent="0.25">
      <c r="A157" s="35" t="s">
        <v>274</v>
      </c>
    </row>
    <row r="158" spans="1:1" x14ac:dyDescent="0.25">
      <c r="A158" s="35" t="s">
        <v>275</v>
      </c>
    </row>
    <row r="159" spans="1:1" x14ac:dyDescent="0.25">
      <c r="A159" s="35" t="s">
        <v>276</v>
      </c>
    </row>
    <row r="160" spans="1:1" x14ac:dyDescent="0.25">
      <c r="A160" s="35" t="s">
        <v>277</v>
      </c>
    </row>
    <row r="161" spans="1:1" x14ac:dyDescent="0.25">
      <c r="A161" s="35" t="s">
        <v>278</v>
      </c>
    </row>
    <row r="162" spans="1:1" x14ac:dyDescent="0.25">
      <c r="A162" s="35" t="s">
        <v>279</v>
      </c>
    </row>
    <row r="163" spans="1:1" x14ac:dyDescent="0.25">
      <c r="A163" s="35" t="s">
        <v>280</v>
      </c>
    </row>
    <row r="164" spans="1:1" x14ac:dyDescent="0.25">
      <c r="A164" s="35" t="s">
        <v>281</v>
      </c>
    </row>
    <row r="165" spans="1:1" x14ac:dyDescent="0.25">
      <c r="A165" s="35" t="s">
        <v>282</v>
      </c>
    </row>
    <row r="166" spans="1:1" x14ac:dyDescent="0.25">
      <c r="A166" s="35" t="s">
        <v>283</v>
      </c>
    </row>
    <row r="167" spans="1:1" x14ac:dyDescent="0.25">
      <c r="A167" s="35" t="s">
        <v>284</v>
      </c>
    </row>
    <row r="168" spans="1:1" x14ac:dyDescent="0.25">
      <c r="A168" s="35" t="s">
        <v>285</v>
      </c>
    </row>
    <row r="169" spans="1:1" x14ac:dyDescent="0.25">
      <c r="A169" s="35" t="s">
        <v>286</v>
      </c>
    </row>
    <row r="170" spans="1:1" x14ac:dyDescent="0.25">
      <c r="A170" s="35" t="s">
        <v>287</v>
      </c>
    </row>
    <row r="171" spans="1:1" x14ac:dyDescent="0.25">
      <c r="A171" s="35" t="s">
        <v>288</v>
      </c>
    </row>
    <row r="172" spans="1:1" x14ac:dyDescent="0.25">
      <c r="A172" s="35" t="s">
        <v>289</v>
      </c>
    </row>
    <row r="173" spans="1:1" x14ac:dyDescent="0.25">
      <c r="A173" s="35" t="s">
        <v>290</v>
      </c>
    </row>
    <row r="174" spans="1:1" x14ac:dyDescent="0.25">
      <c r="A174" s="35" t="s">
        <v>291</v>
      </c>
    </row>
    <row r="175" spans="1:1" x14ac:dyDescent="0.25">
      <c r="A175" s="35" t="s">
        <v>292</v>
      </c>
    </row>
    <row r="176" spans="1:1" x14ac:dyDescent="0.25">
      <c r="A176" s="35" t="s">
        <v>293</v>
      </c>
    </row>
    <row r="177" spans="1:1" x14ac:dyDescent="0.25">
      <c r="A177" s="35" t="s">
        <v>294</v>
      </c>
    </row>
    <row r="178" spans="1:1" x14ac:dyDescent="0.25">
      <c r="A178" s="35" t="s">
        <v>295</v>
      </c>
    </row>
    <row r="179" spans="1:1" x14ac:dyDescent="0.25">
      <c r="A179" s="35" t="s">
        <v>296</v>
      </c>
    </row>
    <row r="180" spans="1:1" x14ac:dyDescent="0.25">
      <c r="A180" s="35" t="s">
        <v>297</v>
      </c>
    </row>
    <row r="181" spans="1:1" x14ac:dyDescent="0.25">
      <c r="A181" s="35" t="s">
        <v>298</v>
      </c>
    </row>
    <row r="182" spans="1:1" x14ac:dyDescent="0.25">
      <c r="A182" s="35" t="s">
        <v>299</v>
      </c>
    </row>
    <row r="183" spans="1:1" x14ac:dyDescent="0.25">
      <c r="A183" s="35" t="s">
        <v>300</v>
      </c>
    </row>
    <row r="184" spans="1:1" x14ac:dyDescent="0.25">
      <c r="A184" s="35" t="s">
        <v>301</v>
      </c>
    </row>
    <row r="185" spans="1:1" x14ac:dyDescent="0.25">
      <c r="A185" s="35" t="s">
        <v>302</v>
      </c>
    </row>
    <row r="186" spans="1:1" x14ac:dyDescent="0.25">
      <c r="A186" s="35" t="s">
        <v>303</v>
      </c>
    </row>
    <row r="187" spans="1:1" x14ac:dyDescent="0.25">
      <c r="A187" s="35" t="s">
        <v>304</v>
      </c>
    </row>
    <row r="188" spans="1:1" x14ac:dyDescent="0.25">
      <c r="A188" s="35" t="s">
        <v>305</v>
      </c>
    </row>
    <row r="189" spans="1:1" x14ac:dyDescent="0.25">
      <c r="A189" s="35" t="s">
        <v>306</v>
      </c>
    </row>
    <row r="190" spans="1:1" x14ac:dyDescent="0.25">
      <c r="A190" s="35" t="s">
        <v>307</v>
      </c>
    </row>
    <row r="191" spans="1:1" x14ac:dyDescent="0.25">
      <c r="A191" s="35" t="s">
        <v>308</v>
      </c>
    </row>
    <row r="192" spans="1:1" x14ac:dyDescent="0.25">
      <c r="A192" s="35" t="s">
        <v>309</v>
      </c>
    </row>
    <row r="193" spans="1:1" x14ac:dyDescent="0.25">
      <c r="A193" s="35" t="s">
        <v>310</v>
      </c>
    </row>
    <row r="194" spans="1:1" x14ac:dyDescent="0.25">
      <c r="A194" s="35" t="s">
        <v>311</v>
      </c>
    </row>
    <row r="195" spans="1:1" x14ac:dyDescent="0.25">
      <c r="A195" s="35" t="s">
        <v>312</v>
      </c>
    </row>
    <row r="196" spans="1:1" x14ac:dyDescent="0.25">
      <c r="A196" s="35" t="s">
        <v>313</v>
      </c>
    </row>
    <row r="197" spans="1:1" x14ac:dyDescent="0.25">
      <c r="A197" s="35" t="s">
        <v>314</v>
      </c>
    </row>
    <row r="198" spans="1:1" x14ac:dyDescent="0.25">
      <c r="A198" s="35" t="s">
        <v>315</v>
      </c>
    </row>
    <row r="199" spans="1:1" x14ac:dyDescent="0.25">
      <c r="A199" s="35" t="s">
        <v>316</v>
      </c>
    </row>
    <row r="200" spans="1:1" x14ac:dyDescent="0.25">
      <c r="A200" s="35" t="s">
        <v>317</v>
      </c>
    </row>
    <row r="201" spans="1:1" x14ac:dyDescent="0.25">
      <c r="A201" s="35" t="s">
        <v>318</v>
      </c>
    </row>
    <row r="202" spans="1:1" x14ac:dyDescent="0.25">
      <c r="A202" s="35" t="s">
        <v>319</v>
      </c>
    </row>
    <row r="203" spans="1:1" x14ac:dyDescent="0.25">
      <c r="A203" s="35" t="s">
        <v>320</v>
      </c>
    </row>
    <row r="204" spans="1:1" x14ac:dyDescent="0.25">
      <c r="A204" s="35" t="s">
        <v>321</v>
      </c>
    </row>
    <row r="205" spans="1:1" x14ac:dyDescent="0.25">
      <c r="A205" s="35" t="s">
        <v>322</v>
      </c>
    </row>
    <row r="206" spans="1:1" x14ac:dyDescent="0.25">
      <c r="A206" s="35" t="s">
        <v>323</v>
      </c>
    </row>
    <row r="207" spans="1:1" x14ac:dyDescent="0.25">
      <c r="A207" s="35" t="s">
        <v>324</v>
      </c>
    </row>
    <row r="208" spans="1:1" x14ac:dyDescent="0.25">
      <c r="A208" s="35" t="s">
        <v>325</v>
      </c>
    </row>
    <row r="209" spans="1:1" x14ac:dyDescent="0.25">
      <c r="A209" s="35" t="s">
        <v>326</v>
      </c>
    </row>
    <row r="210" spans="1:1" x14ac:dyDescent="0.25">
      <c r="A210" s="35" t="s">
        <v>327</v>
      </c>
    </row>
    <row r="211" spans="1:1" x14ac:dyDescent="0.25">
      <c r="A211" s="35" t="s">
        <v>328</v>
      </c>
    </row>
    <row r="212" spans="1:1" x14ac:dyDescent="0.25">
      <c r="A212" s="35" t="s">
        <v>329</v>
      </c>
    </row>
    <row r="213" spans="1:1" x14ac:dyDescent="0.25">
      <c r="A213" s="35" t="s">
        <v>330</v>
      </c>
    </row>
    <row r="214" spans="1:1" x14ac:dyDescent="0.25">
      <c r="A214" s="35" t="s">
        <v>331</v>
      </c>
    </row>
    <row r="215" spans="1:1" x14ac:dyDescent="0.25">
      <c r="A215" s="35" t="s">
        <v>332</v>
      </c>
    </row>
    <row r="216" spans="1:1" x14ac:dyDescent="0.25">
      <c r="A216" s="35" t="s">
        <v>333</v>
      </c>
    </row>
    <row r="217" spans="1:1" x14ac:dyDescent="0.25">
      <c r="A217" s="35" t="s">
        <v>334</v>
      </c>
    </row>
    <row r="218" spans="1:1" x14ac:dyDescent="0.25">
      <c r="A218" s="35" t="s">
        <v>335</v>
      </c>
    </row>
    <row r="219" spans="1:1" x14ac:dyDescent="0.25">
      <c r="A219" s="35" t="s">
        <v>336</v>
      </c>
    </row>
    <row r="220" spans="1:1" x14ac:dyDescent="0.25">
      <c r="A220" s="35" t="s">
        <v>337</v>
      </c>
    </row>
    <row r="221" spans="1:1" x14ac:dyDescent="0.25">
      <c r="A221" s="35" t="s">
        <v>338</v>
      </c>
    </row>
    <row r="222" spans="1:1" x14ac:dyDescent="0.25">
      <c r="A222" s="35" t="s">
        <v>339</v>
      </c>
    </row>
    <row r="223" spans="1:1" x14ac:dyDescent="0.25">
      <c r="A223" s="35" t="s">
        <v>340</v>
      </c>
    </row>
    <row r="224" spans="1:1" x14ac:dyDescent="0.25">
      <c r="A224" s="35" t="s">
        <v>341</v>
      </c>
    </row>
    <row r="225" spans="1:1" x14ac:dyDescent="0.25">
      <c r="A225" s="35" t="s">
        <v>342</v>
      </c>
    </row>
    <row r="226" spans="1:1" x14ac:dyDescent="0.25">
      <c r="A226" s="35" t="s">
        <v>343</v>
      </c>
    </row>
    <row r="227" spans="1:1" x14ac:dyDescent="0.25">
      <c r="A227" s="35" t="s">
        <v>344</v>
      </c>
    </row>
    <row r="228" spans="1:1" x14ac:dyDescent="0.25">
      <c r="A228" s="35" t="s">
        <v>345</v>
      </c>
    </row>
    <row r="229" spans="1:1" x14ac:dyDescent="0.25">
      <c r="A229" s="35" t="s">
        <v>346</v>
      </c>
    </row>
    <row r="230" spans="1:1" x14ac:dyDescent="0.25">
      <c r="A230" s="35" t="s">
        <v>347</v>
      </c>
    </row>
    <row r="231" spans="1:1" x14ac:dyDescent="0.25">
      <c r="A231" s="35" t="s">
        <v>348</v>
      </c>
    </row>
    <row r="232" spans="1:1" x14ac:dyDescent="0.25">
      <c r="A232" s="35" t="s">
        <v>349</v>
      </c>
    </row>
    <row r="233" spans="1:1" x14ac:dyDescent="0.25">
      <c r="A233" s="35" t="s">
        <v>350</v>
      </c>
    </row>
    <row r="234" spans="1:1" x14ac:dyDescent="0.25">
      <c r="A234" s="35" t="s">
        <v>351</v>
      </c>
    </row>
    <row r="235" spans="1:1" x14ac:dyDescent="0.25">
      <c r="A235" s="35" t="s">
        <v>352</v>
      </c>
    </row>
    <row r="236" spans="1:1" x14ac:dyDescent="0.25">
      <c r="A236" s="35" t="s">
        <v>353</v>
      </c>
    </row>
    <row r="237" spans="1:1" x14ac:dyDescent="0.25">
      <c r="A237" s="35" t="s">
        <v>354</v>
      </c>
    </row>
    <row r="238" spans="1:1" x14ac:dyDescent="0.25">
      <c r="A238" s="35" t="s">
        <v>355</v>
      </c>
    </row>
    <row r="239" spans="1:1" x14ac:dyDescent="0.25">
      <c r="A239" s="35" t="s">
        <v>356</v>
      </c>
    </row>
    <row r="240" spans="1:1" x14ac:dyDescent="0.25">
      <c r="A240" s="35" t="s">
        <v>357</v>
      </c>
    </row>
    <row r="241" spans="1:1" x14ac:dyDescent="0.25">
      <c r="A241" s="35" t="s">
        <v>358</v>
      </c>
    </row>
    <row r="242" spans="1:1" x14ac:dyDescent="0.25">
      <c r="A242" s="35" t="s">
        <v>359</v>
      </c>
    </row>
    <row r="243" spans="1:1" x14ac:dyDescent="0.25">
      <c r="A243" s="35" t="s">
        <v>360</v>
      </c>
    </row>
    <row r="244" spans="1:1" x14ac:dyDescent="0.25">
      <c r="A244" s="35" t="s">
        <v>361</v>
      </c>
    </row>
    <row r="245" spans="1:1" x14ac:dyDescent="0.25">
      <c r="A245" s="35" t="s">
        <v>362</v>
      </c>
    </row>
    <row r="246" spans="1:1" x14ac:dyDescent="0.25">
      <c r="A246" s="35" t="s">
        <v>363</v>
      </c>
    </row>
    <row r="247" spans="1:1" x14ac:dyDescent="0.25">
      <c r="A247" s="35" t="s">
        <v>364</v>
      </c>
    </row>
    <row r="248" spans="1:1" x14ac:dyDescent="0.25">
      <c r="A248" s="35" t="s">
        <v>365</v>
      </c>
    </row>
    <row r="249" spans="1:1" x14ac:dyDescent="0.25">
      <c r="A249" s="35" t="s">
        <v>366</v>
      </c>
    </row>
    <row r="250" spans="1:1" x14ac:dyDescent="0.25">
      <c r="A250" s="35" t="s">
        <v>367</v>
      </c>
    </row>
    <row r="251" spans="1:1" x14ac:dyDescent="0.25">
      <c r="A251" s="35" t="s">
        <v>368</v>
      </c>
    </row>
    <row r="252" spans="1:1" x14ac:dyDescent="0.25">
      <c r="A252" s="35" t="s">
        <v>369</v>
      </c>
    </row>
    <row r="253" spans="1:1" x14ac:dyDescent="0.25">
      <c r="A253" s="35" t="s">
        <v>370</v>
      </c>
    </row>
    <row r="254" spans="1:1" x14ac:dyDescent="0.25">
      <c r="A254" s="35" t="s">
        <v>371</v>
      </c>
    </row>
    <row r="255" spans="1:1" x14ac:dyDescent="0.25">
      <c r="A255" s="35" t="s">
        <v>372</v>
      </c>
    </row>
    <row r="256" spans="1:1" x14ac:dyDescent="0.25">
      <c r="A256" s="35" t="s">
        <v>373</v>
      </c>
    </row>
    <row r="257" spans="1:1" x14ac:dyDescent="0.25">
      <c r="A257" s="35" t="s">
        <v>374</v>
      </c>
    </row>
    <row r="258" spans="1:1" x14ac:dyDescent="0.25">
      <c r="A258" s="35" t="s">
        <v>375</v>
      </c>
    </row>
    <row r="259" spans="1:1" x14ac:dyDescent="0.25">
      <c r="A259" s="35" t="s">
        <v>376</v>
      </c>
    </row>
    <row r="260" spans="1:1" x14ac:dyDescent="0.25">
      <c r="A260" s="35" t="s">
        <v>377</v>
      </c>
    </row>
    <row r="261" spans="1:1" x14ac:dyDescent="0.25">
      <c r="A261" s="35" t="s">
        <v>378</v>
      </c>
    </row>
    <row r="262" spans="1:1" x14ac:dyDescent="0.25">
      <c r="A262" s="35" t="s">
        <v>379</v>
      </c>
    </row>
    <row r="263" spans="1:1" x14ac:dyDescent="0.25">
      <c r="A263" s="35" t="s">
        <v>380</v>
      </c>
    </row>
    <row r="264" spans="1:1" x14ac:dyDescent="0.25">
      <c r="A264" s="35" t="s">
        <v>381</v>
      </c>
    </row>
    <row r="265" spans="1:1" x14ac:dyDescent="0.25">
      <c r="A265" s="35" t="s">
        <v>382</v>
      </c>
    </row>
    <row r="266" spans="1:1" x14ac:dyDescent="0.25">
      <c r="A266" s="35" t="s">
        <v>383</v>
      </c>
    </row>
    <row r="267" spans="1:1" x14ac:dyDescent="0.25">
      <c r="A267" s="35" t="s">
        <v>384</v>
      </c>
    </row>
    <row r="268" spans="1:1" x14ac:dyDescent="0.25">
      <c r="A268" s="35" t="s">
        <v>385</v>
      </c>
    </row>
    <row r="269" spans="1:1" x14ac:dyDescent="0.25">
      <c r="A269" s="35" t="s">
        <v>386</v>
      </c>
    </row>
    <row r="270" spans="1:1" x14ac:dyDescent="0.25">
      <c r="A270" s="35" t="s">
        <v>387</v>
      </c>
    </row>
    <row r="271" spans="1:1" x14ac:dyDescent="0.25">
      <c r="A271" s="35" t="s">
        <v>388</v>
      </c>
    </row>
    <row r="272" spans="1:1" x14ac:dyDescent="0.25">
      <c r="A272" s="35" t="s">
        <v>389</v>
      </c>
    </row>
    <row r="273" spans="1:1" x14ac:dyDescent="0.25">
      <c r="A273" s="35" t="s">
        <v>390</v>
      </c>
    </row>
    <row r="274" spans="1:1" x14ac:dyDescent="0.25">
      <c r="A274" s="35" t="s">
        <v>391</v>
      </c>
    </row>
    <row r="275" spans="1:1" x14ac:dyDescent="0.25">
      <c r="A275" s="35" t="s">
        <v>392</v>
      </c>
    </row>
    <row r="276" spans="1:1" x14ac:dyDescent="0.25">
      <c r="A276" s="35" t="s">
        <v>393</v>
      </c>
    </row>
    <row r="277" spans="1:1" x14ac:dyDescent="0.25">
      <c r="A277" s="35" t="s">
        <v>394</v>
      </c>
    </row>
    <row r="278" spans="1:1" x14ac:dyDescent="0.25">
      <c r="A278" s="35" t="s">
        <v>395</v>
      </c>
    </row>
    <row r="279" spans="1:1" x14ac:dyDescent="0.25">
      <c r="A279" s="35" t="s">
        <v>396</v>
      </c>
    </row>
    <row r="280" spans="1:1" x14ac:dyDescent="0.25">
      <c r="A280" s="35" t="s">
        <v>397</v>
      </c>
    </row>
    <row r="281" spans="1:1" x14ac:dyDescent="0.25">
      <c r="A281" s="35" t="s">
        <v>398</v>
      </c>
    </row>
    <row r="282" spans="1:1" x14ac:dyDescent="0.25">
      <c r="A282" s="35" t="s">
        <v>399</v>
      </c>
    </row>
    <row r="283" spans="1:1" x14ac:dyDescent="0.25">
      <c r="A283" s="35" t="s">
        <v>400</v>
      </c>
    </row>
    <row r="284" spans="1:1" x14ac:dyDescent="0.25">
      <c r="A284" s="35" t="s">
        <v>401</v>
      </c>
    </row>
    <row r="285" spans="1:1" x14ac:dyDescent="0.25">
      <c r="A285" s="35" t="s">
        <v>402</v>
      </c>
    </row>
    <row r="286" spans="1:1" x14ac:dyDescent="0.25">
      <c r="A286" s="35" t="s">
        <v>403</v>
      </c>
    </row>
    <row r="287" spans="1:1" x14ac:dyDescent="0.25">
      <c r="A287" s="35" t="s">
        <v>404</v>
      </c>
    </row>
    <row r="288" spans="1:1" x14ac:dyDescent="0.25">
      <c r="A288" s="35" t="s">
        <v>405</v>
      </c>
    </row>
    <row r="289" spans="1:1" x14ac:dyDescent="0.25">
      <c r="A289" s="35" t="s">
        <v>406</v>
      </c>
    </row>
    <row r="290" spans="1:1" x14ac:dyDescent="0.25">
      <c r="A290" s="35" t="s">
        <v>407</v>
      </c>
    </row>
    <row r="291" spans="1:1" x14ac:dyDescent="0.25">
      <c r="A291" s="35" t="s">
        <v>408</v>
      </c>
    </row>
    <row r="292" spans="1:1" x14ac:dyDescent="0.25">
      <c r="A292" s="35" t="s">
        <v>409</v>
      </c>
    </row>
    <row r="293" spans="1:1" x14ac:dyDescent="0.25">
      <c r="A293" s="35" t="s">
        <v>410</v>
      </c>
    </row>
    <row r="294" spans="1:1" x14ac:dyDescent="0.25">
      <c r="A294" s="35" t="s">
        <v>411</v>
      </c>
    </row>
    <row r="295" spans="1:1" x14ac:dyDescent="0.25">
      <c r="A295" s="35" t="s">
        <v>412</v>
      </c>
    </row>
    <row r="296" spans="1:1" x14ac:dyDescent="0.25">
      <c r="A296" s="35" t="s">
        <v>413</v>
      </c>
    </row>
    <row r="297" spans="1:1" x14ac:dyDescent="0.25">
      <c r="A297" s="35" t="s">
        <v>414</v>
      </c>
    </row>
    <row r="298" spans="1:1" x14ac:dyDescent="0.25">
      <c r="A298" s="35" t="s">
        <v>415</v>
      </c>
    </row>
    <row r="299" spans="1:1" x14ac:dyDescent="0.25">
      <c r="A299" s="35" t="s">
        <v>416</v>
      </c>
    </row>
    <row r="300" spans="1:1" x14ac:dyDescent="0.25">
      <c r="A300" s="35" t="s">
        <v>417</v>
      </c>
    </row>
    <row r="301" spans="1:1" x14ac:dyDescent="0.25">
      <c r="A301" s="35" t="s">
        <v>418</v>
      </c>
    </row>
    <row r="302" spans="1:1" x14ac:dyDescent="0.25">
      <c r="A302" s="35" t="s">
        <v>419</v>
      </c>
    </row>
    <row r="303" spans="1:1" x14ac:dyDescent="0.25">
      <c r="A303" s="35" t="s">
        <v>420</v>
      </c>
    </row>
    <row r="304" spans="1:1" x14ac:dyDescent="0.25">
      <c r="A304" s="35" t="s">
        <v>421</v>
      </c>
    </row>
    <row r="305" spans="1:1" x14ac:dyDescent="0.25">
      <c r="A305" s="35" t="s">
        <v>422</v>
      </c>
    </row>
    <row r="306" spans="1:1" x14ac:dyDescent="0.25">
      <c r="A306" s="35" t="s">
        <v>423</v>
      </c>
    </row>
    <row r="307" spans="1:1" x14ac:dyDescent="0.25">
      <c r="A307" s="35" t="s">
        <v>424</v>
      </c>
    </row>
    <row r="308" spans="1:1" x14ac:dyDescent="0.25">
      <c r="A308" s="35" t="s">
        <v>425</v>
      </c>
    </row>
    <row r="309" spans="1:1" x14ac:dyDescent="0.25">
      <c r="A309" s="35" t="s">
        <v>87</v>
      </c>
    </row>
    <row r="310" spans="1:1" x14ac:dyDescent="0.25">
      <c r="A310" s="35" t="s">
        <v>426</v>
      </c>
    </row>
    <row r="311" spans="1:1" x14ac:dyDescent="0.25">
      <c r="A311" s="35" t="s">
        <v>427</v>
      </c>
    </row>
    <row r="312" spans="1:1" x14ac:dyDescent="0.25">
      <c r="A312" s="35" t="s">
        <v>428</v>
      </c>
    </row>
    <row r="313" spans="1:1" x14ac:dyDescent="0.25">
      <c r="A313" s="35" t="s">
        <v>429</v>
      </c>
    </row>
    <row r="314" spans="1:1" x14ac:dyDescent="0.25">
      <c r="A314" s="35" t="s">
        <v>430</v>
      </c>
    </row>
    <row r="315" spans="1:1" x14ac:dyDescent="0.25">
      <c r="A315" s="35" t="s">
        <v>431</v>
      </c>
    </row>
    <row r="316" spans="1:1" x14ac:dyDescent="0.25">
      <c r="A316" s="35" t="s">
        <v>432</v>
      </c>
    </row>
    <row r="317" spans="1:1" x14ac:dyDescent="0.25">
      <c r="A317" s="35" t="s">
        <v>433</v>
      </c>
    </row>
    <row r="318" spans="1:1" x14ac:dyDescent="0.25">
      <c r="A318" s="35" t="s">
        <v>434</v>
      </c>
    </row>
    <row r="319" spans="1:1" x14ac:dyDescent="0.25">
      <c r="A319" s="35" t="s">
        <v>435</v>
      </c>
    </row>
    <row r="320" spans="1:1" x14ac:dyDescent="0.25">
      <c r="A320" s="35" t="s">
        <v>436</v>
      </c>
    </row>
    <row r="321" spans="1:1" x14ac:dyDescent="0.25">
      <c r="A321" s="35" t="s">
        <v>437</v>
      </c>
    </row>
    <row r="322" spans="1:1" x14ac:dyDescent="0.25">
      <c r="A322" s="35" t="s">
        <v>438</v>
      </c>
    </row>
    <row r="323" spans="1:1" x14ac:dyDescent="0.25">
      <c r="A323" s="35" t="s">
        <v>439</v>
      </c>
    </row>
    <row r="324" spans="1:1" x14ac:dyDescent="0.25">
      <c r="A324" s="35" t="s">
        <v>440</v>
      </c>
    </row>
    <row r="325" spans="1:1" x14ac:dyDescent="0.25">
      <c r="A325" s="35" t="s">
        <v>441</v>
      </c>
    </row>
    <row r="326" spans="1:1" x14ac:dyDescent="0.25">
      <c r="A326" s="35" t="s">
        <v>442</v>
      </c>
    </row>
    <row r="327" spans="1:1" x14ac:dyDescent="0.25">
      <c r="A327" s="35" t="s">
        <v>443</v>
      </c>
    </row>
    <row r="328" spans="1:1" x14ac:dyDescent="0.25">
      <c r="A328" s="35" t="s">
        <v>444</v>
      </c>
    </row>
    <row r="329" spans="1:1" x14ac:dyDescent="0.25">
      <c r="A329" s="35" t="s">
        <v>445</v>
      </c>
    </row>
    <row r="330" spans="1:1" x14ac:dyDescent="0.25">
      <c r="A330" s="35" t="s">
        <v>446</v>
      </c>
    </row>
    <row r="331" spans="1:1" x14ac:dyDescent="0.25">
      <c r="A331" s="35" t="s">
        <v>447</v>
      </c>
    </row>
    <row r="332" spans="1:1" x14ac:dyDescent="0.25">
      <c r="A332" s="35" t="s">
        <v>448</v>
      </c>
    </row>
    <row r="333" spans="1:1" x14ac:dyDescent="0.25">
      <c r="A333" s="35" t="s">
        <v>449</v>
      </c>
    </row>
    <row r="334" spans="1:1" x14ac:dyDescent="0.25">
      <c r="A334" s="35" t="s">
        <v>450</v>
      </c>
    </row>
    <row r="335" spans="1:1" x14ac:dyDescent="0.25">
      <c r="A335" s="35" t="s">
        <v>451</v>
      </c>
    </row>
    <row r="336" spans="1:1" x14ac:dyDescent="0.25">
      <c r="A336" s="35" t="s">
        <v>452</v>
      </c>
    </row>
    <row r="337" spans="1:1" x14ac:dyDescent="0.25">
      <c r="A337" s="35" t="s">
        <v>453</v>
      </c>
    </row>
    <row r="338" spans="1:1" x14ac:dyDescent="0.25">
      <c r="A338" s="35" t="s">
        <v>454</v>
      </c>
    </row>
    <row r="339" spans="1:1" x14ac:dyDescent="0.25">
      <c r="A339" s="35" t="s">
        <v>71</v>
      </c>
    </row>
    <row r="340" spans="1:1" x14ac:dyDescent="0.25">
      <c r="A340" s="35" t="s">
        <v>455</v>
      </c>
    </row>
    <row r="341" spans="1:1" x14ac:dyDescent="0.25">
      <c r="A341" s="35" t="s">
        <v>456</v>
      </c>
    </row>
    <row r="342" spans="1:1" x14ac:dyDescent="0.25">
      <c r="A342" s="35" t="s">
        <v>457</v>
      </c>
    </row>
    <row r="343" spans="1:1" x14ac:dyDescent="0.25">
      <c r="A343" s="35" t="s">
        <v>458</v>
      </c>
    </row>
    <row r="344" spans="1:1" x14ac:dyDescent="0.25">
      <c r="A344" s="35" t="s">
        <v>459</v>
      </c>
    </row>
    <row r="345" spans="1:1" x14ac:dyDescent="0.25">
      <c r="A345" s="35" t="s">
        <v>460</v>
      </c>
    </row>
    <row r="346" spans="1:1" x14ac:dyDescent="0.25">
      <c r="A346" s="35" t="s">
        <v>461</v>
      </c>
    </row>
    <row r="347" spans="1:1" x14ac:dyDescent="0.25">
      <c r="A347" s="35" t="s">
        <v>462</v>
      </c>
    </row>
    <row r="348" spans="1:1" x14ac:dyDescent="0.25">
      <c r="A348" s="35" t="s">
        <v>463</v>
      </c>
    </row>
    <row r="349" spans="1:1" x14ac:dyDescent="0.25">
      <c r="A349" s="35" t="s">
        <v>464</v>
      </c>
    </row>
    <row r="350" spans="1:1" x14ac:dyDescent="0.25">
      <c r="A350" s="35" t="s">
        <v>465</v>
      </c>
    </row>
    <row r="351" spans="1:1" x14ac:dyDescent="0.25">
      <c r="A351" s="35" t="s">
        <v>466</v>
      </c>
    </row>
    <row r="352" spans="1:1" x14ac:dyDescent="0.25">
      <c r="A352" s="35" t="s">
        <v>467</v>
      </c>
    </row>
    <row r="353" spans="1:1" x14ac:dyDescent="0.25">
      <c r="A353" s="35" t="s">
        <v>468</v>
      </c>
    </row>
    <row r="354" spans="1:1" x14ac:dyDescent="0.25">
      <c r="A354" s="35" t="s">
        <v>469</v>
      </c>
    </row>
    <row r="355" spans="1:1" x14ac:dyDescent="0.25">
      <c r="A355" s="35" t="s">
        <v>470</v>
      </c>
    </row>
    <row r="356" spans="1:1" x14ac:dyDescent="0.25">
      <c r="A356" s="35" t="s">
        <v>471</v>
      </c>
    </row>
    <row r="357" spans="1:1" x14ac:dyDescent="0.25">
      <c r="A357" s="35" t="s">
        <v>472</v>
      </c>
    </row>
    <row r="358" spans="1:1" x14ac:dyDescent="0.25">
      <c r="A358" s="35" t="s">
        <v>473</v>
      </c>
    </row>
    <row r="359" spans="1:1" x14ac:dyDescent="0.25">
      <c r="A359" s="35" t="s">
        <v>474</v>
      </c>
    </row>
    <row r="360" spans="1:1" x14ac:dyDescent="0.25">
      <c r="A360" s="35" t="s">
        <v>475</v>
      </c>
    </row>
    <row r="361" spans="1:1" x14ac:dyDescent="0.25">
      <c r="A361" s="35" t="s">
        <v>476</v>
      </c>
    </row>
    <row r="362" spans="1:1" x14ac:dyDescent="0.25">
      <c r="A362" s="35" t="s">
        <v>477</v>
      </c>
    </row>
    <row r="363" spans="1:1" x14ac:dyDescent="0.25">
      <c r="A363" s="35" t="s">
        <v>478</v>
      </c>
    </row>
    <row r="364" spans="1:1" x14ac:dyDescent="0.25">
      <c r="A364" s="35" t="s">
        <v>479</v>
      </c>
    </row>
    <row r="365" spans="1:1" x14ac:dyDescent="0.25">
      <c r="A365" s="35" t="s">
        <v>480</v>
      </c>
    </row>
    <row r="366" spans="1:1" x14ac:dyDescent="0.25">
      <c r="A366" s="35" t="s">
        <v>481</v>
      </c>
    </row>
    <row r="367" spans="1:1" x14ac:dyDescent="0.25">
      <c r="A367" s="35" t="s">
        <v>482</v>
      </c>
    </row>
    <row r="368" spans="1:1" x14ac:dyDescent="0.25">
      <c r="A368" s="35" t="s">
        <v>483</v>
      </c>
    </row>
    <row r="369" spans="1:1" x14ac:dyDescent="0.25">
      <c r="A369" s="35" t="s">
        <v>484</v>
      </c>
    </row>
    <row r="370" spans="1:1" x14ac:dyDescent="0.25">
      <c r="A370" s="35" t="s">
        <v>485</v>
      </c>
    </row>
    <row r="371" spans="1:1" x14ac:dyDescent="0.25">
      <c r="A371" s="35" t="s">
        <v>486</v>
      </c>
    </row>
    <row r="372" spans="1:1" x14ac:dyDescent="0.25">
      <c r="A372" s="35" t="s">
        <v>487</v>
      </c>
    </row>
    <row r="373" spans="1:1" x14ac:dyDescent="0.25">
      <c r="A373" s="35" t="s">
        <v>488</v>
      </c>
    </row>
    <row r="374" spans="1:1" x14ac:dyDescent="0.25">
      <c r="A374" s="35" t="s">
        <v>489</v>
      </c>
    </row>
    <row r="375" spans="1:1" x14ac:dyDescent="0.25">
      <c r="A375" s="35" t="s">
        <v>490</v>
      </c>
    </row>
    <row r="376" spans="1:1" x14ac:dyDescent="0.25">
      <c r="A376" s="35" t="s">
        <v>491</v>
      </c>
    </row>
    <row r="377" spans="1:1" x14ac:dyDescent="0.25">
      <c r="A377" s="35" t="s">
        <v>492</v>
      </c>
    </row>
    <row r="378" spans="1:1" x14ac:dyDescent="0.25">
      <c r="A378" s="35" t="s">
        <v>493</v>
      </c>
    </row>
    <row r="379" spans="1:1" x14ac:dyDescent="0.25">
      <c r="A379" s="35" t="s">
        <v>494</v>
      </c>
    </row>
    <row r="380" spans="1:1" x14ac:dyDescent="0.25">
      <c r="A380" s="35" t="s">
        <v>495</v>
      </c>
    </row>
    <row r="381" spans="1:1" x14ac:dyDescent="0.25">
      <c r="A381" s="35" t="s">
        <v>496</v>
      </c>
    </row>
    <row r="382" spans="1:1" x14ac:dyDescent="0.25">
      <c r="A382" s="35" t="s">
        <v>497</v>
      </c>
    </row>
    <row r="383" spans="1:1" x14ac:dyDescent="0.25">
      <c r="A383" s="35" t="s">
        <v>498</v>
      </c>
    </row>
    <row r="384" spans="1:1" x14ac:dyDescent="0.25">
      <c r="A384" s="35" t="s">
        <v>499</v>
      </c>
    </row>
    <row r="385" spans="1:1" x14ac:dyDescent="0.25">
      <c r="A385" s="35" t="s">
        <v>500</v>
      </c>
    </row>
    <row r="386" spans="1:1" x14ac:dyDescent="0.25">
      <c r="A386" s="35" t="s">
        <v>501</v>
      </c>
    </row>
    <row r="387" spans="1:1" x14ac:dyDescent="0.25">
      <c r="A387" s="35" t="s">
        <v>502</v>
      </c>
    </row>
    <row r="388" spans="1:1" x14ac:dyDescent="0.25">
      <c r="A388" s="35" t="s">
        <v>503</v>
      </c>
    </row>
    <row r="389" spans="1:1" x14ac:dyDescent="0.25">
      <c r="A389" s="35" t="s">
        <v>504</v>
      </c>
    </row>
    <row r="390" spans="1:1" x14ac:dyDescent="0.25">
      <c r="A390" s="35" t="s">
        <v>505</v>
      </c>
    </row>
    <row r="391" spans="1:1" x14ac:dyDescent="0.25">
      <c r="A391" s="35" t="s">
        <v>506</v>
      </c>
    </row>
    <row r="392" spans="1:1" x14ac:dyDescent="0.25">
      <c r="A392" s="35" t="s">
        <v>507</v>
      </c>
    </row>
    <row r="393" spans="1:1" x14ac:dyDescent="0.25">
      <c r="A393" s="35" t="s">
        <v>508</v>
      </c>
    </row>
    <row r="394" spans="1:1" x14ac:dyDescent="0.25">
      <c r="A394" s="35" t="s">
        <v>509</v>
      </c>
    </row>
    <row r="395" spans="1:1" x14ac:dyDescent="0.25">
      <c r="A395" s="35" t="s">
        <v>510</v>
      </c>
    </row>
    <row r="396" spans="1:1" x14ac:dyDescent="0.25">
      <c r="A396" s="35" t="s">
        <v>511</v>
      </c>
    </row>
    <row r="397" spans="1:1" x14ac:dyDescent="0.25">
      <c r="A397" s="35" t="s">
        <v>512</v>
      </c>
    </row>
    <row r="398" spans="1:1" x14ac:dyDescent="0.25">
      <c r="A398" s="35" t="s">
        <v>513</v>
      </c>
    </row>
    <row r="399" spans="1:1" x14ac:dyDescent="0.25">
      <c r="A399" s="35" t="s">
        <v>514</v>
      </c>
    </row>
    <row r="400" spans="1:1" x14ac:dyDescent="0.25">
      <c r="A400" s="35" t="s">
        <v>515</v>
      </c>
    </row>
    <row r="401" spans="1:1" x14ac:dyDescent="0.25">
      <c r="A401" s="35" t="s">
        <v>516</v>
      </c>
    </row>
    <row r="402" spans="1:1" x14ac:dyDescent="0.25">
      <c r="A402" s="35" t="s">
        <v>517</v>
      </c>
    </row>
    <row r="403" spans="1:1" x14ac:dyDescent="0.25">
      <c r="A403" s="35" t="s">
        <v>518</v>
      </c>
    </row>
    <row r="404" spans="1:1" x14ac:dyDescent="0.25">
      <c r="A404" s="35" t="s">
        <v>519</v>
      </c>
    </row>
    <row r="405" spans="1:1" x14ac:dyDescent="0.25">
      <c r="A405" s="35" t="s">
        <v>520</v>
      </c>
    </row>
    <row r="406" spans="1:1" x14ac:dyDescent="0.25">
      <c r="A406" s="35" t="s">
        <v>521</v>
      </c>
    </row>
    <row r="407" spans="1:1" x14ac:dyDescent="0.25">
      <c r="A407" s="35" t="s">
        <v>522</v>
      </c>
    </row>
    <row r="408" spans="1:1" x14ac:dyDescent="0.25">
      <c r="A408" s="35" t="s">
        <v>523</v>
      </c>
    </row>
    <row r="409" spans="1:1" x14ac:dyDescent="0.25">
      <c r="A409" s="35" t="s">
        <v>524</v>
      </c>
    </row>
    <row r="410" spans="1:1" x14ac:dyDescent="0.25">
      <c r="A410" s="35" t="s">
        <v>525</v>
      </c>
    </row>
    <row r="411" spans="1:1" x14ac:dyDescent="0.25">
      <c r="A411" s="35" t="s">
        <v>526</v>
      </c>
    </row>
    <row r="412" spans="1:1" x14ac:dyDescent="0.25">
      <c r="A412" s="35" t="s">
        <v>527</v>
      </c>
    </row>
    <row r="413" spans="1:1" x14ac:dyDescent="0.25">
      <c r="A413" s="35" t="s">
        <v>528</v>
      </c>
    </row>
    <row r="414" spans="1:1" x14ac:dyDescent="0.25">
      <c r="A414" s="35" t="s">
        <v>529</v>
      </c>
    </row>
    <row r="415" spans="1:1" x14ac:dyDescent="0.25">
      <c r="A415" s="35" t="s">
        <v>530</v>
      </c>
    </row>
    <row r="416" spans="1:1" x14ac:dyDescent="0.25">
      <c r="A416" s="35" t="s">
        <v>531</v>
      </c>
    </row>
    <row r="417" spans="1:1" x14ac:dyDescent="0.25">
      <c r="A417" s="35" t="s">
        <v>532</v>
      </c>
    </row>
    <row r="418" spans="1:1" x14ac:dyDescent="0.25">
      <c r="A418" s="35" t="s">
        <v>533</v>
      </c>
    </row>
    <row r="419" spans="1:1" x14ac:dyDescent="0.25">
      <c r="A419" s="35" t="s">
        <v>534</v>
      </c>
    </row>
    <row r="420" spans="1:1" x14ac:dyDescent="0.25">
      <c r="A420" s="35" t="s">
        <v>535</v>
      </c>
    </row>
    <row r="421" spans="1:1" x14ac:dyDescent="0.25">
      <c r="A421" s="35" t="s">
        <v>536</v>
      </c>
    </row>
    <row r="422" spans="1:1" x14ac:dyDescent="0.25">
      <c r="A422" s="35" t="s">
        <v>537</v>
      </c>
    </row>
    <row r="423" spans="1:1" x14ac:dyDescent="0.25">
      <c r="A423" s="35" t="s">
        <v>538</v>
      </c>
    </row>
    <row r="424" spans="1:1" x14ac:dyDescent="0.25">
      <c r="A424" s="35" t="s">
        <v>539</v>
      </c>
    </row>
    <row r="425" spans="1:1" x14ac:dyDescent="0.25">
      <c r="A425" s="35" t="s">
        <v>540</v>
      </c>
    </row>
    <row r="426" spans="1:1" x14ac:dyDescent="0.25">
      <c r="A426" s="35" t="s">
        <v>541</v>
      </c>
    </row>
    <row r="427" spans="1:1" x14ac:dyDescent="0.25">
      <c r="A427" s="35" t="s">
        <v>542</v>
      </c>
    </row>
    <row r="428" spans="1:1" x14ac:dyDescent="0.25">
      <c r="A428" s="35" t="s">
        <v>543</v>
      </c>
    </row>
    <row r="429" spans="1:1" x14ac:dyDescent="0.25">
      <c r="A429" s="35" t="s">
        <v>544</v>
      </c>
    </row>
    <row r="430" spans="1:1" x14ac:dyDescent="0.25">
      <c r="A430" s="35" t="s">
        <v>545</v>
      </c>
    </row>
    <row r="431" spans="1:1" x14ac:dyDescent="0.25">
      <c r="A431" s="35" t="s">
        <v>546</v>
      </c>
    </row>
    <row r="432" spans="1:1" x14ac:dyDescent="0.25">
      <c r="A432" s="35" t="s">
        <v>547</v>
      </c>
    </row>
    <row r="433" spans="1:1" x14ac:dyDescent="0.25">
      <c r="A433" s="35" t="s">
        <v>548</v>
      </c>
    </row>
    <row r="434" spans="1:1" x14ac:dyDescent="0.25">
      <c r="A434" s="35" t="s">
        <v>549</v>
      </c>
    </row>
    <row r="435" spans="1:1" x14ac:dyDescent="0.25">
      <c r="A435" s="35" t="s">
        <v>550</v>
      </c>
    </row>
    <row r="436" spans="1:1" x14ac:dyDescent="0.25">
      <c r="A436" s="35" t="s">
        <v>551</v>
      </c>
    </row>
    <row r="437" spans="1:1" x14ac:dyDescent="0.25">
      <c r="A437" s="35" t="s">
        <v>552</v>
      </c>
    </row>
    <row r="438" spans="1:1" x14ac:dyDescent="0.25">
      <c r="A438" s="35" t="s">
        <v>553</v>
      </c>
    </row>
    <row r="439" spans="1:1" x14ac:dyDescent="0.25">
      <c r="A439" s="35" t="s">
        <v>554</v>
      </c>
    </row>
    <row r="440" spans="1:1" x14ac:dyDescent="0.25">
      <c r="A440" s="35" t="s">
        <v>555</v>
      </c>
    </row>
    <row r="441" spans="1:1" x14ac:dyDescent="0.25">
      <c r="A441" s="35" t="s">
        <v>556</v>
      </c>
    </row>
    <row r="442" spans="1:1" x14ac:dyDescent="0.25">
      <c r="A442" s="35" t="s">
        <v>557</v>
      </c>
    </row>
    <row r="443" spans="1:1" x14ac:dyDescent="0.25">
      <c r="A443" s="35" t="s">
        <v>558</v>
      </c>
    </row>
    <row r="444" spans="1:1" x14ac:dyDescent="0.25">
      <c r="A444" s="35" t="s">
        <v>559</v>
      </c>
    </row>
    <row r="445" spans="1:1" x14ac:dyDescent="0.25">
      <c r="A445" s="35" t="s">
        <v>560</v>
      </c>
    </row>
    <row r="446" spans="1:1" x14ac:dyDescent="0.25">
      <c r="A446" s="35" t="s">
        <v>561</v>
      </c>
    </row>
    <row r="447" spans="1:1" x14ac:dyDescent="0.25">
      <c r="A447" s="35" t="s">
        <v>562</v>
      </c>
    </row>
    <row r="448" spans="1:1" x14ac:dyDescent="0.25">
      <c r="A448" s="35" t="s">
        <v>563</v>
      </c>
    </row>
    <row r="449" spans="1:1" x14ac:dyDescent="0.25">
      <c r="A449" s="35" t="s">
        <v>564</v>
      </c>
    </row>
    <row r="450" spans="1:1" x14ac:dyDescent="0.25">
      <c r="A450" s="35" t="s">
        <v>565</v>
      </c>
    </row>
    <row r="451" spans="1:1" x14ac:dyDescent="0.25">
      <c r="A451" s="35" t="s">
        <v>566</v>
      </c>
    </row>
    <row r="452" spans="1:1" x14ac:dyDescent="0.25">
      <c r="A452" s="35" t="s">
        <v>567</v>
      </c>
    </row>
    <row r="453" spans="1:1" x14ac:dyDescent="0.25">
      <c r="A453" s="35" t="s">
        <v>568</v>
      </c>
    </row>
    <row r="454" spans="1:1" x14ac:dyDescent="0.25">
      <c r="A454" s="35" t="s">
        <v>569</v>
      </c>
    </row>
    <row r="455" spans="1:1" x14ac:dyDescent="0.25">
      <c r="A455" s="35" t="s">
        <v>570</v>
      </c>
    </row>
    <row r="456" spans="1:1" x14ac:dyDescent="0.25">
      <c r="A456" s="35" t="s">
        <v>571</v>
      </c>
    </row>
    <row r="457" spans="1:1" x14ac:dyDescent="0.25">
      <c r="A457" s="35" t="s">
        <v>572</v>
      </c>
    </row>
    <row r="458" spans="1:1" x14ac:dyDescent="0.25">
      <c r="A458" s="35" t="s">
        <v>573</v>
      </c>
    </row>
    <row r="459" spans="1:1" x14ac:dyDescent="0.25">
      <c r="A459" s="35" t="s">
        <v>574</v>
      </c>
    </row>
    <row r="460" spans="1:1" x14ac:dyDescent="0.25">
      <c r="A460" s="35" t="s">
        <v>575</v>
      </c>
    </row>
    <row r="461" spans="1:1" x14ac:dyDescent="0.25">
      <c r="A461" s="35" t="s">
        <v>576</v>
      </c>
    </row>
    <row r="462" spans="1:1" x14ac:dyDescent="0.25">
      <c r="A462" s="35" t="s">
        <v>577</v>
      </c>
    </row>
    <row r="463" spans="1:1" x14ac:dyDescent="0.25">
      <c r="A463" s="35" t="s">
        <v>578</v>
      </c>
    </row>
    <row r="464" spans="1:1" x14ac:dyDescent="0.25">
      <c r="A464" s="35" t="s">
        <v>579</v>
      </c>
    </row>
    <row r="465" spans="1:1" x14ac:dyDescent="0.25">
      <c r="A465" s="35" t="s">
        <v>580</v>
      </c>
    </row>
    <row r="466" spans="1:1" x14ac:dyDescent="0.25">
      <c r="A466" s="35" t="s">
        <v>581</v>
      </c>
    </row>
    <row r="467" spans="1:1" x14ac:dyDescent="0.25">
      <c r="A467" s="35" t="s">
        <v>582</v>
      </c>
    </row>
    <row r="468" spans="1:1" x14ac:dyDescent="0.25">
      <c r="A468" s="35" t="s">
        <v>583</v>
      </c>
    </row>
    <row r="469" spans="1:1" x14ac:dyDescent="0.25">
      <c r="A469" s="35" t="s">
        <v>584</v>
      </c>
    </row>
    <row r="470" spans="1:1" x14ac:dyDescent="0.25">
      <c r="A470" s="35" t="s">
        <v>585</v>
      </c>
    </row>
    <row r="471" spans="1:1" x14ac:dyDescent="0.25">
      <c r="A471" s="35" t="s">
        <v>586</v>
      </c>
    </row>
    <row r="472" spans="1:1" x14ac:dyDescent="0.25">
      <c r="A472" s="35" t="s">
        <v>587</v>
      </c>
    </row>
    <row r="473" spans="1:1" x14ac:dyDescent="0.25">
      <c r="A473" s="35" t="s">
        <v>588</v>
      </c>
    </row>
    <row r="474" spans="1:1" x14ac:dyDescent="0.25">
      <c r="A474" s="35" t="s">
        <v>589</v>
      </c>
    </row>
    <row r="475" spans="1:1" x14ac:dyDescent="0.25">
      <c r="A475" s="35" t="s">
        <v>590</v>
      </c>
    </row>
    <row r="476" spans="1:1" x14ac:dyDescent="0.25">
      <c r="A476" s="35" t="s">
        <v>591</v>
      </c>
    </row>
    <row r="477" spans="1:1" x14ac:dyDescent="0.25">
      <c r="A477" s="35" t="s">
        <v>592</v>
      </c>
    </row>
    <row r="478" spans="1:1" x14ac:dyDescent="0.25">
      <c r="A478" s="35" t="s">
        <v>593</v>
      </c>
    </row>
    <row r="479" spans="1:1" x14ac:dyDescent="0.25">
      <c r="A479" s="35" t="s">
        <v>594</v>
      </c>
    </row>
    <row r="480" spans="1:1" x14ac:dyDescent="0.25">
      <c r="A480" s="35" t="s">
        <v>595</v>
      </c>
    </row>
    <row r="481" spans="1:1" x14ac:dyDescent="0.25">
      <c r="A481" s="35" t="s">
        <v>596</v>
      </c>
    </row>
    <row r="482" spans="1:1" x14ac:dyDescent="0.25">
      <c r="A482" s="35" t="s">
        <v>597</v>
      </c>
    </row>
    <row r="483" spans="1:1" x14ac:dyDescent="0.25">
      <c r="A483" s="35" t="s">
        <v>598</v>
      </c>
    </row>
    <row r="484" spans="1:1" x14ac:dyDescent="0.25">
      <c r="A484" s="35" t="s">
        <v>599</v>
      </c>
    </row>
    <row r="485" spans="1:1" x14ac:dyDescent="0.25">
      <c r="A485" s="35" t="s">
        <v>600</v>
      </c>
    </row>
    <row r="486" spans="1:1" x14ac:dyDescent="0.25">
      <c r="A486" s="35" t="s">
        <v>601</v>
      </c>
    </row>
    <row r="487" spans="1:1" x14ac:dyDescent="0.25">
      <c r="A487" s="35" t="s">
        <v>602</v>
      </c>
    </row>
    <row r="488" spans="1:1" x14ac:dyDescent="0.25">
      <c r="A488" s="35" t="s">
        <v>603</v>
      </c>
    </row>
    <row r="489" spans="1:1" x14ac:dyDescent="0.25">
      <c r="A489" s="35" t="s">
        <v>604</v>
      </c>
    </row>
    <row r="490" spans="1:1" x14ac:dyDescent="0.25">
      <c r="A490" s="35" t="s">
        <v>605</v>
      </c>
    </row>
    <row r="491" spans="1:1" x14ac:dyDescent="0.25">
      <c r="A491" s="35" t="s">
        <v>606</v>
      </c>
    </row>
    <row r="492" spans="1:1" x14ac:dyDescent="0.25">
      <c r="A492" s="35" t="s">
        <v>607</v>
      </c>
    </row>
    <row r="493" spans="1:1" x14ac:dyDescent="0.25">
      <c r="A493" s="35" t="s">
        <v>608</v>
      </c>
    </row>
    <row r="494" spans="1:1" x14ac:dyDescent="0.25">
      <c r="A494" s="35" t="s">
        <v>609</v>
      </c>
    </row>
    <row r="495" spans="1:1" x14ac:dyDescent="0.25">
      <c r="A495" s="35" t="s">
        <v>610</v>
      </c>
    </row>
    <row r="496" spans="1:1" x14ac:dyDescent="0.25">
      <c r="A496" s="35" t="s">
        <v>611</v>
      </c>
    </row>
    <row r="497" spans="1:1" x14ac:dyDescent="0.25">
      <c r="A497" s="35" t="s">
        <v>612</v>
      </c>
    </row>
    <row r="498" spans="1:1" x14ac:dyDescent="0.25">
      <c r="A498" s="35" t="s">
        <v>613</v>
      </c>
    </row>
    <row r="499" spans="1:1" x14ac:dyDescent="0.25">
      <c r="A499" s="35" t="s">
        <v>614</v>
      </c>
    </row>
    <row r="500" spans="1:1" x14ac:dyDescent="0.25">
      <c r="A500" s="35" t="s">
        <v>615</v>
      </c>
    </row>
    <row r="501" spans="1:1" x14ac:dyDescent="0.25">
      <c r="A501" s="35" t="s">
        <v>616</v>
      </c>
    </row>
    <row r="502" spans="1:1" x14ac:dyDescent="0.25">
      <c r="A502" s="35" t="s">
        <v>617</v>
      </c>
    </row>
    <row r="503" spans="1:1" x14ac:dyDescent="0.25">
      <c r="A503" s="35" t="s">
        <v>618</v>
      </c>
    </row>
    <row r="504" spans="1:1" x14ac:dyDescent="0.25">
      <c r="A504" s="35" t="s">
        <v>619</v>
      </c>
    </row>
    <row r="505" spans="1:1" x14ac:dyDescent="0.25">
      <c r="A505" s="35" t="s">
        <v>620</v>
      </c>
    </row>
    <row r="506" spans="1:1" x14ac:dyDescent="0.25">
      <c r="A506" s="35" t="s">
        <v>621</v>
      </c>
    </row>
    <row r="507" spans="1:1" x14ac:dyDescent="0.25">
      <c r="A507" s="35" t="s">
        <v>622</v>
      </c>
    </row>
    <row r="508" spans="1:1" x14ac:dyDescent="0.25">
      <c r="A508" s="35" t="s">
        <v>623</v>
      </c>
    </row>
    <row r="509" spans="1:1" x14ac:dyDescent="0.25">
      <c r="A509" s="35" t="s">
        <v>624</v>
      </c>
    </row>
    <row r="510" spans="1:1" x14ac:dyDescent="0.25">
      <c r="A510" s="35" t="s">
        <v>625</v>
      </c>
    </row>
    <row r="511" spans="1:1" x14ac:dyDescent="0.25">
      <c r="A511" s="35" t="s">
        <v>626</v>
      </c>
    </row>
    <row r="512" spans="1:1" x14ac:dyDescent="0.25">
      <c r="A512" s="35" t="s">
        <v>627</v>
      </c>
    </row>
    <row r="513" spans="1:1" x14ac:dyDescent="0.25">
      <c r="A513" s="35" t="s">
        <v>628</v>
      </c>
    </row>
    <row r="514" spans="1:1" x14ac:dyDescent="0.25">
      <c r="A514" s="35" t="s">
        <v>629</v>
      </c>
    </row>
    <row r="515" spans="1:1" x14ac:dyDescent="0.25">
      <c r="A515" s="35" t="s">
        <v>630</v>
      </c>
    </row>
    <row r="516" spans="1:1" x14ac:dyDescent="0.25">
      <c r="A516" s="35" t="s">
        <v>631</v>
      </c>
    </row>
    <row r="517" spans="1:1" x14ac:dyDescent="0.25">
      <c r="A517" s="35" t="s">
        <v>632</v>
      </c>
    </row>
    <row r="518" spans="1:1" x14ac:dyDescent="0.25">
      <c r="A518" s="35" t="s">
        <v>633</v>
      </c>
    </row>
    <row r="519" spans="1:1" x14ac:dyDescent="0.25">
      <c r="A519" s="35" t="s">
        <v>634</v>
      </c>
    </row>
    <row r="520" spans="1:1" x14ac:dyDescent="0.25">
      <c r="A520" s="35" t="s">
        <v>635</v>
      </c>
    </row>
    <row r="521" spans="1:1" x14ac:dyDescent="0.25">
      <c r="A521" s="35" t="s">
        <v>636</v>
      </c>
    </row>
    <row r="522" spans="1:1" x14ac:dyDescent="0.25">
      <c r="A522" s="35" t="s">
        <v>637</v>
      </c>
    </row>
    <row r="523" spans="1:1" x14ac:dyDescent="0.25">
      <c r="A523" s="35" t="s">
        <v>638</v>
      </c>
    </row>
    <row r="524" spans="1:1" x14ac:dyDescent="0.25">
      <c r="A524" s="35" t="s">
        <v>639</v>
      </c>
    </row>
    <row r="525" spans="1:1" x14ac:dyDescent="0.25">
      <c r="A525" s="35" t="s">
        <v>640</v>
      </c>
    </row>
    <row r="526" spans="1:1" x14ac:dyDescent="0.25">
      <c r="A526" s="35" t="s">
        <v>641</v>
      </c>
    </row>
    <row r="527" spans="1:1" x14ac:dyDescent="0.25">
      <c r="A527" s="35" t="s">
        <v>642</v>
      </c>
    </row>
    <row r="528" spans="1:1" x14ac:dyDescent="0.25">
      <c r="A528" s="35" t="s">
        <v>643</v>
      </c>
    </row>
    <row r="529" spans="1:1" x14ac:dyDescent="0.25">
      <c r="A529" s="35" t="s">
        <v>644</v>
      </c>
    </row>
    <row r="530" spans="1:1" x14ac:dyDescent="0.25">
      <c r="A530" s="35" t="s">
        <v>645</v>
      </c>
    </row>
    <row r="531" spans="1:1" x14ac:dyDescent="0.25">
      <c r="A531" s="35" t="s">
        <v>646</v>
      </c>
    </row>
    <row r="532" spans="1:1" x14ac:dyDescent="0.25">
      <c r="A532" s="35" t="s">
        <v>647</v>
      </c>
    </row>
    <row r="533" spans="1:1" x14ac:dyDescent="0.25">
      <c r="A533" s="35" t="s">
        <v>74</v>
      </c>
    </row>
    <row r="534" spans="1:1" x14ac:dyDescent="0.25">
      <c r="A534" s="35" t="s">
        <v>648</v>
      </c>
    </row>
    <row r="535" spans="1:1" x14ac:dyDescent="0.25">
      <c r="A535" s="35" t="s">
        <v>649</v>
      </c>
    </row>
    <row r="536" spans="1:1" x14ac:dyDescent="0.25">
      <c r="A536" s="35" t="s">
        <v>650</v>
      </c>
    </row>
    <row r="537" spans="1:1" x14ac:dyDescent="0.25">
      <c r="A537" s="35" t="s">
        <v>651</v>
      </c>
    </row>
    <row r="538" spans="1:1" x14ac:dyDescent="0.25">
      <c r="A538" s="35" t="s">
        <v>652</v>
      </c>
    </row>
    <row r="539" spans="1:1" x14ac:dyDescent="0.25">
      <c r="A539" s="35" t="s">
        <v>653</v>
      </c>
    </row>
    <row r="540" spans="1:1" x14ac:dyDescent="0.25">
      <c r="A540" s="35" t="s">
        <v>654</v>
      </c>
    </row>
    <row r="541" spans="1:1" x14ac:dyDescent="0.25">
      <c r="A541" s="35" t="s">
        <v>655</v>
      </c>
    </row>
    <row r="542" spans="1:1" x14ac:dyDescent="0.25">
      <c r="A542" s="35" t="s">
        <v>656</v>
      </c>
    </row>
    <row r="543" spans="1:1" x14ac:dyDescent="0.25">
      <c r="A543" s="35" t="s">
        <v>657</v>
      </c>
    </row>
    <row r="544" spans="1:1" x14ac:dyDescent="0.25">
      <c r="A544" s="35" t="s">
        <v>658</v>
      </c>
    </row>
    <row r="545" spans="1:1" x14ac:dyDescent="0.25">
      <c r="A545" s="35" t="s">
        <v>659</v>
      </c>
    </row>
    <row r="546" spans="1:1" x14ac:dyDescent="0.25">
      <c r="A546" s="35" t="s">
        <v>660</v>
      </c>
    </row>
    <row r="547" spans="1:1" x14ac:dyDescent="0.25">
      <c r="A547" s="35" t="s">
        <v>661</v>
      </c>
    </row>
    <row r="548" spans="1:1" x14ac:dyDescent="0.25">
      <c r="A548" s="35" t="s">
        <v>662</v>
      </c>
    </row>
    <row r="549" spans="1:1" x14ac:dyDescent="0.25">
      <c r="A549" s="35" t="s">
        <v>663</v>
      </c>
    </row>
    <row r="550" spans="1:1" x14ac:dyDescent="0.25">
      <c r="A550" s="35" t="s">
        <v>664</v>
      </c>
    </row>
    <row r="551" spans="1:1" x14ac:dyDescent="0.25">
      <c r="A551" s="35" t="s">
        <v>665</v>
      </c>
    </row>
    <row r="552" spans="1:1" x14ac:dyDescent="0.25">
      <c r="A552" s="35" t="s">
        <v>666</v>
      </c>
    </row>
    <row r="553" spans="1:1" x14ac:dyDescent="0.25">
      <c r="A553" s="35" t="s">
        <v>667</v>
      </c>
    </row>
    <row r="554" spans="1:1" x14ac:dyDescent="0.25">
      <c r="A554" s="35" t="s">
        <v>668</v>
      </c>
    </row>
    <row r="555" spans="1:1" x14ac:dyDescent="0.25">
      <c r="A555" s="35" t="s">
        <v>669</v>
      </c>
    </row>
    <row r="556" spans="1:1" x14ac:dyDescent="0.25">
      <c r="A556" s="35" t="s">
        <v>670</v>
      </c>
    </row>
    <row r="557" spans="1:1" x14ac:dyDescent="0.25">
      <c r="A557" s="35" t="s">
        <v>671</v>
      </c>
    </row>
    <row r="558" spans="1:1" x14ac:dyDescent="0.25">
      <c r="A558" s="35" t="s">
        <v>672</v>
      </c>
    </row>
    <row r="559" spans="1:1" x14ac:dyDescent="0.25">
      <c r="A559" s="35" t="s">
        <v>673</v>
      </c>
    </row>
    <row r="560" spans="1:1" x14ac:dyDescent="0.25">
      <c r="A560" s="35" t="s">
        <v>674</v>
      </c>
    </row>
    <row r="561" spans="1:1" x14ac:dyDescent="0.25">
      <c r="A561" s="35" t="s">
        <v>675</v>
      </c>
    </row>
    <row r="562" spans="1:1" x14ac:dyDescent="0.25">
      <c r="A562" s="35" t="s">
        <v>676</v>
      </c>
    </row>
    <row r="563" spans="1:1" x14ac:dyDescent="0.25">
      <c r="A563" s="35" t="s">
        <v>677</v>
      </c>
    </row>
    <row r="564" spans="1:1" x14ac:dyDescent="0.25">
      <c r="A564" s="35" t="s">
        <v>678</v>
      </c>
    </row>
    <row r="565" spans="1:1" x14ac:dyDescent="0.25">
      <c r="A565" s="35" t="s">
        <v>679</v>
      </c>
    </row>
    <row r="566" spans="1:1" x14ac:dyDescent="0.25">
      <c r="A566" s="35" t="s">
        <v>68</v>
      </c>
    </row>
    <row r="567" spans="1:1" x14ac:dyDescent="0.25">
      <c r="A567" s="35" t="s">
        <v>680</v>
      </c>
    </row>
    <row r="568" spans="1:1" x14ac:dyDescent="0.25">
      <c r="A568" s="35" t="s">
        <v>681</v>
      </c>
    </row>
    <row r="569" spans="1:1" x14ac:dyDescent="0.25">
      <c r="A569" s="35" t="s">
        <v>682</v>
      </c>
    </row>
    <row r="570" spans="1:1" x14ac:dyDescent="0.25">
      <c r="A570" s="35" t="s">
        <v>683</v>
      </c>
    </row>
    <row r="571" spans="1:1" x14ac:dyDescent="0.25">
      <c r="A571" s="35" t="s">
        <v>684</v>
      </c>
    </row>
    <row r="572" spans="1:1" x14ac:dyDescent="0.25">
      <c r="A572" s="35" t="s">
        <v>685</v>
      </c>
    </row>
    <row r="573" spans="1:1" x14ac:dyDescent="0.25">
      <c r="A573" s="35" t="s">
        <v>686</v>
      </c>
    </row>
    <row r="574" spans="1:1" x14ac:dyDescent="0.25">
      <c r="A574" s="35" t="s">
        <v>687</v>
      </c>
    </row>
    <row r="575" spans="1:1" x14ac:dyDescent="0.25">
      <c r="A575" s="35" t="s">
        <v>688</v>
      </c>
    </row>
    <row r="576" spans="1:1" x14ac:dyDescent="0.25">
      <c r="A576" s="35" t="s">
        <v>689</v>
      </c>
    </row>
    <row r="577" spans="1:1" x14ac:dyDescent="0.25">
      <c r="A577" s="35" t="s">
        <v>690</v>
      </c>
    </row>
    <row r="578" spans="1:1" x14ac:dyDescent="0.25">
      <c r="A578" s="35" t="s">
        <v>691</v>
      </c>
    </row>
    <row r="579" spans="1:1" x14ac:dyDescent="0.25">
      <c r="A579" s="35" t="s">
        <v>692</v>
      </c>
    </row>
    <row r="580" spans="1:1" x14ac:dyDescent="0.25">
      <c r="A580" s="35" t="s">
        <v>693</v>
      </c>
    </row>
    <row r="581" spans="1:1" x14ac:dyDescent="0.25">
      <c r="A581" s="35" t="s">
        <v>694</v>
      </c>
    </row>
    <row r="582" spans="1:1" x14ac:dyDescent="0.25">
      <c r="A582" s="35" t="s">
        <v>695</v>
      </c>
    </row>
    <row r="583" spans="1:1" x14ac:dyDescent="0.25">
      <c r="A583" s="35" t="s">
        <v>696</v>
      </c>
    </row>
    <row r="584" spans="1:1" x14ac:dyDescent="0.25">
      <c r="A584" s="35" t="s">
        <v>697</v>
      </c>
    </row>
    <row r="585" spans="1:1" x14ac:dyDescent="0.25">
      <c r="A585" s="35" t="s">
        <v>698</v>
      </c>
    </row>
    <row r="586" spans="1:1" x14ac:dyDescent="0.25">
      <c r="A586" s="35" t="s">
        <v>699</v>
      </c>
    </row>
    <row r="587" spans="1:1" x14ac:dyDescent="0.25">
      <c r="A587" s="35" t="s">
        <v>700</v>
      </c>
    </row>
    <row r="588" spans="1:1" x14ac:dyDescent="0.25">
      <c r="A588" s="35" t="s">
        <v>701</v>
      </c>
    </row>
    <row r="589" spans="1:1" x14ac:dyDescent="0.25">
      <c r="A589" s="35" t="s">
        <v>702</v>
      </c>
    </row>
    <row r="590" spans="1:1" x14ac:dyDescent="0.25">
      <c r="A590" s="35" t="s">
        <v>703</v>
      </c>
    </row>
    <row r="591" spans="1:1" x14ac:dyDescent="0.25">
      <c r="A591" s="35" t="s">
        <v>704</v>
      </c>
    </row>
    <row r="592" spans="1:1" x14ac:dyDescent="0.25">
      <c r="A592" s="35" t="s">
        <v>705</v>
      </c>
    </row>
    <row r="593" spans="1:1" x14ac:dyDescent="0.25">
      <c r="A593" s="35" t="s">
        <v>706</v>
      </c>
    </row>
    <row r="594" spans="1:1" x14ac:dyDescent="0.25">
      <c r="A594" s="35" t="s">
        <v>707</v>
      </c>
    </row>
    <row r="595" spans="1:1" x14ac:dyDescent="0.25">
      <c r="A595" s="35" t="s">
        <v>708</v>
      </c>
    </row>
    <row r="596" spans="1:1" x14ac:dyDescent="0.25">
      <c r="A596" s="35" t="s">
        <v>709</v>
      </c>
    </row>
    <row r="597" spans="1:1" x14ac:dyDescent="0.25">
      <c r="A597" s="35" t="s">
        <v>710</v>
      </c>
    </row>
    <row r="598" spans="1:1" x14ac:dyDescent="0.25">
      <c r="A598" s="35" t="s">
        <v>711</v>
      </c>
    </row>
    <row r="599" spans="1:1" x14ac:dyDescent="0.25">
      <c r="A599" s="35" t="s">
        <v>712</v>
      </c>
    </row>
    <row r="600" spans="1:1" x14ac:dyDescent="0.25">
      <c r="A600" s="35" t="s">
        <v>713</v>
      </c>
    </row>
    <row r="601" spans="1:1" x14ac:dyDescent="0.25">
      <c r="A601" s="35" t="s">
        <v>714</v>
      </c>
    </row>
    <row r="602" spans="1:1" x14ac:dyDescent="0.25">
      <c r="A602" s="35" t="s">
        <v>715</v>
      </c>
    </row>
    <row r="603" spans="1:1" x14ac:dyDescent="0.25">
      <c r="A603" s="35" t="s">
        <v>716</v>
      </c>
    </row>
    <row r="604" spans="1:1" x14ac:dyDescent="0.25">
      <c r="A604" s="35" t="s">
        <v>717</v>
      </c>
    </row>
    <row r="605" spans="1:1" x14ac:dyDescent="0.25">
      <c r="A605" s="35" t="s">
        <v>718</v>
      </c>
    </row>
    <row r="606" spans="1:1" x14ac:dyDescent="0.25">
      <c r="A606" s="35" t="s">
        <v>719</v>
      </c>
    </row>
    <row r="607" spans="1:1" x14ac:dyDescent="0.25">
      <c r="A607" s="35" t="s">
        <v>720</v>
      </c>
    </row>
    <row r="608" spans="1:1" x14ac:dyDescent="0.25">
      <c r="A608" s="35" t="s">
        <v>721</v>
      </c>
    </row>
    <row r="609" spans="1:1" x14ac:dyDescent="0.25">
      <c r="A609" s="35" t="s">
        <v>722</v>
      </c>
    </row>
    <row r="610" spans="1:1" x14ac:dyDescent="0.25">
      <c r="A610" s="35" t="s">
        <v>723</v>
      </c>
    </row>
    <row r="611" spans="1:1" x14ac:dyDescent="0.25">
      <c r="A611" s="35" t="s">
        <v>724</v>
      </c>
    </row>
    <row r="612" spans="1:1" x14ac:dyDescent="0.25">
      <c r="A612" s="35" t="s">
        <v>725</v>
      </c>
    </row>
    <row r="613" spans="1:1" x14ac:dyDescent="0.25">
      <c r="A613" s="35" t="s">
        <v>726</v>
      </c>
    </row>
    <row r="614" spans="1:1" x14ac:dyDescent="0.25">
      <c r="A614" s="35" t="s">
        <v>727</v>
      </c>
    </row>
    <row r="615" spans="1:1" x14ac:dyDescent="0.25">
      <c r="A615" s="35" t="s">
        <v>728</v>
      </c>
    </row>
    <row r="616" spans="1:1" x14ac:dyDescent="0.25">
      <c r="A616" s="35" t="s">
        <v>729</v>
      </c>
    </row>
    <row r="617" spans="1:1" x14ac:dyDescent="0.25">
      <c r="A617" s="35" t="s">
        <v>730</v>
      </c>
    </row>
    <row r="618" spans="1:1" x14ac:dyDescent="0.25">
      <c r="A618" s="35" t="s">
        <v>731</v>
      </c>
    </row>
    <row r="619" spans="1:1" x14ac:dyDescent="0.25">
      <c r="A619" s="35" t="s">
        <v>732</v>
      </c>
    </row>
    <row r="620" spans="1:1" x14ac:dyDescent="0.25">
      <c r="A620" s="35" t="s">
        <v>733</v>
      </c>
    </row>
    <row r="621" spans="1:1" x14ac:dyDescent="0.25">
      <c r="A621" s="35" t="s">
        <v>734</v>
      </c>
    </row>
    <row r="622" spans="1:1" x14ac:dyDescent="0.25">
      <c r="A622" s="35" t="s">
        <v>735</v>
      </c>
    </row>
    <row r="623" spans="1:1" x14ac:dyDescent="0.25">
      <c r="A623" s="35" t="s">
        <v>736</v>
      </c>
    </row>
    <row r="624" spans="1:1" x14ac:dyDescent="0.25">
      <c r="A624" s="35" t="s">
        <v>737</v>
      </c>
    </row>
    <row r="625" spans="1:1" x14ac:dyDescent="0.25">
      <c r="A625" s="35" t="s">
        <v>738</v>
      </c>
    </row>
    <row r="626" spans="1:1" x14ac:dyDescent="0.25">
      <c r="A626" s="35" t="s">
        <v>739</v>
      </c>
    </row>
    <row r="627" spans="1:1" x14ac:dyDescent="0.25">
      <c r="A627" s="35" t="s">
        <v>740</v>
      </c>
    </row>
    <row r="628" spans="1:1" x14ac:dyDescent="0.25">
      <c r="A628" s="35" t="s">
        <v>741</v>
      </c>
    </row>
    <row r="629" spans="1:1" x14ac:dyDescent="0.25">
      <c r="A629" s="35" t="s">
        <v>742</v>
      </c>
    </row>
    <row r="630" spans="1:1" x14ac:dyDescent="0.25">
      <c r="A630" s="35" t="s">
        <v>743</v>
      </c>
    </row>
    <row r="631" spans="1:1" x14ac:dyDescent="0.25">
      <c r="A631" s="35" t="s">
        <v>744</v>
      </c>
    </row>
    <row r="632" spans="1:1" x14ac:dyDescent="0.25">
      <c r="A632" s="35" t="s">
        <v>745</v>
      </c>
    </row>
    <row r="633" spans="1:1" x14ac:dyDescent="0.25">
      <c r="A633" s="35" t="s">
        <v>746</v>
      </c>
    </row>
    <row r="634" spans="1:1" x14ac:dyDescent="0.25">
      <c r="A634" s="35" t="s">
        <v>747</v>
      </c>
    </row>
    <row r="635" spans="1:1" x14ac:dyDescent="0.25">
      <c r="A635" s="35" t="s">
        <v>748</v>
      </c>
    </row>
    <row r="636" spans="1:1" x14ac:dyDescent="0.25">
      <c r="A636" s="35" t="s">
        <v>749</v>
      </c>
    </row>
    <row r="637" spans="1:1" x14ac:dyDescent="0.25">
      <c r="A637" s="35" t="s">
        <v>750</v>
      </c>
    </row>
    <row r="638" spans="1:1" x14ac:dyDescent="0.25">
      <c r="A638" s="35" t="s">
        <v>751</v>
      </c>
    </row>
    <row r="639" spans="1:1" x14ac:dyDescent="0.25">
      <c r="A639" s="35" t="s">
        <v>752</v>
      </c>
    </row>
    <row r="640" spans="1:1" x14ac:dyDescent="0.25">
      <c r="A640" s="35" t="s">
        <v>78</v>
      </c>
    </row>
    <row r="641" spans="1:1" x14ac:dyDescent="0.25">
      <c r="A641" s="35" t="s">
        <v>753</v>
      </c>
    </row>
    <row r="642" spans="1:1" x14ac:dyDescent="0.25">
      <c r="A642" s="35" t="s">
        <v>754</v>
      </c>
    </row>
    <row r="643" spans="1:1" x14ac:dyDescent="0.25">
      <c r="A643" s="35" t="s">
        <v>755</v>
      </c>
    </row>
    <row r="644" spans="1:1" x14ac:dyDescent="0.25">
      <c r="A644" s="35" t="s">
        <v>756</v>
      </c>
    </row>
    <row r="645" spans="1:1" x14ac:dyDescent="0.25">
      <c r="A645" s="35" t="s">
        <v>757</v>
      </c>
    </row>
    <row r="646" spans="1:1" x14ac:dyDescent="0.25">
      <c r="A646" s="35" t="s">
        <v>758</v>
      </c>
    </row>
    <row r="647" spans="1:1" x14ac:dyDescent="0.25">
      <c r="A647" s="35" t="s">
        <v>759</v>
      </c>
    </row>
    <row r="648" spans="1:1" x14ac:dyDescent="0.25">
      <c r="A648" s="35" t="s">
        <v>760</v>
      </c>
    </row>
    <row r="649" spans="1:1" x14ac:dyDescent="0.25">
      <c r="A649" s="35" t="s">
        <v>761</v>
      </c>
    </row>
    <row r="650" spans="1:1" x14ac:dyDescent="0.25">
      <c r="A650" s="35" t="s">
        <v>762</v>
      </c>
    </row>
    <row r="651" spans="1:1" x14ac:dyDescent="0.25">
      <c r="A651" s="35" t="s">
        <v>763</v>
      </c>
    </row>
    <row r="652" spans="1:1" x14ac:dyDescent="0.25">
      <c r="A652" s="35" t="s">
        <v>764</v>
      </c>
    </row>
    <row r="653" spans="1:1" x14ac:dyDescent="0.25">
      <c r="A653" s="35" t="s">
        <v>765</v>
      </c>
    </row>
    <row r="654" spans="1:1" x14ac:dyDescent="0.25">
      <c r="A654" s="35" t="s">
        <v>766</v>
      </c>
    </row>
    <row r="655" spans="1:1" x14ac:dyDescent="0.25">
      <c r="A655" s="35" t="s">
        <v>767</v>
      </c>
    </row>
    <row r="656" spans="1:1" x14ac:dyDescent="0.25">
      <c r="A656" s="35" t="s">
        <v>768</v>
      </c>
    </row>
    <row r="657" spans="1:1" x14ac:dyDescent="0.25">
      <c r="A657" s="35" t="s">
        <v>769</v>
      </c>
    </row>
    <row r="658" spans="1:1" x14ac:dyDescent="0.25">
      <c r="A658" s="35" t="s">
        <v>770</v>
      </c>
    </row>
    <row r="659" spans="1:1" x14ac:dyDescent="0.25">
      <c r="A659" s="35" t="s">
        <v>771</v>
      </c>
    </row>
    <row r="660" spans="1:1" x14ac:dyDescent="0.25">
      <c r="A660" s="35" t="s">
        <v>772</v>
      </c>
    </row>
    <row r="661" spans="1:1" x14ac:dyDescent="0.25">
      <c r="A661" s="35" t="s">
        <v>773</v>
      </c>
    </row>
    <row r="662" spans="1:1" x14ac:dyDescent="0.25">
      <c r="A662" s="35" t="s">
        <v>774</v>
      </c>
    </row>
    <row r="663" spans="1:1" x14ac:dyDescent="0.25">
      <c r="A663" s="35" t="s">
        <v>775</v>
      </c>
    </row>
    <row r="664" spans="1:1" x14ac:dyDescent="0.25">
      <c r="A664" s="35" t="s">
        <v>776</v>
      </c>
    </row>
    <row r="665" spans="1:1" x14ac:dyDescent="0.25">
      <c r="A665" s="35" t="s">
        <v>777</v>
      </c>
    </row>
    <row r="666" spans="1:1" x14ac:dyDescent="0.25">
      <c r="A666" s="35" t="s">
        <v>778</v>
      </c>
    </row>
    <row r="667" spans="1:1" x14ac:dyDescent="0.25">
      <c r="A667" s="35" t="s">
        <v>779</v>
      </c>
    </row>
    <row r="668" spans="1:1" x14ac:dyDescent="0.25">
      <c r="A668" s="35" t="s">
        <v>780</v>
      </c>
    </row>
    <row r="669" spans="1:1" x14ac:dyDescent="0.25">
      <c r="A669" s="35" t="s">
        <v>781</v>
      </c>
    </row>
    <row r="670" spans="1:1" x14ac:dyDescent="0.25">
      <c r="A670" s="35" t="s">
        <v>782</v>
      </c>
    </row>
    <row r="671" spans="1:1" x14ac:dyDescent="0.25">
      <c r="A671" s="35" t="s">
        <v>783</v>
      </c>
    </row>
    <row r="672" spans="1:1" x14ac:dyDescent="0.25">
      <c r="A672" s="35" t="s">
        <v>784</v>
      </c>
    </row>
    <row r="673" spans="1:1" x14ac:dyDescent="0.25">
      <c r="A673" s="35" t="s">
        <v>785</v>
      </c>
    </row>
    <row r="674" spans="1:1" x14ac:dyDescent="0.25">
      <c r="A674" s="35" t="s">
        <v>786</v>
      </c>
    </row>
    <row r="675" spans="1:1" x14ac:dyDescent="0.25">
      <c r="A675" s="35" t="s">
        <v>787</v>
      </c>
    </row>
    <row r="676" spans="1:1" x14ac:dyDescent="0.25">
      <c r="A676" s="35" t="s">
        <v>788</v>
      </c>
    </row>
    <row r="677" spans="1:1" x14ac:dyDescent="0.25">
      <c r="A677" s="35" t="s">
        <v>789</v>
      </c>
    </row>
    <row r="678" spans="1:1" x14ac:dyDescent="0.25">
      <c r="A678" s="35" t="s">
        <v>790</v>
      </c>
    </row>
    <row r="679" spans="1:1" x14ac:dyDescent="0.25">
      <c r="A679" s="35" t="s">
        <v>791</v>
      </c>
    </row>
    <row r="680" spans="1:1" x14ac:dyDescent="0.25">
      <c r="A680" s="35" t="s">
        <v>792</v>
      </c>
    </row>
    <row r="681" spans="1:1" x14ac:dyDescent="0.25">
      <c r="A681" s="35" t="s">
        <v>793</v>
      </c>
    </row>
    <row r="682" spans="1:1" x14ac:dyDescent="0.25">
      <c r="A682" s="35" t="s">
        <v>794</v>
      </c>
    </row>
    <row r="683" spans="1:1" x14ac:dyDescent="0.25">
      <c r="A683" s="35" t="s">
        <v>795</v>
      </c>
    </row>
    <row r="684" spans="1:1" x14ac:dyDescent="0.25">
      <c r="A684" s="35" t="s">
        <v>796</v>
      </c>
    </row>
    <row r="685" spans="1:1" x14ac:dyDescent="0.25">
      <c r="A685" s="35" t="s">
        <v>797</v>
      </c>
    </row>
    <row r="686" spans="1:1" x14ac:dyDescent="0.25">
      <c r="A686" s="35" t="s">
        <v>798</v>
      </c>
    </row>
    <row r="687" spans="1:1" x14ac:dyDescent="0.25">
      <c r="A687" s="35" t="s">
        <v>799</v>
      </c>
    </row>
    <row r="688" spans="1:1" x14ac:dyDescent="0.25">
      <c r="A688" s="35" t="s">
        <v>800</v>
      </c>
    </row>
    <row r="689" spans="1:1" x14ac:dyDescent="0.25">
      <c r="A689" s="35" t="s">
        <v>801</v>
      </c>
    </row>
    <row r="690" spans="1:1" x14ac:dyDescent="0.25">
      <c r="A690" s="35" t="s">
        <v>802</v>
      </c>
    </row>
    <row r="691" spans="1:1" x14ac:dyDescent="0.25">
      <c r="A691" s="35" t="s">
        <v>803</v>
      </c>
    </row>
    <row r="692" spans="1:1" x14ac:dyDescent="0.25">
      <c r="A692" s="35" t="s">
        <v>804</v>
      </c>
    </row>
    <row r="693" spans="1:1" x14ac:dyDescent="0.25">
      <c r="A693" s="35" t="s">
        <v>805</v>
      </c>
    </row>
    <row r="694" spans="1:1" x14ac:dyDescent="0.25">
      <c r="A694" s="35" t="s">
        <v>806</v>
      </c>
    </row>
    <row r="695" spans="1:1" x14ac:dyDescent="0.25">
      <c r="A695" s="35" t="s">
        <v>807</v>
      </c>
    </row>
    <row r="696" spans="1:1" x14ac:dyDescent="0.25">
      <c r="A696" s="35" t="s">
        <v>808</v>
      </c>
    </row>
    <row r="697" spans="1:1" x14ac:dyDescent="0.25">
      <c r="A697" s="35" t="s">
        <v>809</v>
      </c>
    </row>
    <row r="698" spans="1:1" x14ac:dyDescent="0.25">
      <c r="A698" s="35" t="s">
        <v>810</v>
      </c>
    </row>
    <row r="699" spans="1:1" x14ac:dyDescent="0.25">
      <c r="A699" s="35" t="s">
        <v>811</v>
      </c>
    </row>
    <row r="700" spans="1:1" x14ac:dyDescent="0.25">
      <c r="A700" s="35" t="s">
        <v>812</v>
      </c>
    </row>
    <row r="701" spans="1:1" x14ac:dyDescent="0.25">
      <c r="A701" s="35" t="s">
        <v>813</v>
      </c>
    </row>
    <row r="702" spans="1:1" x14ac:dyDescent="0.25">
      <c r="A702" s="35" t="s">
        <v>814</v>
      </c>
    </row>
    <row r="703" spans="1:1" x14ac:dyDescent="0.25">
      <c r="A703" s="35" t="s">
        <v>815</v>
      </c>
    </row>
    <row r="704" spans="1:1" x14ac:dyDescent="0.25">
      <c r="A704" s="35" t="s">
        <v>816</v>
      </c>
    </row>
    <row r="705" spans="1:1" x14ac:dyDescent="0.25">
      <c r="A705" s="35" t="s">
        <v>817</v>
      </c>
    </row>
    <row r="706" spans="1:1" x14ac:dyDescent="0.25">
      <c r="A706" s="35" t="s">
        <v>818</v>
      </c>
    </row>
    <row r="707" spans="1:1" x14ac:dyDescent="0.25">
      <c r="A707" s="35" t="s">
        <v>819</v>
      </c>
    </row>
    <row r="708" spans="1:1" x14ac:dyDescent="0.25">
      <c r="A708" s="35" t="s">
        <v>820</v>
      </c>
    </row>
    <row r="709" spans="1:1" x14ac:dyDescent="0.25">
      <c r="A709" s="35" t="s">
        <v>821</v>
      </c>
    </row>
    <row r="710" spans="1:1" x14ac:dyDescent="0.25">
      <c r="A710" s="35" t="s">
        <v>822</v>
      </c>
    </row>
    <row r="711" spans="1:1" x14ac:dyDescent="0.25">
      <c r="A711" s="35" t="s">
        <v>823</v>
      </c>
    </row>
    <row r="712" spans="1:1" x14ac:dyDescent="0.25">
      <c r="A712" s="35" t="s">
        <v>824</v>
      </c>
    </row>
    <row r="713" spans="1:1" x14ac:dyDescent="0.25">
      <c r="A713" s="35" t="s">
        <v>825</v>
      </c>
    </row>
    <row r="714" spans="1:1" x14ac:dyDescent="0.25">
      <c r="A714" s="35" t="s">
        <v>826</v>
      </c>
    </row>
    <row r="715" spans="1:1" x14ac:dyDescent="0.25">
      <c r="A715" s="35" t="s">
        <v>827</v>
      </c>
    </row>
    <row r="716" spans="1:1" x14ac:dyDescent="0.25">
      <c r="A716" s="35" t="s">
        <v>828</v>
      </c>
    </row>
    <row r="717" spans="1:1" x14ac:dyDescent="0.25">
      <c r="A717" s="35" t="s">
        <v>829</v>
      </c>
    </row>
    <row r="718" spans="1:1" x14ac:dyDescent="0.25">
      <c r="A718" s="35" t="s">
        <v>830</v>
      </c>
    </row>
    <row r="719" spans="1:1" x14ac:dyDescent="0.25">
      <c r="A719" s="35" t="s">
        <v>831</v>
      </c>
    </row>
    <row r="720" spans="1:1" x14ac:dyDescent="0.25">
      <c r="A720" s="35" t="s">
        <v>832</v>
      </c>
    </row>
    <row r="721" spans="1:1" x14ac:dyDescent="0.25">
      <c r="A721" s="35" t="s">
        <v>833</v>
      </c>
    </row>
    <row r="722" spans="1:1" x14ac:dyDescent="0.25">
      <c r="A722" s="35" t="s">
        <v>834</v>
      </c>
    </row>
    <row r="723" spans="1:1" x14ac:dyDescent="0.25">
      <c r="A723" s="35" t="s">
        <v>835</v>
      </c>
    </row>
    <row r="724" spans="1:1" x14ac:dyDescent="0.25">
      <c r="A724" s="35" t="s">
        <v>836</v>
      </c>
    </row>
    <row r="725" spans="1:1" x14ac:dyDescent="0.25">
      <c r="A725" s="35" t="s">
        <v>837</v>
      </c>
    </row>
    <row r="726" spans="1:1" x14ac:dyDescent="0.25">
      <c r="A726" s="35" t="s">
        <v>838</v>
      </c>
    </row>
    <row r="727" spans="1:1" x14ac:dyDescent="0.25">
      <c r="A727" s="35" t="s">
        <v>839</v>
      </c>
    </row>
    <row r="728" spans="1:1" x14ac:dyDescent="0.25">
      <c r="A728" s="35" t="s">
        <v>840</v>
      </c>
    </row>
    <row r="729" spans="1:1" x14ac:dyDescent="0.25">
      <c r="A729" s="35" t="s">
        <v>841</v>
      </c>
    </row>
    <row r="730" spans="1:1" x14ac:dyDescent="0.25">
      <c r="A730" s="35" t="s">
        <v>842</v>
      </c>
    </row>
    <row r="731" spans="1:1" x14ac:dyDescent="0.25">
      <c r="A731" s="35" t="s">
        <v>843</v>
      </c>
    </row>
    <row r="732" spans="1:1" x14ac:dyDescent="0.25">
      <c r="A732" s="35" t="s">
        <v>844</v>
      </c>
    </row>
    <row r="733" spans="1:1" x14ac:dyDescent="0.25">
      <c r="A733" s="35" t="s">
        <v>845</v>
      </c>
    </row>
    <row r="734" spans="1:1" x14ac:dyDescent="0.25">
      <c r="A734" s="35" t="s">
        <v>846</v>
      </c>
    </row>
    <row r="735" spans="1:1" x14ac:dyDescent="0.25">
      <c r="A735" s="35" t="s">
        <v>847</v>
      </c>
    </row>
    <row r="736" spans="1:1" x14ac:dyDescent="0.25">
      <c r="A736" s="35" t="s">
        <v>848</v>
      </c>
    </row>
    <row r="737" spans="1:1" x14ac:dyDescent="0.25">
      <c r="A737" s="35" t="s">
        <v>849</v>
      </c>
    </row>
    <row r="738" spans="1:1" x14ac:dyDescent="0.25">
      <c r="A738" s="35" t="s">
        <v>850</v>
      </c>
    </row>
    <row r="739" spans="1:1" x14ac:dyDescent="0.25">
      <c r="A739" s="35" t="s">
        <v>851</v>
      </c>
    </row>
    <row r="740" spans="1:1" x14ac:dyDescent="0.25">
      <c r="A740" s="35" t="s">
        <v>852</v>
      </c>
    </row>
    <row r="741" spans="1:1" x14ac:dyDescent="0.25">
      <c r="A741" s="35" t="s">
        <v>853</v>
      </c>
    </row>
    <row r="742" spans="1:1" x14ac:dyDescent="0.25">
      <c r="A742" s="35" t="s">
        <v>854</v>
      </c>
    </row>
    <row r="743" spans="1:1" x14ac:dyDescent="0.25">
      <c r="A743" s="35" t="s">
        <v>855</v>
      </c>
    </row>
    <row r="744" spans="1:1" x14ac:dyDescent="0.25">
      <c r="A744" s="35" t="s">
        <v>856</v>
      </c>
    </row>
    <row r="745" spans="1:1" x14ac:dyDescent="0.25">
      <c r="A745" s="35" t="s">
        <v>857</v>
      </c>
    </row>
    <row r="746" spans="1:1" x14ac:dyDescent="0.25">
      <c r="A746" s="35" t="s">
        <v>858</v>
      </c>
    </row>
    <row r="747" spans="1:1" x14ac:dyDescent="0.25">
      <c r="A747" s="35" t="s">
        <v>859</v>
      </c>
    </row>
    <row r="748" spans="1:1" x14ac:dyDescent="0.25">
      <c r="A748" s="35" t="s">
        <v>860</v>
      </c>
    </row>
    <row r="749" spans="1:1" x14ac:dyDescent="0.25">
      <c r="A749" s="35" t="s">
        <v>861</v>
      </c>
    </row>
    <row r="750" spans="1:1" x14ac:dyDescent="0.25">
      <c r="A750" s="35" t="s">
        <v>862</v>
      </c>
    </row>
    <row r="751" spans="1:1" x14ac:dyDescent="0.25">
      <c r="A751" s="35" t="s">
        <v>863</v>
      </c>
    </row>
    <row r="752" spans="1:1" x14ac:dyDescent="0.25">
      <c r="A752" s="35" t="s">
        <v>864</v>
      </c>
    </row>
    <row r="753" spans="1:1" x14ac:dyDescent="0.25">
      <c r="A753" s="35" t="s">
        <v>865</v>
      </c>
    </row>
  </sheetData>
  <mergeCells count="2">
    <mergeCell ref="A1:T1"/>
    <mergeCell ref="A2:T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22" customWidth="1"/>
    <col min="3" max="3" width="14" customWidth="1"/>
    <col min="4" max="7" width="12" customWidth="1"/>
    <col min="8" max="9" width="11" customWidth="1"/>
    <col min="10" max="10" width="12" customWidth="1"/>
    <col min="11" max="11" width="11" customWidth="1"/>
    <col min="12" max="12" width="12" customWidth="1"/>
    <col min="13" max="16" width="11" customWidth="1"/>
    <col min="17" max="17" width="12" customWidth="1"/>
    <col min="18" max="18" width="8" customWidth="1"/>
    <col min="19" max="20" width="11" customWidth="1"/>
  </cols>
  <sheetData>
    <row r="1" spans="1:20" ht="34.5" customHeight="1" x14ac:dyDescent="0.25">
      <c r="A1" s="8" t="s">
        <v>90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ht="18" customHeight="1" x14ac:dyDescent="0.25">
      <c r="A2" s="7" t="s">
        <v>91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ht="13.5" customHeight="1" x14ac:dyDescent="0.25">
      <c r="A3" s="6" t="s">
        <v>92</v>
      </c>
      <c r="B3" s="6"/>
      <c r="C3" s="6"/>
      <c r="D3" s="5" t="s">
        <v>93</v>
      </c>
      <c r="E3" s="5"/>
      <c r="F3" s="5"/>
      <c r="G3" s="5"/>
      <c r="H3" s="4" t="s">
        <v>94</v>
      </c>
      <c r="I3" s="4"/>
      <c r="J3" s="4"/>
      <c r="K3" s="4"/>
      <c r="L3" s="4"/>
      <c r="M3" s="3" t="s">
        <v>95</v>
      </c>
      <c r="N3" s="3"/>
      <c r="O3" s="3"/>
      <c r="P3" s="3"/>
      <c r="Q3" s="2" t="s">
        <v>96</v>
      </c>
      <c r="R3" s="2"/>
      <c r="S3" s="1" t="s">
        <v>97</v>
      </c>
      <c r="T3" s="1"/>
    </row>
    <row r="4" spans="1:20" ht="30" customHeight="1" x14ac:dyDescent="0.25">
      <c r="A4" s="15" t="s">
        <v>53</v>
      </c>
      <c r="B4" s="15" t="s">
        <v>98</v>
      </c>
      <c r="C4" s="15" t="s">
        <v>64</v>
      </c>
      <c r="D4" s="15" t="s">
        <v>99</v>
      </c>
      <c r="E4" s="15" t="s">
        <v>100</v>
      </c>
      <c r="F4" s="15" t="s">
        <v>101</v>
      </c>
      <c r="G4" s="15" t="s">
        <v>102</v>
      </c>
      <c r="H4" s="15" t="s">
        <v>103</v>
      </c>
      <c r="I4" s="15" t="s">
        <v>104</v>
      </c>
      <c r="J4" s="15" t="s">
        <v>105</v>
      </c>
      <c r="K4" s="15" t="s">
        <v>106</v>
      </c>
      <c r="L4" s="15" t="s">
        <v>107</v>
      </c>
      <c r="M4" s="15" t="s">
        <v>108</v>
      </c>
      <c r="N4" s="15" t="s">
        <v>109</v>
      </c>
      <c r="O4" s="15" t="s">
        <v>110</v>
      </c>
      <c r="P4" s="15" t="s">
        <v>111</v>
      </c>
      <c r="Q4" s="15" t="s">
        <v>112</v>
      </c>
      <c r="R4" s="15" t="s">
        <v>113</v>
      </c>
      <c r="S4" s="15" t="s">
        <v>114</v>
      </c>
      <c r="T4" s="15" t="s">
        <v>115</v>
      </c>
    </row>
    <row r="5" spans="1:20" ht="18" customHeight="1" x14ac:dyDescent="0.25">
      <c r="A5" s="20" t="str">
        <f>IF('Ticker Data'!A4="","",'Ticker Data'!A4)</f>
        <v>PRSMJOHNSN</v>
      </c>
      <c r="B5" s="20" t="str">
        <f>IF('Ticker Data'!A4="","",'Ticker Data'!B4)</f>
        <v>Reliance Industries</v>
      </c>
      <c r="C5" s="20" t="str">
        <f>IF('Ticker Data'!A4="","",'Ticker Data'!L4)</f>
        <v>Energy</v>
      </c>
      <c r="D5" s="21" t="str">
        <f>IF('Ticker Data'!A4="","",IF(AND('Ticker Data'!C4&gt;'Ticker Data'!D4,'Ticker Data'!D4&gt;'Ticker Data'!E4,'Ticker Data'!E4&gt;0),"✔ PASS","✘ FAIL"))</f>
        <v>✔ PASS</v>
      </c>
      <c r="E5" s="21" t="str">
        <f>IF('Ticker Data'!A4="","",IF('Ticker Data'!C4&gt;='Ticker Data'!F4*0.85,"✔ PASS","✘ FAIL"))</f>
        <v>✔ PASS</v>
      </c>
      <c r="F5" s="21" t="str">
        <f>IF('Ticker Data'!A4="","",IF('Ticker Data'!C4&gt;='Ticker Data'!G4,"✔ PASS","✘ FAIL"))</f>
        <v>✘ FAIL</v>
      </c>
      <c r="G5" s="21" t="str">
        <f>IF('Ticker Data'!A4="","",IF('Ticker Data'!I4&gt;'Ticker Data'!J4,"✔ PASS","✘ FAIL"))</f>
        <v>✔ PASS</v>
      </c>
      <c r="H5" s="22">
        <f>IF('Ticker Data'!A4="","",(('Ticker Data'!K4/100)))</f>
        <v>0.125</v>
      </c>
      <c r="I5" s="23">
        <f>IF(OR('Ticker Data'!A4="",'Ticker Data'!J4=0),"",'Ticker Data'!I4/'Ticker Data'!J4)</f>
        <v>1.1805555555555556</v>
      </c>
      <c r="J5" s="24">
        <f>IF(OR('Ticker Data'!A4="",'Ticker Data'!G4=0),"",('Ticker Data'!C4-'Ticker Data'!G4)/'Ticker Data'!G4)</f>
        <v>-3.3783783783783786E-3</v>
      </c>
      <c r="K5" s="24">
        <f>IF(OR('Ticker Data'!A4="",'Ticker Data'!D4=0),"",('Ticker Data'!C4-'Ticker Data'!D4)/'Ticker Data'!D4)</f>
        <v>4.6099290780141841E-2</v>
      </c>
      <c r="L5" s="22">
        <f>IF(OR('Ticker Data'!A4="",'Ticker Data'!F4=0),"",'Ticker Data'!C4/'Ticker Data'!F4)</f>
        <v>0.97359735973597361</v>
      </c>
      <c r="M5" s="25">
        <f t="shared" ref="M5:M36" si="0">IF(OR(C5="",H5=""),"",ROUND(PERCENTRANK($H$5:$H$54,H5)*100,1))</f>
        <v>95.9</v>
      </c>
      <c r="N5" s="25">
        <f t="shared" ref="N5:N36" si="1">IF(OR(C5="",I5=""),"",ROUND(PERCENTRANK($I$5:$I$54,I5)*100,1))</f>
        <v>66.599999999999994</v>
      </c>
      <c r="O5" s="25">
        <f t="shared" ref="O5:O36" si="2">IF(OR(C5="",J5=""),"",ROUND(PERCENTRANK($J$5:$J$54,J5)*100,1))</f>
        <v>100</v>
      </c>
      <c r="P5" s="25">
        <f t="shared" ref="P5:P36" si="3">IF(OR(C5="",K5=""),"",ROUND(PERCENTRANK($K$5:$K$54,K5)*100,1))</f>
        <v>66.599999999999994</v>
      </c>
      <c r="Q5" s="25">
        <f t="shared" ref="Q5:Q36" si="4">IF(OR(A5="",D5=""),"",ROUND(M5*0.3+N5*0.25+O5*0.25+P5*0.2,1))</f>
        <v>83.7</v>
      </c>
      <c r="R5" s="21" t="str">
        <f t="shared" ref="R5:R36" si="5">IF(OR(A5="",S5&lt;&gt;"✔ ALL PASS"),"",RANK(Q5,$Q$5:$Q$54,0))</f>
        <v/>
      </c>
      <c r="S5" s="21" t="str">
        <f t="shared" ref="S5:S36" si="6">IF(A5="","",IF(AND(D5="✔ PASS",E5="✔ PASS",F5="✔ PASS",G5="✔ PASS"),"✔ ALL PASS","✘ FILTERED"))</f>
        <v>✘ FILTERED</v>
      </c>
      <c r="T5" s="21" t="str">
        <f t="shared" ref="T5:T36" si="7">IF(OR(A5="",S5&lt;&gt;"✔ ALL PASS",R5=""),"",IF(R5&lt;=20,"🟢 BUY SIGNAL","—"))</f>
        <v/>
      </c>
    </row>
    <row r="6" spans="1:20" ht="18" customHeight="1" x14ac:dyDescent="0.25">
      <c r="A6" s="20" t="str">
        <f>IF('Ticker Data'!A5="","",'Ticker Data'!A5)</f>
        <v>CASTROLIND</v>
      </c>
      <c r="B6" s="20" t="str">
        <f>IF('Ticker Data'!A5="","",'Ticker Data'!B5)</f>
        <v>Infosys</v>
      </c>
      <c r="C6" s="20" t="str">
        <f>IF('Ticker Data'!A5="","",'Ticker Data'!L5)</f>
        <v>IT</v>
      </c>
      <c r="D6" s="21" t="str">
        <f>IF('Ticker Data'!A5="","",IF(AND('Ticker Data'!C5&gt;'Ticker Data'!D5,'Ticker Data'!D5&gt;'Ticker Data'!E5,'Ticker Data'!E5&gt;0),"✔ PASS","✘ FAIL"))</f>
        <v>✔ PASS</v>
      </c>
      <c r="E6" s="21" t="str">
        <f>IF('Ticker Data'!A5="","",IF('Ticker Data'!C5&gt;='Ticker Data'!F5*0.85,"✔ PASS","✘ FAIL"))</f>
        <v>✔ PASS</v>
      </c>
      <c r="F6" s="21" t="str">
        <f>IF('Ticker Data'!A5="","",IF('Ticker Data'!C5&gt;='Ticker Data'!G5,"✔ PASS","✘ FAIL"))</f>
        <v>✘ FAIL</v>
      </c>
      <c r="G6" s="21" t="str">
        <f>IF('Ticker Data'!A5="","",IF('Ticker Data'!I5&gt;'Ticker Data'!J5,"✔ PASS","✘ FAIL"))</f>
        <v>✔ PASS</v>
      </c>
      <c r="H6" s="22">
        <f>IF('Ticker Data'!A5="","",(('Ticker Data'!K5/100)))</f>
        <v>8.199999999999999E-2</v>
      </c>
      <c r="I6" s="23">
        <f>IF(OR('Ticker Data'!A5="",'Ticker Data'!J5=0),"",'Ticker Data'!I5/'Ticker Data'!J5)</f>
        <v>1.1428571428571428</v>
      </c>
      <c r="J6" s="24">
        <f>IF(OR('Ticker Data'!A5="",'Ticker Data'!G5=0),"",('Ticker Data'!C5-'Ticker Data'!G5)/'Ticker Data'!G5)</f>
        <v>-2.197802197802198E-2</v>
      </c>
      <c r="K6" s="24">
        <f>IF(OR('Ticker Data'!A5="",'Ticker Data'!D5=0),"",('Ticker Data'!C5-'Ticker Data'!D5)/'Ticker Data'!D5)</f>
        <v>4.0935672514619881E-2</v>
      </c>
      <c r="L6" s="22">
        <f>IF(OR('Ticker Data'!A5="",'Ticker Data'!F5=0),"",'Ticker Data'!C5/'Ticker Data'!F5)</f>
        <v>0.89898989898989901</v>
      </c>
      <c r="M6" s="25">
        <f t="shared" si="0"/>
        <v>85.7</v>
      </c>
      <c r="N6" s="25">
        <f t="shared" si="1"/>
        <v>44.4</v>
      </c>
      <c r="O6" s="25">
        <f t="shared" si="2"/>
        <v>11.1</v>
      </c>
      <c r="P6" s="25">
        <f t="shared" si="3"/>
        <v>22.2</v>
      </c>
      <c r="Q6" s="25">
        <f t="shared" si="4"/>
        <v>44</v>
      </c>
      <c r="R6" s="21" t="str">
        <f t="shared" si="5"/>
        <v/>
      </c>
      <c r="S6" s="21" t="str">
        <f t="shared" si="6"/>
        <v>✘ FILTERED</v>
      </c>
      <c r="T6" s="21" t="str">
        <f t="shared" si="7"/>
        <v/>
      </c>
    </row>
    <row r="7" spans="1:20" ht="18" customHeight="1" x14ac:dyDescent="0.25">
      <c r="A7" s="20" t="str">
        <f>IF('Ticker Data'!A6="","",'Ticker Data'!A6)</f>
        <v>ZYDUSLIFE</v>
      </c>
      <c r="B7" s="20" t="str">
        <f>IF('Ticker Data'!A6="","",'Ticker Data'!B6)</f>
        <v>HDFC Bank</v>
      </c>
      <c r="C7" s="20" t="str">
        <f>IF('Ticker Data'!A6="","",'Ticker Data'!L6)</f>
        <v>Banking</v>
      </c>
      <c r="D7" s="21" t="str">
        <f>IF('Ticker Data'!A6="","",IF(AND('Ticker Data'!C6&gt;'Ticker Data'!D6,'Ticker Data'!D6&gt;'Ticker Data'!E6,'Ticker Data'!E6&gt;0),"✔ PASS","✘ FAIL"))</f>
        <v>✔ PASS</v>
      </c>
      <c r="E7" s="21" t="str">
        <f>IF('Ticker Data'!A6="","",IF('Ticker Data'!C6&gt;='Ticker Data'!F6*0.85,"✔ PASS","✘ FAIL"))</f>
        <v>✔ PASS</v>
      </c>
      <c r="F7" s="21" t="str">
        <f>IF('Ticker Data'!A6="","",IF('Ticker Data'!C6&gt;='Ticker Data'!G6,"✔ PASS","✘ FAIL"))</f>
        <v>✘ FAIL</v>
      </c>
      <c r="G7" s="21" t="str">
        <f>IF('Ticker Data'!A6="","",IF('Ticker Data'!I6&gt;'Ticker Data'!J6,"✔ PASS","✘ FAIL"))</f>
        <v>✔ PASS</v>
      </c>
      <c r="H7" s="22">
        <f>IF('Ticker Data'!A6="","",(('Ticker Data'!K6/100)))</f>
        <v>9.8000000000000004E-2</v>
      </c>
      <c r="I7" s="23">
        <f>IF(OR('Ticker Data'!A6="",'Ticker Data'!J6=0),"",'Ticker Data'!I6/'Ticker Data'!J6)</f>
        <v>1.2</v>
      </c>
      <c r="J7" s="24">
        <f>IF(OR('Ticker Data'!A6="",'Ticker Data'!G6=0),"",('Ticker Data'!C6-'Ticker Data'!G6)/'Ticker Data'!G6)</f>
        <v>-1.1494252873563218E-2</v>
      </c>
      <c r="K7" s="24">
        <f>IF(OR('Ticker Data'!A6="",'Ticker Data'!D6=0),"",('Ticker Data'!C6-'Ticker Data'!D6)/'Ticker Data'!D6)</f>
        <v>4.2424242424242427E-2</v>
      </c>
      <c r="L7" s="22">
        <f>IF(OR('Ticker Data'!A6="",'Ticker Data'!F6=0),"",'Ticker Data'!C6/'Ticker Data'!F6)</f>
        <v>0.91489361702127658</v>
      </c>
      <c r="M7" s="25">
        <f t="shared" si="0"/>
        <v>89.7</v>
      </c>
      <c r="N7" s="25">
        <f t="shared" si="1"/>
        <v>88.8</v>
      </c>
      <c r="O7" s="25">
        <f t="shared" si="2"/>
        <v>77.7</v>
      </c>
      <c r="P7" s="25">
        <f t="shared" si="3"/>
        <v>44.4</v>
      </c>
      <c r="Q7" s="25">
        <f t="shared" si="4"/>
        <v>77.400000000000006</v>
      </c>
      <c r="R7" s="21" t="str">
        <f t="shared" si="5"/>
        <v/>
      </c>
      <c r="S7" s="21" t="str">
        <f t="shared" si="6"/>
        <v>✘ FILTERED</v>
      </c>
      <c r="T7" s="21" t="str">
        <f t="shared" si="7"/>
        <v/>
      </c>
    </row>
    <row r="8" spans="1:20" ht="18" customHeight="1" x14ac:dyDescent="0.25">
      <c r="A8" s="20" t="str">
        <f>IF('Ticker Data'!A7="","",'Ticker Data'!A7)</f>
        <v>ABBOTINDIA</v>
      </c>
      <c r="B8" s="20" t="str">
        <f>IF('Ticker Data'!A7="","",'Ticker Data'!B7)</f>
        <v>Tata Consultancy</v>
      </c>
      <c r="C8" s="20" t="str">
        <f>IF('Ticker Data'!A7="","",'Ticker Data'!L7)</f>
        <v>IT</v>
      </c>
      <c r="D8" s="21" t="str">
        <f>IF('Ticker Data'!A7="","",IF(AND('Ticker Data'!C7&gt;'Ticker Data'!D7,'Ticker Data'!D7&gt;'Ticker Data'!E7,'Ticker Data'!E7&gt;0),"✔ PASS","✘ FAIL"))</f>
        <v>✔ PASS</v>
      </c>
      <c r="E8" s="21" t="str">
        <f>IF('Ticker Data'!A7="","",IF('Ticker Data'!C7&gt;='Ticker Data'!F7*0.85,"✔ PASS","✘ FAIL"))</f>
        <v>✔ PASS</v>
      </c>
      <c r="F8" s="21" t="str">
        <f>IF('Ticker Data'!A7="","",IF('Ticker Data'!C7&gt;='Ticker Data'!G7,"✔ PASS","✘ FAIL"))</f>
        <v>✘ FAIL</v>
      </c>
      <c r="G8" s="21" t="str">
        <f>IF('Ticker Data'!A7="","",IF('Ticker Data'!I7&gt;'Ticker Data'!J7,"✔ PASS","✘ FAIL"))</f>
        <v>✔ PASS</v>
      </c>
      <c r="H8" s="22">
        <f>IF('Ticker Data'!A7="","",(('Ticker Data'!K7/100)))</f>
        <v>0.11199999999999999</v>
      </c>
      <c r="I8" s="23">
        <f>IF(OR('Ticker Data'!A7="",'Ticker Data'!J7=0),"",'Ticker Data'!I7/'Ticker Data'!J7)</f>
        <v>1.1000000000000001</v>
      </c>
      <c r="J8" s="24">
        <f>IF(OR('Ticker Data'!A7="",'Ticker Data'!G7=0),"",('Ticker Data'!C7-'Ticker Data'!G7)/'Ticker Data'!G7)</f>
        <v>-1.3921113689095127E-2</v>
      </c>
      <c r="K8" s="24">
        <f>IF(OR('Ticker Data'!A7="",'Ticker Data'!D7=0),"",('Ticker Data'!C7-'Ticker Data'!D7)/'Ticker Data'!D7)</f>
        <v>4.1666666666666664E-2</v>
      </c>
      <c r="L8" s="22">
        <f>IF(OR('Ticker Data'!A7="",'Ticker Data'!F7=0),"",'Ticker Data'!C7/'Ticker Data'!F7)</f>
        <v>0.9486607142857143</v>
      </c>
      <c r="M8" s="25">
        <f t="shared" si="0"/>
        <v>93.8</v>
      </c>
      <c r="N8" s="25">
        <f t="shared" si="1"/>
        <v>11.1</v>
      </c>
      <c r="O8" s="25">
        <f t="shared" si="2"/>
        <v>33.299999999999997</v>
      </c>
      <c r="P8" s="25">
        <f t="shared" si="3"/>
        <v>33.299999999999997</v>
      </c>
      <c r="Q8" s="25">
        <f t="shared" si="4"/>
        <v>45.9</v>
      </c>
      <c r="R8" s="21" t="str">
        <f t="shared" si="5"/>
        <v/>
      </c>
      <c r="S8" s="21" t="str">
        <f t="shared" si="6"/>
        <v>✘ FILTERED</v>
      </c>
      <c r="T8" s="21" t="str">
        <f t="shared" si="7"/>
        <v/>
      </c>
    </row>
    <row r="9" spans="1:20" ht="18" customHeight="1" x14ac:dyDescent="0.25">
      <c r="A9" s="20" t="str">
        <f>IF('Ticker Data'!A8="","",'Ticker Data'!A8)</f>
        <v>GODIGIT</v>
      </c>
      <c r="B9" s="20" t="str">
        <f>IF('Ticker Data'!A8="","",'Ticker Data'!B8)</f>
        <v>ICICI Bank</v>
      </c>
      <c r="C9" s="20" t="str">
        <f>IF('Ticker Data'!A8="","",'Ticker Data'!L8)</f>
        <v>Banking</v>
      </c>
      <c r="D9" s="21" t="str">
        <f>IF('Ticker Data'!A8="","",IF(AND('Ticker Data'!C8&gt;'Ticker Data'!D8,'Ticker Data'!D8&gt;'Ticker Data'!E8,'Ticker Data'!E8&gt;0),"✔ PASS","✘ FAIL"))</f>
        <v>✔ PASS</v>
      </c>
      <c r="E9" s="21" t="str">
        <f>IF('Ticker Data'!A8="","",IF('Ticker Data'!C8&gt;='Ticker Data'!F8*0.85,"✔ PASS","✘ FAIL"))</f>
        <v>✔ PASS</v>
      </c>
      <c r="F9" s="21" t="str">
        <f>IF('Ticker Data'!A8="","",IF('Ticker Data'!C8&gt;='Ticker Data'!G8,"✔ PASS","✘ FAIL"))</f>
        <v>✘ FAIL</v>
      </c>
      <c r="G9" s="21" t="str">
        <f>IF('Ticker Data'!A8="","",IF('Ticker Data'!I8&gt;'Ticker Data'!J8,"✔ PASS","✘ FAIL"))</f>
        <v>✔ PASS</v>
      </c>
      <c r="H9" s="22">
        <f>IF('Ticker Data'!A8="","",(('Ticker Data'!K8/100)))</f>
        <v>7.4999999999999997E-2</v>
      </c>
      <c r="I9" s="23">
        <f>IF(OR('Ticker Data'!A8="",'Ticker Data'!J8=0),"",'Ticker Data'!I8/'Ticker Data'!J8)</f>
        <v>1.1578947368421053</v>
      </c>
      <c r="J9" s="24">
        <f>IF(OR('Ticker Data'!A8="",'Ticker Data'!G8=0),"",('Ticker Data'!C8-'Ticker Data'!G8)/'Ticker Data'!G8)</f>
        <v>-7.6923076923076927E-3</v>
      </c>
      <c r="K9" s="24">
        <f>IF(OR('Ticker Data'!A8="",'Ticker Data'!D8=0),"",('Ticker Data'!C8-'Ticker Data'!D8)/'Ticker Data'!D8)</f>
        <v>4.0322580645161289E-2</v>
      </c>
      <c r="L9" s="22">
        <f>IF(OR('Ticker Data'!A8="",'Ticker Data'!F8=0),"",'Ticker Data'!C8/'Ticker Data'!F8)</f>
        <v>0.9555555555555556</v>
      </c>
      <c r="M9" s="25">
        <f t="shared" si="0"/>
        <v>83.6</v>
      </c>
      <c r="N9" s="25">
        <f t="shared" si="1"/>
        <v>55.5</v>
      </c>
      <c r="O9" s="25">
        <f t="shared" si="2"/>
        <v>88.8</v>
      </c>
      <c r="P9" s="25">
        <f t="shared" si="3"/>
        <v>11.1</v>
      </c>
      <c r="Q9" s="25">
        <f t="shared" si="4"/>
        <v>63.4</v>
      </c>
      <c r="R9" s="21" t="str">
        <f t="shared" si="5"/>
        <v/>
      </c>
      <c r="S9" s="21" t="str">
        <f t="shared" si="6"/>
        <v>✘ FILTERED</v>
      </c>
      <c r="T9" s="21" t="str">
        <f t="shared" si="7"/>
        <v/>
      </c>
    </row>
    <row r="10" spans="1:20" ht="18" customHeight="1" x14ac:dyDescent="0.25">
      <c r="A10" s="20" t="str">
        <f>IF('Ticker Data'!A9="","",'Ticker Data'!A9)</f>
        <v>LUPIN</v>
      </c>
      <c r="B10" s="20" t="str">
        <f>IF('Ticker Data'!A9="","",'Ticker Data'!B9)</f>
        <v>Wipro</v>
      </c>
      <c r="C10" s="20" t="str">
        <f>IF('Ticker Data'!A9="","",'Ticker Data'!L9)</f>
        <v>IT</v>
      </c>
      <c r="D10" s="21" t="str">
        <f>IF('Ticker Data'!A9="","",IF(AND('Ticker Data'!C9&gt;'Ticker Data'!D9,'Ticker Data'!D9&gt;'Ticker Data'!E9,'Ticker Data'!E9&gt;0),"✔ PASS","✘ FAIL"))</f>
        <v>✔ PASS</v>
      </c>
      <c r="E10" s="21" t="str">
        <f>IF('Ticker Data'!A9="","",IF('Ticker Data'!C9&gt;='Ticker Data'!F9*0.85,"✔ PASS","✘ FAIL"))</f>
        <v>✔ PASS</v>
      </c>
      <c r="F10" s="21" t="str">
        <f>IF('Ticker Data'!A9="","",IF('Ticker Data'!C9&gt;='Ticker Data'!G9,"✔ PASS","✘ FAIL"))</f>
        <v>✘ FAIL</v>
      </c>
      <c r="G10" s="21" t="str">
        <f>IF('Ticker Data'!A9="","",IF('Ticker Data'!I9&gt;'Ticker Data'!J9,"✔ PASS","✘ FAIL"))</f>
        <v>✔ PASS</v>
      </c>
      <c r="H10" s="22">
        <f>IF('Ticker Data'!A9="","",(('Ticker Data'!K9/100)))</f>
        <v>6.8000000000000005E-2</v>
      </c>
      <c r="I10" s="23">
        <f>IF(OR('Ticker Data'!A9="",'Ticker Data'!J9=0),"",'Ticker Data'!I9/'Ticker Data'!J9)</f>
        <v>1.0975609756097562</v>
      </c>
      <c r="J10" s="24">
        <f>IF(OR('Ticker Data'!A9="",'Ticker Data'!G9=0),"",('Ticker Data'!C9-'Ticker Data'!G9)/'Ticker Data'!G9)</f>
        <v>-2.3622047244094488E-2</v>
      </c>
      <c r="K10" s="24">
        <f>IF(OR('Ticker Data'!A9="",'Ticker Data'!D9=0),"",('Ticker Data'!C9-'Ticker Data'!D9)/'Ticker Data'!D9)</f>
        <v>3.678929765886288E-2</v>
      </c>
      <c r="L10" s="22">
        <f>IF(OR('Ticker Data'!A9="",'Ticker Data'!F9=0),"",'Ticker Data'!C9/'Ticker Data'!F9)</f>
        <v>0.93939393939393945</v>
      </c>
      <c r="M10" s="25">
        <f t="shared" si="0"/>
        <v>81.599999999999994</v>
      </c>
      <c r="N10" s="25">
        <f t="shared" si="1"/>
        <v>0</v>
      </c>
      <c r="O10" s="25">
        <f t="shared" si="2"/>
        <v>0</v>
      </c>
      <c r="P10" s="25">
        <f t="shared" si="3"/>
        <v>0</v>
      </c>
      <c r="Q10" s="25">
        <f t="shared" si="4"/>
        <v>24.5</v>
      </c>
      <c r="R10" s="21" t="str">
        <f t="shared" si="5"/>
        <v/>
      </c>
      <c r="S10" s="21" t="str">
        <f t="shared" si="6"/>
        <v>✘ FILTERED</v>
      </c>
      <c r="T10" s="21" t="str">
        <f t="shared" si="7"/>
        <v/>
      </c>
    </row>
    <row r="11" spans="1:20" ht="18" customHeight="1" x14ac:dyDescent="0.25">
      <c r="A11" s="20" t="str">
        <f>IF('Ticker Data'!A10="","",'Ticker Data'!A10)</f>
        <v>DIVISLAB</v>
      </c>
      <c r="B11" s="20" t="str">
        <f>IF('Ticker Data'!A10="","",'Ticker Data'!B10)</f>
        <v>Tata Motors</v>
      </c>
      <c r="C11" s="20" t="str">
        <f>IF('Ticker Data'!A10="","",'Ticker Data'!L10)</f>
        <v>Auto</v>
      </c>
      <c r="D11" s="21" t="str">
        <f>IF('Ticker Data'!A10="","",IF(AND('Ticker Data'!C10&gt;'Ticker Data'!D10,'Ticker Data'!D10&gt;'Ticker Data'!E10,'Ticker Data'!E10&gt;0),"✔ PASS","✘ FAIL"))</f>
        <v>✔ PASS</v>
      </c>
      <c r="E11" s="21" t="str">
        <f>IF('Ticker Data'!A10="","",IF('Ticker Data'!C10&gt;='Ticker Data'!F10*0.85,"✔ PASS","✘ FAIL"))</f>
        <v>✔ PASS</v>
      </c>
      <c r="F11" s="21" t="str">
        <f>IF('Ticker Data'!A10="","",IF('Ticker Data'!C10&gt;='Ticker Data'!G10,"✔ PASS","✘ FAIL"))</f>
        <v>✘ FAIL</v>
      </c>
      <c r="G11" s="21" t="str">
        <f>IF('Ticker Data'!A10="","",IF('Ticker Data'!I10&gt;'Ticker Data'!J10,"✔ PASS","✘ FAIL"))</f>
        <v>✔ PASS</v>
      </c>
      <c r="H11" s="22">
        <f>IF('Ticker Data'!A10="","",(('Ticker Data'!K10/100)))</f>
        <v>0.153</v>
      </c>
      <c r="I11" s="23">
        <f>IF(OR('Ticker Data'!A10="",'Ticker Data'!J10=0),"",'Ticker Data'!I10/'Ticker Data'!J10)</f>
        <v>1.25</v>
      </c>
      <c r="J11" s="24">
        <f>IF(OR('Ticker Data'!A10="",'Ticker Data'!G10=0),"",('Ticker Data'!C10-'Ticker Data'!G10)/'Ticker Data'!G10)</f>
        <v>-1.3698630136986301E-2</v>
      </c>
      <c r="K11" s="24">
        <f>IF(OR('Ticker Data'!A10="",'Ticker Data'!D10=0),"",('Ticker Data'!C10-'Ticker Data'!D10)/'Ticker Data'!D10)</f>
        <v>5.8823529411764705E-2</v>
      </c>
      <c r="L11" s="22">
        <f>IF(OR('Ticker Data'!A10="",'Ticker Data'!F10=0),"",'Ticker Data'!C10/'Ticker Data'!F10)</f>
        <v>0.93913043478260871</v>
      </c>
      <c r="M11" s="25">
        <f t="shared" si="0"/>
        <v>100</v>
      </c>
      <c r="N11" s="25">
        <f t="shared" si="1"/>
        <v>100</v>
      </c>
      <c r="O11" s="25">
        <f t="shared" si="2"/>
        <v>44.4</v>
      </c>
      <c r="P11" s="25">
        <f t="shared" si="3"/>
        <v>100</v>
      </c>
      <c r="Q11" s="25">
        <f t="shared" si="4"/>
        <v>86.1</v>
      </c>
      <c r="R11" s="21" t="str">
        <f t="shared" si="5"/>
        <v/>
      </c>
      <c r="S11" s="21" t="str">
        <f t="shared" si="6"/>
        <v>✘ FILTERED</v>
      </c>
      <c r="T11" s="21" t="str">
        <f t="shared" si="7"/>
        <v/>
      </c>
    </row>
    <row r="12" spans="1:20" ht="18" customHeight="1" x14ac:dyDescent="0.25">
      <c r="A12" s="20" t="str">
        <f>IF('Ticker Data'!A11="","",'Ticker Data'!A11)</f>
        <v>LALPATHLAB</v>
      </c>
      <c r="B12" s="20" t="str">
        <f>IF('Ticker Data'!A11="","",'Ticker Data'!B11)</f>
        <v>Axis Bank</v>
      </c>
      <c r="C12" s="20" t="str">
        <f>IF('Ticker Data'!A11="","",'Ticker Data'!L11)</f>
        <v>Banking</v>
      </c>
      <c r="D12" s="21" t="str">
        <f>IF('Ticker Data'!A11="","",IF(AND('Ticker Data'!C11&gt;'Ticker Data'!D11,'Ticker Data'!D11&gt;'Ticker Data'!E11,'Ticker Data'!E11&gt;0),"✔ PASS","✘ FAIL"))</f>
        <v>✔ PASS</v>
      </c>
      <c r="E12" s="21" t="str">
        <f>IF('Ticker Data'!A11="","",IF('Ticker Data'!C11&gt;='Ticker Data'!F11*0.85,"✔ PASS","✘ FAIL"))</f>
        <v>✔ PASS</v>
      </c>
      <c r="F12" s="21" t="str">
        <f>IF('Ticker Data'!A11="","",IF('Ticker Data'!C11&gt;='Ticker Data'!G11,"✔ PASS","✘ FAIL"))</f>
        <v>✘ FAIL</v>
      </c>
      <c r="G12" s="21" t="str">
        <f>IF('Ticker Data'!A11="","",IF('Ticker Data'!I11&gt;'Ticker Data'!J11,"✔ PASS","✘ FAIL"))</f>
        <v>✔ PASS</v>
      </c>
      <c r="H12" s="22">
        <f>IF('Ticker Data'!A11="","",(('Ticker Data'!K11/100)))</f>
        <v>0.10099999999999999</v>
      </c>
      <c r="I12" s="23">
        <f>IF(OR('Ticker Data'!A11="",'Ticker Data'!J11=0),"",'Ticker Data'!I11/'Ticker Data'!J11)</f>
        <v>1.1851851851851851</v>
      </c>
      <c r="J12" s="24">
        <f>IF(OR('Ticker Data'!A11="",'Ticker Data'!G11=0),"",('Ticker Data'!C11-'Ticker Data'!G11)/'Ticker Data'!G11)</f>
        <v>-1.2396694214876033E-2</v>
      </c>
      <c r="K12" s="24">
        <f>IF(OR('Ticker Data'!A11="",'Ticker Data'!D11=0),"",('Ticker Data'!C11-'Ticker Data'!D11)/'Ticker Data'!D11)</f>
        <v>4.8245614035087717E-2</v>
      </c>
      <c r="L12" s="22">
        <f>IF(OR('Ticker Data'!A11="",'Ticker Data'!F11=0),"",'Ticker Data'!C11/'Ticker Data'!F11)</f>
        <v>0.93359375</v>
      </c>
      <c r="M12" s="25">
        <f t="shared" si="0"/>
        <v>91.8</v>
      </c>
      <c r="N12" s="25">
        <f t="shared" si="1"/>
        <v>77.7</v>
      </c>
      <c r="O12" s="25">
        <f t="shared" si="2"/>
        <v>66.599999999999994</v>
      </c>
      <c r="P12" s="25">
        <f t="shared" si="3"/>
        <v>88.8</v>
      </c>
      <c r="Q12" s="25">
        <f t="shared" si="4"/>
        <v>81.400000000000006</v>
      </c>
      <c r="R12" s="21" t="str">
        <f t="shared" si="5"/>
        <v/>
      </c>
      <c r="S12" s="21" t="str">
        <f t="shared" si="6"/>
        <v>✘ FILTERED</v>
      </c>
      <c r="T12" s="21" t="str">
        <f t="shared" si="7"/>
        <v/>
      </c>
    </row>
    <row r="13" spans="1:20" ht="18" customHeight="1" x14ac:dyDescent="0.25">
      <c r="A13" s="20" t="str">
        <f>IF('Ticker Data'!A12="","",'Ticker Data'!A12)</f>
        <v>NHPC</v>
      </c>
      <c r="B13" s="20" t="str">
        <f>IF('Ticker Data'!A12="","",'Ticker Data'!B12)</f>
        <v>Sun Pharma</v>
      </c>
      <c r="C13" s="20" t="str">
        <f>IF('Ticker Data'!A12="","",'Ticker Data'!L12)</f>
        <v>Pharma</v>
      </c>
      <c r="D13" s="21" t="str">
        <f>IF('Ticker Data'!A12="","",IF(AND('Ticker Data'!C12&gt;'Ticker Data'!D12,'Ticker Data'!D12&gt;'Ticker Data'!E12,'Ticker Data'!E12&gt;0),"✔ PASS","✘ FAIL"))</f>
        <v>✔ PASS</v>
      </c>
      <c r="E13" s="21" t="str">
        <f>IF('Ticker Data'!A12="","",IF('Ticker Data'!C12&gt;='Ticker Data'!F12*0.85,"✔ PASS","✘ FAIL"))</f>
        <v>✔ PASS</v>
      </c>
      <c r="F13" s="21" t="str">
        <f>IF('Ticker Data'!A12="","",IF('Ticker Data'!C12&gt;='Ticker Data'!G12,"✔ PASS","✘ FAIL"))</f>
        <v>✘ FAIL</v>
      </c>
      <c r="G13" s="21" t="str">
        <f>IF('Ticker Data'!A12="","",IF('Ticker Data'!I12&gt;'Ticker Data'!J12,"✔ PASS","✘ FAIL"))</f>
        <v>✔ PASS</v>
      </c>
      <c r="H13" s="22">
        <f>IF('Ticker Data'!A12="","",(('Ticker Data'!K12/100)))</f>
        <v>9.4E-2</v>
      </c>
      <c r="I13" s="23">
        <f>IF(OR('Ticker Data'!A12="",'Ticker Data'!J12=0),"",'Ticker Data'!I12/'Ticker Data'!J12)</f>
        <v>1.1290322580645162</v>
      </c>
      <c r="J13" s="24">
        <f>IF(OR('Ticker Data'!A12="",'Ticker Data'!G12=0),"",('Ticker Data'!C12-'Ticker Data'!G12)/'Ticker Data'!G12)</f>
        <v>-1.5384615384615385E-2</v>
      </c>
      <c r="K13" s="24">
        <f>IF(OR('Ticker Data'!A12="",'Ticker Data'!D12=0),"",('Ticker Data'!C12-'Ticker Data'!D12)/'Ticker Data'!D12)</f>
        <v>4.3478260869565216E-2</v>
      </c>
      <c r="L13" s="22">
        <f>IF(OR('Ticker Data'!A12="",'Ticker Data'!F12=0),"",'Ticker Data'!C12/'Ticker Data'!F12)</f>
        <v>0.93658536585365859</v>
      </c>
      <c r="M13" s="25">
        <f t="shared" si="0"/>
        <v>87.7</v>
      </c>
      <c r="N13" s="25">
        <f t="shared" si="1"/>
        <v>33.299999999999997</v>
      </c>
      <c r="O13" s="25">
        <f t="shared" si="2"/>
        <v>22.2</v>
      </c>
      <c r="P13" s="25">
        <f t="shared" si="3"/>
        <v>55.5</v>
      </c>
      <c r="Q13" s="25">
        <f t="shared" si="4"/>
        <v>51.3</v>
      </c>
      <c r="R13" s="21" t="str">
        <f t="shared" si="5"/>
        <v/>
      </c>
      <c r="S13" s="21" t="str">
        <f t="shared" si="6"/>
        <v>✘ FILTERED</v>
      </c>
      <c r="T13" s="21" t="str">
        <f t="shared" si="7"/>
        <v/>
      </c>
    </row>
    <row r="14" spans="1:20" ht="18" customHeight="1" x14ac:dyDescent="0.25">
      <c r="A14" s="20" t="str">
        <f>IF('Ticker Data'!A13="","",'Ticker Data'!A13)</f>
        <v>GICRE</v>
      </c>
      <c r="B14" s="20" t="str">
        <f>IF('Ticker Data'!A13="","",'Ticker Data'!B13)</f>
        <v>Bajaj Finance</v>
      </c>
      <c r="C14" s="20" t="str">
        <f>IF('Ticker Data'!A13="","",'Ticker Data'!L13)</f>
        <v>NBFC</v>
      </c>
      <c r="D14" s="21" t="str">
        <f>IF('Ticker Data'!A13="","",IF(AND('Ticker Data'!C13&gt;'Ticker Data'!D13,'Ticker Data'!D13&gt;'Ticker Data'!E13,'Ticker Data'!E13&gt;0),"✔ PASS","✘ FAIL"))</f>
        <v>✔ PASS</v>
      </c>
      <c r="E14" s="21" t="str">
        <f>IF('Ticker Data'!A13="","",IF('Ticker Data'!C13&gt;='Ticker Data'!F13*0.85,"✔ PASS","✘ FAIL"))</f>
        <v>✔ PASS</v>
      </c>
      <c r="F14" s="21" t="str">
        <f>IF('Ticker Data'!A13="","",IF('Ticker Data'!C13&gt;='Ticker Data'!G13,"✔ PASS","✘ FAIL"))</f>
        <v>✘ FAIL</v>
      </c>
      <c r="G14" s="21" t="str">
        <f>IF('Ticker Data'!A13="","",IF('Ticker Data'!I13&gt;'Ticker Data'!J13,"✔ PASS","✘ FAIL"))</f>
        <v>✔ PASS</v>
      </c>
      <c r="H14" s="22">
        <f>IF('Ticker Data'!A13="","",(('Ticker Data'!K13/100)))</f>
        <v>0.13699999999999998</v>
      </c>
      <c r="I14" s="23">
        <f>IF(OR('Ticker Data'!A13="",'Ticker Data'!J13=0),"",'Ticker Data'!I13/'Ticker Data'!J13)</f>
        <v>1.125</v>
      </c>
      <c r="J14" s="24">
        <f>IF(OR('Ticker Data'!A13="",'Ticker Data'!G13=0),"",('Ticker Data'!C13-'Ticker Data'!G13)/'Ticker Data'!G13)</f>
        <v>-1.2578616352201259E-2</v>
      </c>
      <c r="K14" s="24">
        <f>IF(OR('Ticker Data'!A13="",'Ticker Data'!D13=0),"",('Ticker Data'!C13-'Ticker Data'!D13)/'Ticker Data'!D13)</f>
        <v>4.6666666666666669E-2</v>
      </c>
      <c r="L14" s="22">
        <f>IF(OR('Ticker Data'!A13="",'Ticker Data'!F13=0),"",'Ticker Data'!C13/'Ticker Data'!F13)</f>
        <v>0.93452380952380953</v>
      </c>
      <c r="M14" s="25">
        <f t="shared" si="0"/>
        <v>97.9</v>
      </c>
      <c r="N14" s="25">
        <f t="shared" si="1"/>
        <v>22.2</v>
      </c>
      <c r="O14" s="25">
        <f t="shared" si="2"/>
        <v>55.5</v>
      </c>
      <c r="P14" s="25">
        <f t="shared" si="3"/>
        <v>77.7</v>
      </c>
      <c r="Q14" s="25">
        <f t="shared" si="4"/>
        <v>64.3</v>
      </c>
      <c r="R14" s="21" t="str">
        <f t="shared" si="5"/>
        <v/>
      </c>
      <c r="S14" s="21" t="str">
        <f t="shared" si="6"/>
        <v>✘ FILTERED</v>
      </c>
      <c r="T14" s="21" t="str">
        <f t="shared" si="7"/>
        <v/>
      </c>
    </row>
    <row r="15" spans="1:20" ht="18" customHeight="1" x14ac:dyDescent="0.25">
      <c r="A15" s="20" t="str">
        <f>IF('Ticker Data'!A14="","",'Ticker Data'!A14)</f>
        <v>AADHARHFC</v>
      </c>
      <c r="B15" s="20">
        <f>IF('Ticker Data'!A14="","",'Ticker Data'!B14)</f>
        <v>0</v>
      </c>
      <c r="C15" s="20">
        <f>IF('Ticker Data'!A14="","",'Ticker Data'!L14)</f>
        <v>0</v>
      </c>
      <c r="D15" s="21" t="str">
        <f>IF('Ticker Data'!A14="","",IF(AND('Ticker Data'!C14&gt;'Ticker Data'!D14,'Ticker Data'!D14&gt;'Ticker Data'!E14,'Ticker Data'!E14&gt;0),"✔ PASS","✘ FAIL"))</f>
        <v>✘ FAIL</v>
      </c>
      <c r="E15" s="21" t="str">
        <f>IF('Ticker Data'!A14="","",IF('Ticker Data'!C14&gt;='Ticker Data'!F14*0.85,"✔ PASS","✘ FAIL"))</f>
        <v>✔ PASS</v>
      </c>
      <c r="F15" s="21" t="str">
        <f>IF('Ticker Data'!A14="","",IF('Ticker Data'!C14&gt;='Ticker Data'!G14,"✔ PASS","✘ FAIL"))</f>
        <v>✔ PASS</v>
      </c>
      <c r="G15" s="21" t="str">
        <f>IF('Ticker Data'!A14="","",IF('Ticker Data'!I14&gt;'Ticker Data'!J14,"✔ PASS","✘ FAIL"))</f>
        <v>✘ FAIL</v>
      </c>
      <c r="H15" s="22">
        <f>IF('Ticker Data'!A14="","",(('Ticker Data'!K14/100)))</f>
        <v>0</v>
      </c>
      <c r="I15" s="23" t="str">
        <f>IF(OR('Ticker Data'!A14="",'Ticker Data'!J14=0),"",'Ticker Data'!I14/'Ticker Data'!J14)</f>
        <v/>
      </c>
      <c r="J15" s="24" t="str">
        <f>IF(OR('Ticker Data'!A14="",'Ticker Data'!G14=0),"",('Ticker Data'!C14-'Ticker Data'!G14)/'Ticker Data'!G14)</f>
        <v/>
      </c>
      <c r="K15" s="24" t="str">
        <f>IF(OR('Ticker Data'!A14="",'Ticker Data'!D14=0),"",('Ticker Data'!C14-'Ticker Data'!D14)/'Ticker Data'!D14)</f>
        <v/>
      </c>
      <c r="L15" s="22" t="str">
        <f>IF(OR('Ticker Data'!A14="",'Ticker Data'!F14=0),"",'Ticker Data'!C14/'Ticker Data'!F14)</f>
        <v/>
      </c>
      <c r="M15" s="25">
        <f t="shared" si="0"/>
        <v>0</v>
      </c>
      <c r="N15" s="25" t="str">
        <f t="shared" si="1"/>
        <v/>
      </c>
      <c r="O15" s="25" t="str">
        <f t="shared" si="2"/>
        <v/>
      </c>
      <c r="P15" s="25" t="str">
        <f t="shared" si="3"/>
        <v/>
      </c>
      <c r="Q15" s="25" t="e">
        <f t="shared" si="4"/>
        <v>#VALUE!</v>
      </c>
      <c r="R15" s="21" t="str">
        <f t="shared" si="5"/>
        <v/>
      </c>
      <c r="S15" s="21" t="str">
        <f t="shared" si="6"/>
        <v>✘ FILTERED</v>
      </c>
      <c r="T15" s="21" t="str">
        <f t="shared" si="7"/>
        <v/>
      </c>
    </row>
    <row r="16" spans="1:20" ht="18" customHeight="1" x14ac:dyDescent="0.25">
      <c r="A16" s="20" t="str">
        <f>IF('Ticker Data'!A15="","",'Ticker Data'!A15)</f>
        <v>HSCL</v>
      </c>
      <c r="B16" s="20">
        <f>IF('Ticker Data'!A15="","",'Ticker Data'!B15)</f>
        <v>0</v>
      </c>
      <c r="C16" s="20">
        <f>IF('Ticker Data'!A15="","",'Ticker Data'!L15)</f>
        <v>0</v>
      </c>
      <c r="D16" s="21" t="str">
        <f>IF('Ticker Data'!A15="","",IF(AND('Ticker Data'!C15&gt;'Ticker Data'!D15,'Ticker Data'!D15&gt;'Ticker Data'!E15,'Ticker Data'!E15&gt;0),"✔ PASS","✘ FAIL"))</f>
        <v>✘ FAIL</v>
      </c>
      <c r="E16" s="21" t="str">
        <f>IF('Ticker Data'!A15="","",IF('Ticker Data'!C15&gt;='Ticker Data'!F15*0.85,"✔ PASS","✘ FAIL"))</f>
        <v>✔ PASS</v>
      </c>
      <c r="F16" s="21" t="str">
        <f>IF('Ticker Data'!A15="","",IF('Ticker Data'!C15&gt;='Ticker Data'!G15,"✔ PASS","✘ FAIL"))</f>
        <v>✔ PASS</v>
      </c>
      <c r="G16" s="21" t="str">
        <f>IF('Ticker Data'!A15="","",IF('Ticker Data'!I15&gt;'Ticker Data'!J15,"✔ PASS","✘ FAIL"))</f>
        <v>✘ FAIL</v>
      </c>
      <c r="H16" s="22">
        <f>IF('Ticker Data'!A15="","",(('Ticker Data'!K15/100)))</f>
        <v>0</v>
      </c>
      <c r="I16" s="23" t="str">
        <f>IF(OR('Ticker Data'!A15="",'Ticker Data'!J15=0),"",'Ticker Data'!I15/'Ticker Data'!J15)</f>
        <v/>
      </c>
      <c r="J16" s="24" t="str">
        <f>IF(OR('Ticker Data'!A15="",'Ticker Data'!G15=0),"",('Ticker Data'!C15-'Ticker Data'!G15)/'Ticker Data'!G15)</f>
        <v/>
      </c>
      <c r="K16" s="24" t="str">
        <f>IF(OR('Ticker Data'!A15="",'Ticker Data'!D15=0),"",('Ticker Data'!C15-'Ticker Data'!D15)/'Ticker Data'!D15)</f>
        <v/>
      </c>
      <c r="L16" s="22" t="str">
        <f>IF(OR('Ticker Data'!A15="",'Ticker Data'!F15=0),"",'Ticker Data'!C15/'Ticker Data'!F15)</f>
        <v/>
      </c>
      <c r="M16" s="25">
        <f t="shared" si="0"/>
        <v>0</v>
      </c>
      <c r="N16" s="25" t="str">
        <f t="shared" si="1"/>
        <v/>
      </c>
      <c r="O16" s="25" t="str">
        <f t="shared" si="2"/>
        <v/>
      </c>
      <c r="P16" s="25" t="str">
        <f t="shared" si="3"/>
        <v/>
      </c>
      <c r="Q16" s="25" t="e">
        <f t="shared" si="4"/>
        <v>#VALUE!</v>
      </c>
      <c r="R16" s="21" t="str">
        <f t="shared" si="5"/>
        <v/>
      </c>
      <c r="S16" s="21" t="str">
        <f t="shared" si="6"/>
        <v>✘ FILTERED</v>
      </c>
      <c r="T16" s="21" t="str">
        <f t="shared" si="7"/>
        <v/>
      </c>
    </row>
    <row r="17" spans="1:20" ht="18" customHeight="1" x14ac:dyDescent="0.25">
      <c r="A17" s="20" t="str">
        <f>IF('Ticker Data'!A16="","",'Ticker Data'!A16)</f>
        <v>RELIANCE</v>
      </c>
      <c r="B17" s="20">
        <f>IF('Ticker Data'!A16="","",'Ticker Data'!B16)</f>
        <v>0</v>
      </c>
      <c r="C17" s="20">
        <f>IF('Ticker Data'!A16="","",'Ticker Data'!L16)</f>
        <v>0</v>
      </c>
      <c r="D17" s="21" t="str">
        <f>IF('Ticker Data'!A16="","",IF(AND('Ticker Data'!C16&gt;'Ticker Data'!D16,'Ticker Data'!D16&gt;'Ticker Data'!E16,'Ticker Data'!E16&gt;0),"✔ PASS","✘ FAIL"))</f>
        <v>✘ FAIL</v>
      </c>
      <c r="E17" s="21" t="str">
        <f>IF('Ticker Data'!A16="","",IF('Ticker Data'!C16&gt;='Ticker Data'!F16*0.85,"✔ PASS","✘ FAIL"))</f>
        <v>✔ PASS</v>
      </c>
      <c r="F17" s="21" t="str">
        <f>IF('Ticker Data'!A16="","",IF('Ticker Data'!C16&gt;='Ticker Data'!G16,"✔ PASS","✘ FAIL"))</f>
        <v>✔ PASS</v>
      </c>
      <c r="G17" s="21" t="str">
        <f>IF('Ticker Data'!A16="","",IF('Ticker Data'!I16&gt;'Ticker Data'!J16,"✔ PASS","✘ FAIL"))</f>
        <v>✘ FAIL</v>
      </c>
      <c r="H17" s="22">
        <f>IF('Ticker Data'!A16="","",(('Ticker Data'!K16/100)))</f>
        <v>0</v>
      </c>
      <c r="I17" s="23" t="str">
        <f>IF(OR('Ticker Data'!A16="",'Ticker Data'!J16=0),"",'Ticker Data'!I16/'Ticker Data'!J16)</f>
        <v/>
      </c>
      <c r="J17" s="24" t="str">
        <f>IF(OR('Ticker Data'!A16="",'Ticker Data'!G16=0),"",('Ticker Data'!C16-'Ticker Data'!G16)/'Ticker Data'!G16)</f>
        <v/>
      </c>
      <c r="K17" s="24" t="str">
        <f>IF(OR('Ticker Data'!A16="",'Ticker Data'!D16=0),"",('Ticker Data'!C16-'Ticker Data'!D16)/'Ticker Data'!D16)</f>
        <v/>
      </c>
      <c r="L17" s="22" t="str">
        <f>IF(OR('Ticker Data'!A16="",'Ticker Data'!F16=0),"",'Ticker Data'!C16/'Ticker Data'!F16)</f>
        <v/>
      </c>
      <c r="M17" s="25">
        <f t="shared" si="0"/>
        <v>0</v>
      </c>
      <c r="N17" s="25" t="str">
        <f t="shared" si="1"/>
        <v/>
      </c>
      <c r="O17" s="25" t="str">
        <f t="shared" si="2"/>
        <v/>
      </c>
      <c r="P17" s="25" t="str">
        <f t="shared" si="3"/>
        <v/>
      </c>
      <c r="Q17" s="25" t="e">
        <f t="shared" si="4"/>
        <v>#VALUE!</v>
      </c>
      <c r="R17" s="21" t="str">
        <f t="shared" si="5"/>
        <v/>
      </c>
      <c r="S17" s="21" t="str">
        <f t="shared" si="6"/>
        <v>✘ FILTERED</v>
      </c>
      <c r="T17" s="21" t="str">
        <f t="shared" si="7"/>
        <v/>
      </c>
    </row>
    <row r="18" spans="1:20" ht="18" customHeight="1" x14ac:dyDescent="0.25">
      <c r="A18" s="20" t="str">
        <f>IF('Ticker Data'!A17="","",'Ticker Data'!A17)</f>
        <v>MARICO</v>
      </c>
      <c r="B18" s="20">
        <f>IF('Ticker Data'!A17="","",'Ticker Data'!B17)</f>
        <v>0</v>
      </c>
      <c r="C18" s="20">
        <f>IF('Ticker Data'!A17="","",'Ticker Data'!L17)</f>
        <v>0</v>
      </c>
      <c r="D18" s="21" t="str">
        <f>IF('Ticker Data'!A17="","",IF(AND('Ticker Data'!C17&gt;'Ticker Data'!D17,'Ticker Data'!D17&gt;'Ticker Data'!E17,'Ticker Data'!E17&gt;0),"✔ PASS","✘ FAIL"))</f>
        <v>✘ FAIL</v>
      </c>
      <c r="E18" s="21" t="str">
        <f>IF('Ticker Data'!A17="","",IF('Ticker Data'!C17&gt;='Ticker Data'!F17*0.85,"✔ PASS","✘ FAIL"))</f>
        <v>✔ PASS</v>
      </c>
      <c r="F18" s="21" t="str">
        <f>IF('Ticker Data'!A17="","",IF('Ticker Data'!C17&gt;='Ticker Data'!G17,"✔ PASS","✘ FAIL"))</f>
        <v>✔ PASS</v>
      </c>
      <c r="G18" s="21" t="str">
        <f>IF('Ticker Data'!A17="","",IF('Ticker Data'!I17&gt;'Ticker Data'!J17,"✔ PASS","✘ FAIL"))</f>
        <v>✘ FAIL</v>
      </c>
      <c r="H18" s="22">
        <f>IF('Ticker Data'!A17="","",(('Ticker Data'!K17/100)))</f>
        <v>0</v>
      </c>
      <c r="I18" s="23" t="str">
        <f>IF(OR('Ticker Data'!A17="",'Ticker Data'!J17=0),"",'Ticker Data'!I17/'Ticker Data'!J17)</f>
        <v/>
      </c>
      <c r="J18" s="24" t="str">
        <f>IF(OR('Ticker Data'!A17="",'Ticker Data'!G17=0),"",('Ticker Data'!C17-'Ticker Data'!G17)/'Ticker Data'!G17)</f>
        <v/>
      </c>
      <c r="K18" s="24" t="str">
        <f>IF(OR('Ticker Data'!A17="",'Ticker Data'!D17=0),"",('Ticker Data'!C17-'Ticker Data'!D17)/'Ticker Data'!D17)</f>
        <v/>
      </c>
      <c r="L18" s="22" t="str">
        <f>IF(OR('Ticker Data'!A17="",'Ticker Data'!F17=0),"",'Ticker Data'!C17/'Ticker Data'!F17)</f>
        <v/>
      </c>
      <c r="M18" s="25">
        <f t="shared" si="0"/>
        <v>0</v>
      </c>
      <c r="N18" s="25" t="str">
        <f t="shared" si="1"/>
        <v/>
      </c>
      <c r="O18" s="25" t="str">
        <f t="shared" si="2"/>
        <v/>
      </c>
      <c r="P18" s="25" t="str">
        <f t="shared" si="3"/>
        <v/>
      </c>
      <c r="Q18" s="25" t="e">
        <f t="shared" si="4"/>
        <v>#VALUE!</v>
      </c>
      <c r="R18" s="21" t="str">
        <f t="shared" si="5"/>
        <v/>
      </c>
      <c r="S18" s="21" t="str">
        <f t="shared" si="6"/>
        <v>✘ FILTERED</v>
      </c>
      <c r="T18" s="21" t="str">
        <f t="shared" si="7"/>
        <v/>
      </c>
    </row>
    <row r="19" spans="1:20" ht="18" customHeight="1" x14ac:dyDescent="0.25">
      <c r="A19" s="20" t="str">
        <f>IF('Ticker Data'!A18="","",'Ticker Data'!A18)</f>
        <v>STARCEMENT</v>
      </c>
      <c r="B19" s="20">
        <f>IF('Ticker Data'!A18="","",'Ticker Data'!B18)</f>
        <v>0</v>
      </c>
      <c r="C19" s="20">
        <f>IF('Ticker Data'!A18="","",'Ticker Data'!L18)</f>
        <v>0</v>
      </c>
      <c r="D19" s="21" t="str">
        <f>IF('Ticker Data'!A18="","",IF(AND('Ticker Data'!C18&gt;'Ticker Data'!D18,'Ticker Data'!D18&gt;'Ticker Data'!E18,'Ticker Data'!E18&gt;0),"✔ PASS","✘ FAIL"))</f>
        <v>✘ FAIL</v>
      </c>
      <c r="E19" s="21" t="str">
        <f>IF('Ticker Data'!A18="","",IF('Ticker Data'!C18&gt;='Ticker Data'!F18*0.85,"✔ PASS","✘ FAIL"))</f>
        <v>✔ PASS</v>
      </c>
      <c r="F19" s="21" t="str">
        <f>IF('Ticker Data'!A18="","",IF('Ticker Data'!C18&gt;='Ticker Data'!G18,"✔ PASS","✘ FAIL"))</f>
        <v>✔ PASS</v>
      </c>
      <c r="G19" s="21" t="str">
        <f>IF('Ticker Data'!A18="","",IF('Ticker Data'!I18&gt;'Ticker Data'!J18,"✔ PASS","✘ FAIL"))</f>
        <v>✘ FAIL</v>
      </c>
      <c r="H19" s="22">
        <f>IF('Ticker Data'!A18="","",(('Ticker Data'!K18/100)))</f>
        <v>0</v>
      </c>
      <c r="I19" s="23" t="str">
        <f>IF(OR('Ticker Data'!A18="",'Ticker Data'!J18=0),"",'Ticker Data'!I18/'Ticker Data'!J18)</f>
        <v/>
      </c>
      <c r="J19" s="24" t="str">
        <f>IF(OR('Ticker Data'!A18="",'Ticker Data'!G18=0),"",('Ticker Data'!C18-'Ticker Data'!G18)/'Ticker Data'!G18)</f>
        <v/>
      </c>
      <c r="K19" s="24" t="str">
        <f>IF(OR('Ticker Data'!A18="",'Ticker Data'!D18=0),"",('Ticker Data'!C18-'Ticker Data'!D18)/'Ticker Data'!D18)</f>
        <v/>
      </c>
      <c r="L19" s="22" t="str">
        <f>IF(OR('Ticker Data'!A18="",'Ticker Data'!F18=0),"",'Ticker Data'!C18/'Ticker Data'!F18)</f>
        <v/>
      </c>
      <c r="M19" s="25">
        <f t="shared" si="0"/>
        <v>0</v>
      </c>
      <c r="N19" s="25" t="str">
        <f t="shared" si="1"/>
        <v/>
      </c>
      <c r="O19" s="25" t="str">
        <f t="shared" si="2"/>
        <v/>
      </c>
      <c r="P19" s="25" t="str">
        <f t="shared" si="3"/>
        <v/>
      </c>
      <c r="Q19" s="25" t="e">
        <f t="shared" si="4"/>
        <v>#VALUE!</v>
      </c>
      <c r="R19" s="21" t="str">
        <f t="shared" si="5"/>
        <v/>
      </c>
      <c r="S19" s="21" t="str">
        <f t="shared" si="6"/>
        <v>✘ FILTERED</v>
      </c>
      <c r="T19" s="21" t="str">
        <f t="shared" si="7"/>
        <v/>
      </c>
    </row>
    <row r="20" spans="1:20" ht="18" customHeight="1" x14ac:dyDescent="0.25">
      <c r="A20" s="20" t="str">
        <f>IF('Ticker Data'!A19="","",'Ticker Data'!A19)</f>
        <v>CANHLIFE</v>
      </c>
      <c r="B20" s="20">
        <f>IF('Ticker Data'!A19="","",'Ticker Data'!B19)</f>
        <v>0</v>
      </c>
      <c r="C20" s="20">
        <f>IF('Ticker Data'!A19="","",'Ticker Data'!L19)</f>
        <v>0</v>
      </c>
      <c r="D20" s="21" t="str">
        <f>IF('Ticker Data'!A19="","",IF(AND('Ticker Data'!C19&gt;'Ticker Data'!D19,'Ticker Data'!D19&gt;'Ticker Data'!E19,'Ticker Data'!E19&gt;0),"✔ PASS","✘ FAIL"))</f>
        <v>✘ FAIL</v>
      </c>
      <c r="E20" s="21" t="str">
        <f>IF('Ticker Data'!A19="","",IF('Ticker Data'!C19&gt;='Ticker Data'!F19*0.85,"✔ PASS","✘ FAIL"))</f>
        <v>✔ PASS</v>
      </c>
      <c r="F20" s="21" t="str">
        <f>IF('Ticker Data'!A19="","",IF('Ticker Data'!C19&gt;='Ticker Data'!G19,"✔ PASS","✘ FAIL"))</f>
        <v>✔ PASS</v>
      </c>
      <c r="G20" s="21" t="str">
        <f>IF('Ticker Data'!A19="","",IF('Ticker Data'!I19&gt;'Ticker Data'!J19,"✔ PASS","✘ FAIL"))</f>
        <v>✘ FAIL</v>
      </c>
      <c r="H20" s="22">
        <f>IF('Ticker Data'!A19="","",(('Ticker Data'!K19/100)))</f>
        <v>0</v>
      </c>
      <c r="I20" s="23" t="str">
        <f>IF(OR('Ticker Data'!A19="",'Ticker Data'!J19=0),"",'Ticker Data'!I19/'Ticker Data'!J19)</f>
        <v/>
      </c>
      <c r="J20" s="24" t="str">
        <f>IF(OR('Ticker Data'!A19="",'Ticker Data'!G19=0),"",('Ticker Data'!C19-'Ticker Data'!G19)/'Ticker Data'!G19)</f>
        <v/>
      </c>
      <c r="K20" s="24" t="str">
        <f>IF(OR('Ticker Data'!A19="",'Ticker Data'!D19=0),"",('Ticker Data'!C19-'Ticker Data'!D19)/'Ticker Data'!D19)</f>
        <v/>
      </c>
      <c r="L20" s="22" t="str">
        <f>IF(OR('Ticker Data'!A19="",'Ticker Data'!F19=0),"",'Ticker Data'!C19/'Ticker Data'!F19)</f>
        <v/>
      </c>
      <c r="M20" s="25">
        <f t="shared" si="0"/>
        <v>0</v>
      </c>
      <c r="N20" s="25" t="str">
        <f t="shared" si="1"/>
        <v/>
      </c>
      <c r="O20" s="25" t="str">
        <f t="shared" si="2"/>
        <v/>
      </c>
      <c r="P20" s="25" t="str">
        <f t="shared" si="3"/>
        <v/>
      </c>
      <c r="Q20" s="25" t="e">
        <f t="shared" si="4"/>
        <v>#VALUE!</v>
      </c>
      <c r="R20" s="21" t="str">
        <f t="shared" si="5"/>
        <v/>
      </c>
      <c r="S20" s="21" t="str">
        <f t="shared" si="6"/>
        <v>✘ FILTERED</v>
      </c>
      <c r="T20" s="21" t="str">
        <f t="shared" si="7"/>
        <v/>
      </c>
    </row>
    <row r="21" spans="1:20" ht="18" customHeight="1" x14ac:dyDescent="0.25">
      <c r="A21" s="20" t="str">
        <f>IF('Ticker Data'!A20="","",'Ticker Data'!A20)</f>
        <v>PIRAMALFIN</v>
      </c>
      <c r="B21" s="20">
        <f>IF('Ticker Data'!A20="","",'Ticker Data'!B20)</f>
        <v>0</v>
      </c>
      <c r="C21" s="20">
        <f>IF('Ticker Data'!A20="","",'Ticker Data'!L20)</f>
        <v>0</v>
      </c>
      <c r="D21" s="21" t="str">
        <f>IF('Ticker Data'!A20="","",IF(AND('Ticker Data'!C20&gt;'Ticker Data'!D20,'Ticker Data'!D20&gt;'Ticker Data'!E20,'Ticker Data'!E20&gt;0),"✔ PASS","✘ FAIL"))</f>
        <v>✘ FAIL</v>
      </c>
      <c r="E21" s="21" t="str">
        <f>IF('Ticker Data'!A20="","",IF('Ticker Data'!C20&gt;='Ticker Data'!F20*0.85,"✔ PASS","✘ FAIL"))</f>
        <v>✔ PASS</v>
      </c>
      <c r="F21" s="21" t="str">
        <f>IF('Ticker Data'!A20="","",IF('Ticker Data'!C20&gt;='Ticker Data'!G20,"✔ PASS","✘ FAIL"))</f>
        <v>✔ PASS</v>
      </c>
      <c r="G21" s="21" t="str">
        <f>IF('Ticker Data'!A20="","",IF('Ticker Data'!I20&gt;'Ticker Data'!J20,"✔ PASS","✘ FAIL"))</f>
        <v>✘ FAIL</v>
      </c>
      <c r="H21" s="22">
        <f>IF('Ticker Data'!A20="","",(('Ticker Data'!K20/100)))</f>
        <v>0</v>
      </c>
      <c r="I21" s="23" t="str">
        <f>IF(OR('Ticker Data'!A20="",'Ticker Data'!J20=0),"",'Ticker Data'!I20/'Ticker Data'!J20)</f>
        <v/>
      </c>
      <c r="J21" s="24" t="str">
        <f>IF(OR('Ticker Data'!A20="",'Ticker Data'!G20=0),"",('Ticker Data'!C20-'Ticker Data'!G20)/'Ticker Data'!G20)</f>
        <v/>
      </c>
      <c r="K21" s="24" t="str">
        <f>IF(OR('Ticker Data'!A20="",'Ticker Data'!D20=0),"",('Ticker Data'!C20-'Ticker Data'!D20)/'Ticker Data'!D20)</f>
        <v/>
      </c>
      <c r="L21" s="22" t="str">
        <f>IF(OR('Ticker Data'!A20="",'Ticker Data'!F20=0),"",'Ticker Data'!C20/'Ticker Data'!F20)</f>
        <v/>
      </c>
      <c r="M21" s="25">
        <f t="shared" si="0"/>
        <v>0</v>
      </c>
      <c r="N21" s="25" t="str">
        <f t="shared" si="1"/>
        <v/>
      </c>
      <c r="O21" s="25" t="str">
        <f t="shared" si="2"/>
        <v/>
      </c>
      <c r="P21" s="25" t="str">
        <f t="shared" si="3"/>
        <v/>
      </c>
      <c r="Q21" s="25" t="e">
        <f t="shared" si="4"/>
        <v>#VALUE!</v>
      </c>
      <c r="R21" s="21" t="str">
        <f t="shared" si="5"/>
        <v/>
      </c>
      <c r="S21" s="21" t="str">
        <f t="shared" si="6"/>
        <v>✘ FILTERED</v>
      </c>
      <c r="T21" s="21" t="str">
        <f t="shared" si="7"/>
        <v/>
      </c>
    </row>
    <row r="22" spans="1:20" ht="18" customHeight="1" x14ac:dyDescent="0.25">
      <c r="A22" s="20" t="str">
        <f>IF('Ticker Data'!A21="","",'Ticker Data'!A21)</f>
        <v>JLHL</v>
      </c>
      <c r="B22" s="20">
        <f>IF('Ticker Data'!A21="","",'Ticker Data'!B21)</f>
        <v>0</v>
      </c>
      <c r="C22" s="20">
        <f>IF('Ticker Data'!A21="","",'Ticker Data'!L21)</f>
        <v>0</v>
      </c>
      <c r="D22" s="21" t="str">
        <f>IF('Ticker Data'!A21="","",IF(AND('Ticker Data'!C21&gt;'Ticker Data'!D21,'Ticker Data'!D21&gt;'Ticker Data'!E21,'Ticker Data'!E21&gt;0),"✔ PASS","✘ FAIL"))</f>
        <v>✘ FAIL</v>
      </c>
      <c r="E22" s="21" t="str">
        <f>IF('Ticker Data'!A21="","",IF('Ticker Data'!C21&gt;='Ticker Data'!F21*0.85,"✔ PASS","✘ FAIL"))</f>
        <v>✔ PASS</v>
      </c>
      <c r="F22" s="21" t="str">
        <f>IF('Ticker Data'!A21="","",IF('Ticker Data'!C21&gt;='Ticker Data'!G21,"✔ PASS","✘ FAIL"))</f>
        <v>✔ PASS</v>
      </c>
      <c r="G22" s="21" t="str">
        <f>IF('Ticker Data'!A21="","",IF('Ticker Data'!I21&gt;'Ticker Data'!J21,"✔ PASS","✘ FAIL"))</f>
        <v>✘ FAIL</v>
      </c>
      <c r="H22" s="22">
        <f>IF('Ticker Data'!A21="","",(('Ticker Data'!K21/100)))</f>
        <v>0</v>
      </c>
      <c r="I22" s="23" t="str">
        <f>IF(OR('Ticker Data'!A21="",'Ticker Data'!J21=0),"",'Ticker Data'!I21/'Ticker Data'!J21)</f>
        <v/>
      </c>
      <c r="J22" s="24" t="str">
        <f>IF(OR('Ticker Data'!A21="",'Ticker Data'!G21=0),"",('Ticker Data'!C21-'Ticker Data'!G21)/'Ticker Data'!G21)</f>
        <v/>
      </c>
      <c r="K22" s="24" t="str">
        <f>IF(OR('Ticker Data'!A21="",'Ticker Data'!D21=0),"",('Ticker Data'!C21-'Ticker Data'!D21)/'Ticker Data'!D21)</f>
        <v/>
      </c>
      <c r="L22" s="22" t="str">
        <f>IF(OR('Ticker Data'!A21="",'Ticker Data'!F21=0),"",'Ticker Data'!C21/'Ticker Data'!F21)</f>
        <v/>
      </c>
      <c r="M22" s="25">
        <f t="shared" si="0"/>
        <v>0</v>
      </c>
      <c r="N22" s="25" t="str">
        <f t="shared" si="1"/>
        <v/>
      </c>
      <c r="O22" s="25" t="str">
        <f t="shared" si="2"/>
        <v/>
      </c>
      <c r="P22" s="25" t="str">
        <f t="shared" si="3"/>
        <v/>
      </c>
      <c r="Q22" s="25" t="e">
        <f t="shared" si="4"/>
        <v>#VALUE!</v>
      </c>
      <c r="R22" s="21" t="str">
        <f t="shared" si="5"/>
        <v/>
      </c>
      <c r="S22" s="21" t="str">
        <f t="shared" si="6"/>
        <v>✘ FILTERED</v>
      </c>
      <c r="T22" s="21" t="str">
        <f t="shared" si="7"/>
        <v/>
      </c>
    </row>
    <row r="23" spans="1:20" ht="18" customHeight="1" x14ac:dyDescent="0.25">
      <c r="A23" s="20" t="str">
        <f>IF('Ticker Data'!A22="","",'Ticker Data'!A22)</f>
        <v>ANURAS</v>
      </c>
      <c r="B23" s="20">
        <f>IF('Ticker Data'!A22="","",'Ticker Data'!B22)</f>
        <v>0</v>
      </c>
      <c r="C23" s="20">
        <f>IF('Ticker Data'!A22="","",'Ticker Data'!L22)</f>
        <v>0</v>
      </c>
      <c r="D23" s="21" t="str">
        <f>IF('Ticker Data'!A22="","",IF(AND('Ticker Data'!C22&gt;'Ticker Data'!D22,'Ticker Data'!D22&gt;'Ticker Data'!E22,'Ticker Data'!E22&gt;0),"✔ PASS","✘ FAIL"))</f>
        <v>✘ FAIL</v>
      </c>
      <c r="E23" s="21" t="str">
        <f>IF('Ticker Data'!A22="","",IF('Ticker Data'!C22&gt;='Ticker Data'!F22*0.85,"✔ PASS","✘ FAIL"))</f>
        <v>✔ PASS</v>
      </c>
      <c r="F23" s="21" t="str">
        <f>IF('Ticker Data'!A22="","",IF('Ticker Data'!C22&gt;='Ticker Data'!G22,"✔ PASS","✘ FAIL"))</f>
        <v>✔ PASS</v>
      </c>
      <c r="G23" s="21" t="str">
        <f>IF('Ticker Data'!A22="","",IF('Ticker Data'!I22&gt;'Ticker Data'!J22,"✔ PASS","✘ FAIL"))</f>
        <v>✘ FAIL</v>
      </c>
      <c r="H23" s="22">
        <f>IF('Ticker Data'!A22="","",(('Ticker Data'!K22/100)))</f>
        <v>0</v>
      </c>
      <c r="I23" s="23" t="str">
        <f>IF(OR('Ticker Data'!A22="",'Ticker Data'!J22=0),"",'Ticker Data'!I22/'Ticker Data'!J22)</f>
        <v/>
      </c>
      <c r="J23" s="24" t="str">
        <f>IF(OR('Ticker Data'!A22="",'Ticker Data'!G22=0),"",('Ticker Data'!C22-'Ticker Data'!G22)/'Ticker Data'!G22)</f>
        <v/>
      </c>
      <c r="K23" s="24" t="str">
        <f>IF(OR('Ticker Data'!A22="",'Ticker Data'!D22=0),"",('Ticker Data'!C22-'Ticker Data'!D22)/'Ticker Data'!D22)</f>
        <v/>
      </c>
      <c r="L23" s="22" t="str">
        <f>IF(OR('Ticker Data'!A22="",'Ticker Data'!F22=0),"",'Ticker Data'!C22/'Ticker Data'!F22)</f>
        <v/>
      </c>
      <c r="M23" s="25">
        <f t="shared" si="0"/>
        <v>0</v>
      </c>
      <c r="N23" s="25" t="str">
        <f t="shared" si="1"/>
        <v/>
      </c>
      <c r="O23" s="25" t="str">
        <f t="shared" si="2"/>
        <v/>
      </c>
      <c r="P23" s="25" t="str">
        <f t="shared" si="3"/>
        <v/>
      </c>
      <c r="Q23" s="25" t="e">
        <f t="shared" si="4"/>
        <v>#VALUE!</v>
      </c>
      <c r="R23" s="21" t="str">
        <f t="shared" si="5"/>
        <v/>
      </c>
      <c r="S23" s="21" t="str">
        <f t="shared" si="6"/>
        <v>✘ FILTERED</v>
      </c>
      <c r="T23" s="21" t="str">
        <f t="shared" si="7"/>
        <v/>
      </c>
    </row>
    <row r="24" spans="1:20" ht="18" customHeight="1" x14ac:dyDescent="0.25">
      <c r="A24" s="20" t="str">
        <f>IF('Ticker Data'!A23="","",'Ticker Data'!A23)</f>
        <v>STARHEALTH</v>
      </c>
      <c r="B24" s="20">
        <f>IF('Ticker Data'!A23="","",'Ticker Data'!B23)</f>
        <v>0</v>
      </c>
      <c r="C24" s="20">
        <f>IF('Ticker Data'!A23="","",'Ticker Data'!L23)</f>
        <v>0</v>
      </c>
      <c r="D24" s="21" t="str">
        <f>IF('Ticker Data'!A23="","",IF(AND('Ticker Data'!C23&gt;'Ticker Data'!D23,'Ticker Data'!D23&gt;'Ticker Data'!E23,'Ticker Data'!E23&gt;0),"✔ PASS","✘ FAIL"))</f>
        <v>✘ FAIL</v>
      </c>
      <c r="E24" s="21" t="str">
        <f>IF('Ticker Data'!A23="","",IF('Ticker Data'!C23&gt;='Ticker Data'!F23*0.85,"✔ PASS","✘ FAIL"))</f>
        <v>✔ PASS</v>
      </c>
      <c r="F24" s="21" t="str">
        <f>IF('Ticker Data'!A23="","",IF('Ticker Data'!C23&gt;='Ticker Data'!G23,"✔ PASS","✘ FAIL"))</f>
        <v>✔ PASS</v>
      </c>
      <c r="G24" s="21" t="str">
        <f>IF('Ticker Data'!A23="","",IF('Ticker Data'!I23&gt;'Ticker Data'!J23,"✔ PASS","✘ FAIL"))</f>
        <v>✘ FAIL</v>
      </c>
      <c r="H24" s="22">
        <f>IF('Ticker Data'!A23="","",(('Ticker Data'!K23/100)))</f>
        <v>0</v>
      </c>
      <c r="I24" s="23" t="str">
        <f>IF(OR('Ticker Data'!A23="",'Ticker Data'!J23=0),"",'Ticker Data'!I23/'Ticker Data'!J23)</f>
        <v/>
      </c>
      <c r="J24" s="24" t="str">
        <f>IF(OR('Ticker Data'!A23="",'Ticker Data'!G23=0),"",('Ticker Data'!C23-'Ticker Data'!G23)/'Ticker Data'!G23)</f>
        <v/>
      </c>
      <c r="K24" s="24" t="str">
        <f>IF(OR('Ticker Data'!A23="",'Ticker Data'!D23=0),"",('Ticker Data'!C23-'Ticker Data'!D23)/'Ticker Data'!D23)</f>
        <v/>
      </c>
      <c r="L24" s="22" t="str">
        <f>IF(OR('Ticker Data'!A23="",'Ticker Data'!F23=0),"",'Ticker Data'!C23/'Ticker Data'!F23)</f>
        <v/>
      </c>
      <c r="M24" s="25">
        <f t="shared" si="0"/>
        <v>0</v>
      </c>
      <c r="N24" s="25" t="str">
        <f t="shared" si="1"/>
        <v/>
      </c>
      <c r="O24" s="25" t="str">
        <f t="shared" si="2"/>
        <v/>
      </c>
      <c r="P24" s="25" t="str">
        <f t="shared" si="3"/>
        <v/>
      </c>
      <c r="Q24" s="25" t="e">
        <f t="shared" si="4"/>
        <v>#VALUE!</v>
      </c>
      <c r="R24" s="21" t="str">
        <f t="shared" si="5"/>
        <v/>
      </c>
      <c r="S24" s="21" t="str">
        <f t="shared" si="6"/>
        <v>✘ FILTERED</v>
      </c>
      <c r="T24" s="21" t="str">
        <f t="shared" si="7"/>
        <v/>
      </c>
    </row>
    <row r="25" spans="1:20" ht="18" customHeight="1" x14ac:dyDescent="0.25">
      <c r="A25" s="20" t="str">
        <f>IF('Ticker Data'!A24="","",'Ticker Data'!A24)</f>
        <v>CHAMBLFERT</v>
      </c>
      <c r="B25" s="20">
        <f>IF('Ticker Data'!A24="","",'Ticker Data'!B24)</f>
        <v>0</v>
      </c>
      <c r="C25" s="20">
        <f>IF('Ticker Data'!A24="","",'Ticker Data'!L24)</f>
        <v>0</v>
      </c>
      <c r="D25" s="21" t="str">
        <f>IF('Ticker Data'!A24="","",IF(AND('Ticker Data'!C24&gt;'Ticker Data'!D24,'Ticker Data'!D24&gt;'Ticker Data'!E24,'Ticker Data'!E24&gt;0),"✔ PASS","✘ FAIL"))</f>
        <v>✘ FAIL</v>
      </c>
      <c r="E25" s="21" t="str">
        <f>IF('Ticker Data'!A24="","",IF('Ticker Data'!C24&gt;='Ticker Data'!F24*0.85,"✔ PASS","✘ FAIL"))</f>
        <v>✔ PASS</v>
      </c>
      <c r="F25" s="21" t="str">
        <f>IF('Ticker Data'!A24="","",IF('Ticker Data'!C24&gt;='Ticker Data'!G24,"✔ PASS","✘ FAIL"))</f>
        <v>✔ PASS</v>
      </c>
      <c r="G25" s="21" t="str">
        <f>IF('Ticker Data'!A24="","",IF('Ticker Data'!I24&gt;'Ticker Data'!J24,"✔ PASS","✘ FAIL"))</f>
        <v>✘ FAIL</v>
      </c>
      <c r="H25" s="22">
        <f>IF('Ticker Data'!A24="","",(('Ticker Data'!K24/100)))</f>
        <v>0</v>
      </c>
      <c r="I25" s="23" t="str">
        <f>IF(OR('Ticker Data'!A24="",'Ticker Data'!J24=0),"",'Ticker Data'!I24/'Ticker Data'!J24)</f>
        <v/>
      </c>
      <c r="J25" s="24" t="str">
        <f>IF(OR('Ticker Data'!A24="",'Ticker Data'!G24=0),"",('Ticker Data'!C24-'Ticker Data'!G24)/'Ticker Data'!G24)</f>
        <v/>
      </c>
      <c r="K25" s="24" t="str">
        <f>IF(OR('Ticker Data'!A24="",'Ticker Data'!D24=0),"",('Ticker Data'!C24-'Ticker Data'!D24)/'Ticker Data'!D24)</f>
        <v/>
      </c>
      <c r="L25" s="22" t="str">
        <f>IF(OR('Ticker Data'!A24="",'Ticker Data'!F24=0),"",'Ticker Data'!C24/'Ticker Data'!F24)</f>
        <v/>
      </c>
      <c r="M25" s="25">
        <f t="shared" si="0"/>
        <v>0</v>
      </c>
      <c r="N25" s="25" t="str">
        <f t="shared" si="1"/>
        <v/>
      </c>
      <c r="O25" s="25" t="str">
        <f t="shared" si="2"/>
        <v/>
      </c>
      <c r="P25" s="25" t="str">
        <f t="shared" si="3"/>
        <v/>
      </c>
      <c r="Q25" s="25" t="e">
        <f t="shared" si="4"/>
        <v>#VALUE!</v>
      </c>
      <c r="R25" s="21" t="str">
        <f t="shared" si="5"/>
        <v/>
      </c>
      <c r="S25" s="21" t="str">
        <f t="shared" si="6"/>
        <v>✘ FILTERED</v>
      </c>
      <c r="T25" s="21" t="str">
        <f t="shared" si="7"/>
        <v/>
      </c>
    </row>
    <row r="26" spans="1:20" ht="18" customHeight="1" x14ac:dyDescent="0.25">
      <c r="A26" s="20" t="str">
        <f>IF('Ticker Data'!A25="","",'Ticker Data'!A25)</f>
        <v>TORNTPHARM</v>
      </c>
      <c r="B26" s="20">
        <f>IF('Ticker Data'!A25="","",'Ticker Data'!B25)</f>
        <v>0</v>
      </c>
      <c r="C26" s="20">
        <f>IF('Ticker Data'!A25="","",'Ticker Data'!L25)</f>
        <v>0</v>
      </c>
      <c r="D26" s="21" t="str">
        <f>IF('Ticker Data'!A25="","",IF(AND('Ticker Data'!C25&gt;'Ticker Data'!D25,'Ticker Data'!D25&gt;'Ticker Data'!E25,'Ticker Data'!E25&gt;0),"✔ PASS","✘ FAIL"))</f>
        <v>✘ FAIL</v>
      </c>
      <c r="E26" s="21" t="str">
        <f>IF('Ticker Data'!A25="","",IF('Ticker Data'!C25&gt;='Ticker Data'!F25*0.85,"✔ PASS","✘ FAIL"))</f>
        <v>✔ PASS</v>
      </c>
      <c r="F26" s="21" t="str">
        <f>IF('Ticker Data'!A25="","",IF('Ticker Data'!C25&gt;='Ticker Data'!G25,"✔ PASS","✘ FAIL"))</f>
        <v>✔ PASS</v>
      </c>
      <c r="G26" s="21" t="str">
        <f>IF('Ticker Data'!A25="","",IF('Ticker Data'!I25&gt;'Ticker Data'!J25,"✔ PASS","✘ FAIL"))</f>
        <v>✘ FAIL</v>
      </c>
      <c r="H26" s="22">
        <f>IF('Ticker Data'!A25="","",(('Ticker Data'!K25/100)))</f>
        <v>0</v>
      </c>
      <c r="I26" s="23" t="str">
        <f>IF(OR('Ticker Data'!A25="",'Ticker Data'!J25=0),"",'Ticker Data'!I25/'Ticker Data'!J25)</f>
        <v/>
      </c>
      <c r="J26" s="24" t="str">
        <f>IF(OR('Ticker Data'!A25="",'Ticker Data'!G25=0),"",('Ticker Data'!C25-'Ticker Data'!G25)/'Ticker Data'!G25)</f>
        <v/>
      </c>
      <c r="K26" s="24" t="str">
        <f>IF(OR('Ticker Data'!A25="",'Ticker Data'!D25=0),"",('Ticker Data'!C25-'Ticker Data'!D25)/'Ticker Data'!D25)</f>
        <v/>
      </c>
      <c r="L26" s="22" t="str">
        <f>IF(OR('Ticker Data'!A25="",'Ticker Data'!F25=0),"",'Ticker Data'!C25/'Ticker Data'!F25)</f>
        <v/>
      </c>
      <c r="M26" s="25">
        <f t="shared" si="0"/>
        <v>0</v>
      </c>
      <c r="N26" s="25" t="str">
        <f t="shared" si="1"/>
        <v/>
      </c>
      <c r="O26" s="25" t="str">
        <f t="shared" si="2"/>
        <v/>
      </c>
      <c r="P26" s="25" t="str">
        <f t="shared" si="3"/>
        <v/>
      </c>
      <c r="Q26" s="25" t="e">
        <f t="shared" si="4"/>
        <v>#VALUE!</v>
      </c>
      <c r="R26" s="21" t="str">
        <f t="shared" si="5"/>
        <v/>
      </c>
      <c r="S26" s="21" t="str">
        <f t="shared" si="6"/>
        <v>✘ FILTERED</v>
      </c>
      <c r="T26" s="21" t="str">
        <f t="shared" si="7"/>
        <v/>
      </c>
    </row>
    <row r="27" spans="1:20" ht="18" customHeight="1" x14ac:dyDescent="0.25">
      <c r="A27" s="20" t="str">
        <f>IF('Ticker Data'!A26="","",'Ticker Data'!A26)</f>
        <v>BRITANNIA</v>
      </c>
      <c r="B27" s="20">
        <f>IF('Ticker Data'!A26="","",'Ticker Data'!B26)</f>
        <v>0</v>
      </c>
      <c r="C27" s="20">
        <f>IF('Ticker Data'!A26="","",'Ticker Data'!L26)</f>
        <v>0</v>
      </c>
      <c r="D27" s="21" t="str">
        <f>IF('Ticker Data'!A26="","",IF(AND('Ticker Data'!C26&gt;'Ticker Data'!D26,'Ticker Data'!D26&gt;'Ticker Data'!E26,'Ticker Data'!E26&gt;0),"✔ PASS","✘ FAIL"))</f>
        <v>✘ FAIL</v>
      </c>
      <c r="E27" s="21" t="str">
        <f>IF('Ticker Data'!A26="","",IF('Ticker Data'!C26&gt;='Ticker Data'!F26*0.85,"✔ PASS","✘ FAIL"))</f>
        <v>✔ PASS</v>
      </c>
      <c r="F27" s="21" t="str">
        <f>IF('Ticker Data'!A26="","",IF('Ticker Data'!C26&gt;='Ticker Data'!G26,"✔ PASS","✘ FAIL"))</f>
        <v>✔ PASS</v>
      </c>
      <c r="G27" s="21" t="str">
        <f>IF('Ticker Data'!A26="","",IF('Ticker Data'!I26&gt;'Ticker Data'!J26,"✔ PASS","✘ FAIL"))</f>
        <v>✘ FAIL</v>
      </c>
      <c r="H27" s="22">
        <f>IF('Ticker Data'!A26="","",(('Ticker Data'!K26/100)))</f>
        <v>0</v>
      </c>
      <c r="I27" s="23" t="str">
        <f>IF(OR('Ticker Data'!A26="",'Ticker Data'!J26=0),"",'Ticker Data'!I26/'Ticker Data'!J26)</f>
        <v/>
      </c>
      <c r="J27" s="24" t="str">
        <f>IF(OR('Ticker Data'!A26="",'Ticker Data'!G26=0),"",('Ticker Data'!C26-'Ticker Data'!G26)/'Ticker Data'!G26)</f>
        <v/>
      </c>
      <c r="K27" s="24" t="str">
        <f>IF(OR('Ticker Data'!A26="",'Ticker Data'!D26=0),"",('Ticker Data'!C26-'Ticker Data'!D26)/'Ticker Data'!D26)</f>
        <v/>
      </c>
      <c r="L27" s="22" t="str">
        <f>IF(OR('Ticker Data'!A26="",'Ticker Data'!F26=0),"",'Ticker Data'!C26/'Ticker Data'!F26)</f>
        <v/>
      </c>
      <c r="M27" s="25">
        <f t="shared" si="0"/>
        <v>0</v>
      </c>
      <c r="N27" s="25" t="str">
        <f t="shared" si="1"/>
        <v/>
      </c>
      <c r="O27" s="25" t="str">
        <f t="shared" si="2"/>
        <v/>
      </c>
      <c r="P27" s="25" t="str">
        <f t="shared" si="3"/>
        <v/>
      </c>
      <c r="Q27" s="25" t="e">
        <f t="shared" si="4"/>
        <v>#VALUE!</v>
      </c>
      <c r="R27" s="21" t="str">
        <f t="shared" si="5"/>
        <v/>
      </c>
      <c r="S27" s="21" t="str">
        <f t="shared" si="6"/>
        <v>✘ FILTERED</v>
      </c>
      <c r="T27" s="21" t="str">
        <f t="shared" si="7"/>
        <v/>
      </c>
    </row>
    <row r="28" spans="1:20" ht="18" customHeight="1" x14ac:dyDescent="0.25">
      <c r="A28" s="20" t="str">
        <f>IF('Ticker Data'!A27="","",'Ticker Data'!A27)</f>
        <v>NESTLEIND</v>
      </c>
      <c r="B28" s="20">
        <f>IF('Ticker Data'!A27="","",'Ticker Data'!B27)</f>
        <v>0</v>
      </c>
      <c r="C28" s="20">
        <f>IF('Ticker Data'!A27="","",'Ticker Data'!L27)</f>
        <v>0</v>
      </c>
      <c r="D28" s="21" t="str">
        <f>IF('Ticker Data'!A27="","",IF(AND('Ticker Data'!C27&gt;'Ticker Data'!D27,'Ticker Data'!D27&gt;'Ticker Data'!E27,'Ticker Data'!E27&gt;0),"✔ PASS","✘ FAIL"))</f>
        <v>✘ FAIL</v>
      </c>
      <c r="E28" s="21" t="str">
        <f>IF('Ticker Data'!A27="","",IF('Ticker Data'!C27&gt;='Ticker Data'!F27*0.85,"✔ PASS","✘ FAIL"))</f>
        <v>✔ PASS</v>
      </c>
      <c r="F28" s="21" t="str">
        <f>IF('Ticker Data'!A27="","",IF('Ticker Data'!C27&gt;='Ticker Data'!G27,"✔ PASS","✘ FAIL"))</f>
        <v>✔ PASS</v>
      </c>
      <c r="G28" s="21" t="str">
        <f>IF('Ticker Data'!A27="","",IF('Ticker Data'!I27&gt;'Ticker Data'!J27,"✔ PASS","✘ FAIL"))</f>
        <v>✘ FAIL</v>
      </c>
      <c r="H28" s="22">
        <f>IF('Ticker Data'!A27="","",(('Ticker Data'!K27/100)))</f>
        <v>0</v>
      </c>
      <c r="I28" s="23" t="str">
        <f>IF(OR('Ticker Data'!A27="",'Ticker Data'!J27=0),"",'Ticker Data'!I27/'Ticker Data'!J27)</f>
        <v/>
      </c>
      <c r="J28" s="24" t="str">
        <f>IF(OR('Ticker Data'!A27="",'Ticker Data'!G27=0),"",('Ticker Data'!C27-'Ticker Data'!G27)/'Ticker Data'!G27)</f>
        <v/>
      </c>
      <c r="K28" s="24" t="str">
        <f>IF(OR('Ticker Data'!A27="",'Ticker Data'!D27=0),"",('Ticker Data'!C27-'Ticker Data'!D27)/'Ticker Data'!D27)</f>
        <v/>
      </c>
      <c r="L28" s="22" t="str">
        <f>IF(OR('Ticker Data'!A27="",'Ticker Data'!F27=0),"",'Ticker Data'!C27/'Ticker Data'!F27)</f>
        <v/>
      </c>
      <c r="M28" s="25">
        <f t="shared" si="0"/>
        <v>0</v>
      </c>
      <c r="N28" s="25" t="str">
        <f t="shared" si="1"/>
        <v/>
      </c>
      <c r="O28" s="25" t="str">
        <f t="shared" si="2"/>
        <v/>
      </c>
      <c r="P28" s="25" t="str">
        <f t="shared" si="3"/>
        <v/>
      </c>
      <c r="Q28" s="25" t="e">
        <f t="shared" si="4"/>
        <v>#VALUE!</v>
      </c>
      <c r="R28" s="21" t="str">
        <f t="shared" si="5"/>
        <v/>
      </c>
      <c r="S28" s="21" t="str">
        <f t="shared" si="6"/>
        <v>✘ FILTERED</v>
      </c>
      <c r="T28" s="21" t="str">
        <f t="shared" si="7"/>
        <v/>
      </c>
    </row>
    <row r="29" spans="1:20" ht="18" customHeight="1" x14ac:dyDescent="0.25">
      <c r="A29" s="20" t="str">
        <f>IF('Ticker Data'!A28="","",'Ticker Data'!A28)</f>
        <v>IRB</v>
      </c>
      <c r="B29" s="20">
        <f>IF('Ticker Data'!A28="","",'Ticker Data'!B28)</f>
        <v>0</v>
      </c>
      <c r="C29" s="20">
        <f>IF('Ticker Data'!A28="","",'Ticker Data'!L28)</f>
        <v>0</v>
      </c>
      <c r="D29" s="21" t="str">
        <f>IF('Ticker Data'!A28="","",IF(AND('Ticker Data'!C28&gt;'Ticker Data'!D28,'Ticker Data'!D28&gt;'Ticker Data'!E28,'Ticker Data'!E28&gt;0),"✔ PASS","✘ FAIL"))</f>
        <v>✘ FAIL</v>
      </c>
      <c r="E29" s="21" t="str">
        <f>IF('Ticker Data'!A28="","",IF('Ticker Data'!C28&gt;='Ticker Data'!F28*0.85,"✔ PASS","✘ FAIL"))</f>
        <v>✔ PASS</v>
      </c>
      <c r="F29" s="21" t="str">
        <f>IF('Ticker Data'!A28="","",IF('Ticker Data'!C28&gt;='Ticker Data'!G28,"✔ PASS","✘ FAIL"))</f>
        <v>✔ PASS</v>
      </c>
      <c r="G29" s="21" t="str">
        <f>IF('Ticker Data'!A28="","",IF('Ticker Data'!I28&gt;'Ticker Data'!J28,"✔ PASS","✘ FAIL"))</f>
        <v>✘ FAIL</v>
      </c>
      <c r="H29" s="22">
        <f>IF('Ticker Data'!A28="","",(('Ticker Data'!K28/100)))</f>
        <v>0</v>
      </c>
      <c r="I29" s="23" t="str">
        <f>IF(OR('Ticker Data'!A28="",'Ticker Data'!J28=0),"",'Ticker Data'!I28/'Ticker Data'!J28)</f>
        <v/>
      </c>
      <c r="J29" s="24" t="str">
        <f>IF(OR('Ticker Data'!A28="",'Ticker Data'!G28=0),"",('Ticker Data'!C28-'Ticker Data'!G28)/'Ticker Data'!G28)</f>
        <v/>
      </c>
      <c r="K29" s="24" t="str">
        <f>IF(OR('Ticker Data'!A28="",'Ticker Data'!D28=0),"",('Ticker Data'!C28-'Ticker Data'!D28)/'Ticker Data'!D28)</f>
        <v/>
      </c>
      <c r="L29" s="22" t="str">
        <f>IF(OR('Ticker Data'!A28="",'Ticker Data'!F28=0),"",'Ticker Data'!C28/'Ticker Data'!F28)</f>
        <v/>
      </c>
      <c r="M29" s="25">
        <f t="shared" si="0"/>
        <v>0</v>
      </c>
      <c r="N29" s="25" t="str">
        <f t="shared" si="1"/>
        <v/>
      </c>
      <c r="O29" s="25" t="str">
        <f t="shared" si="2"/>
        <v/>
      </c>
      <c r="P29" s="25" t="str">
        <f t="shared" si="3"/>
        <v/>
      </c>
      <c r="Q29" s="25" t="e">
        <f t="shared" si="4"/>
        <v>#VALUE!</v>
      </c>
      <c r="R29" s="21" t="str">
        <f t="shared" si="5"/>
        <v/>
      </c>
      <c r="S29" s="21" t="str">
        <f t="shared" si="6"/>
        <v>✘ FILTERED</v>
      </c>
      <c r="T29" s="21" t="str">
        <f t="shared" si="7"/>
        <v/>
      </c>
    </row>
    <row r="30" spans="1:20" ht="18" customHeight="1" x14ac:dyDescent="0.25">
      <c r="A30" s="20" t="str">
        <f>IF('Ticker Data'!A29="","",'Ticker Data'!A29)</f>
        <v>USHAMART</v>
      </c>
      <c r="B30" s="20">
        <f>IF('Ticker Data'!A29="","",'Ticker Data'!B29)</f>
        <v>0</v>
      </c>
      <c r="C30" s="20">
        <f>IF('Ticker Data'!A29="","",'Ticker Data'!L29)</f>
        <v>0</v>
      </c>
      <c r="D30" s="21" t="str">
        <f>IF('Ticker Data'!A29="","",IF(AND('Ticker Data'!C29&gt;'Ticker Data'!D29,'Ticker Data'!D29&gt;'Ticker Data'!E29,'Ticker Data'!E29&gt;0),"✔ PASS","✘ FAIL"))</f>
        <v>✘ FAIL</v>
      </c>
      <c r="E30" s="21" t="str">
        <f>IF('Ticker Data'!A29="","",IF('Ticker Data'!C29&gt;='Ticker Data'!F29*0.85,"✔ PASS","✘ FAIL"))</f>
        <v>✔ PASS</v>
      </c>
      <c r="F30" s="21" t="str">
        <f>IF('Ticker Data'!A29="","",IF('Ticker Data'!C29&gt;='Ticker Data'!G29,"✔ PASS","✘ FAIL"))</f>
        <v>✔ PASS</v>
      </c>
      <c r="G30" s="21" t="str">
        <f>IF('Ticker Data'!A29="","",IF('Ticker Data'!I29&gt;'Ticker Data'!J29,"✔ PASS","✘ FAIL"))</f>
        <v>✘ FAIL</v>
      </c>
      <c r="H30" s="22">
        <f>IF('Ticker Data'!A29="","",(('Ticker Data'!K29/100)))</f>
        <v>0</v>
      </c>
      <c r="I30" s="23" t="str">
        <f>IF(OR('Ticker Data'!A29="",'Ticker Data'!J29=0),"",'Ticker Data'!I29/'Ticker Data'!J29)</f>
        <v/>
      </c>
      <c r="J30" s="24" t="str">
        <f>IF(OR('Ticker Data'!A29="",'Ticker Data'!G29=0),"",('Ticker Data'!C29-'Ticker Data'!G29)/'Ticker Data'!G29)</f>
        <v/>
      </c>
      <c r="K30" s="24" t="str">
        <f>IF(OR('Ticker Data'!A29="",'Ticker Data'!D29=0),"",('Ticker Data'!C29-'Ticker Data'!D29)/'Ticker Data'!D29)</f>
        <v/>
      </c>
      <c r="L30" s="22" t="str">
        <f>IF(OR('Ticker Data'!A29="",'Ticker Data'!F29=0),"",'Ticker Data'!C29/'Ticker Data'!F29)</f>
        <v/>
      </c>
      <c r="M30" s="25">
        <f t="shared" si="0"/>
        <v>0</v>
      </c>
      <c r="N30" s="25" t="str">
        <f t="shared" si="1"/>
        <v/>
      </c>
      <c r="O30" s="25" t="str">
        <f t="shared" si="2"/>
        <v/>
      </c>
      <c r="P30" s="25" t="str">
        <f t="shared" si="3"/>
        <v/>
      </c>
      <c r="Q30" s="25" t="e">
        <f t="shared" si="4"/>
        <v>#VALUE!</v>
      </c>
      <c r="R30" s="21" t="str">
        <f t="shared" si="5"/>
        <v/>
      </c>
      <c r="S30" s="21" t="str">
        <f t="shared" si="6"/>
        <v>✘ FILTERED</v>
      </c>
      <c r="T30" s="21" t="str">
        <f t="shared" si="7"/>
        <v/>
      </c>
    </row>
    <row r="31" spans="1:20" ht="18" customHeight="1" x14ac:dyDescent="0.25">
      <c r="A31" s="20" t="str">
        <f>IF('Ticker Data'!A30="","",'Ticker Data'!A30)</f>
        <v>IPCALAB</v>
      </c>
      <c r="B31" s="20">
        <f>IF('Ticker Data'!A30="","",'Ticker Data'!B30)</f>
        <v>0</v>
      </c>
      <c r="C31" s="20">
        <f>IF('Ticker Data'!A30="","",'Ticker Data'!L30)</f>
        <v>0</v>
      </c>
      <c r="D31" s="21" t="str">
        <f>IF('Ticker Data'!A30="","",IF(AND('Ticker Data'!C30&gt;'Ticker Data'!D30,'Ticker Data'!D30&gt;'Ticker Data'!E30,'Ticker Data'!E30&gt;0),"✔ PASS","✘ FAIL"))</f>
        <v>✘ FAIL</v>
      </c>
      <c r="E31" s="21" t="str">
        <f>IF('Ticker Data'!A30="","",IF('Ticker Data'!C30&gt;='Ticker Data'!F30*0.85,"✔ PASS","✘ FAIL"))</f>
        <v>✔ PASS</v>
      </c>
      <c r="F31" s="21" t="str">
        <f>IF('Ticker Data'!A30="","",IF('Ticker Data'!C30&gt;='Ticker Data'!G30,"✔ PASS","✘ FAIL"))</f>
        <v>✔ PASS</v>
      </c>
      <c r="G31" s="21" t="str">
        <f>IF('Ticker Data'!A30="","",IF('Ticker Data'!I30&gt;'Ticker Data'!J30,"✔ PASS","✘ FAIL"))</f>
        <v>✘ FAIL</v>
      </c>
      <c r="H31" s="22">
        <f>IF('Ticker Data'!A30="","",(('Ticker Data'!K30/100)))</f>
        <v>0</v>
      </c>
      <c r="I31" s="23" t="str">
        <f>IF(OR('Ticker Data'!A30="",'Ticker Data'!J30=0),"",'Ticker Data'!I30/'Ticker Data'!J30)</f>
        <v/>
      </c>
      <c r="J31" s="24" t="str">
        <f>IF(OR('Ticker Data'!A30="",'Ticker Data'!G30=0),"",('Ticker Data'!C30-'Ticker Data'!G30)/'Ticker Data'!G30)</f>
        <v/>
      </c>
      <c r="K31" s="24" t="str">
        <f>IF(OR('Ticker Data'!A30="",'Ticker Data'!D30=0),"",('Ticker Data'!C30-'Ticker Data'!D30)/'Ticker Data'!D30)</f>
        <v/>
      </c>
      <c r="L31" s="22" t="str">
        <f>IF(OR('Ticker Data'!A30="",'Ticker Data'!F30=0),"",'Ticker Data'!C30/'Ticker Data'!F30)</f>
        <v/>
      </c>
      <c r="M31" s="25">
        <f t="shared" si="0"/>
        <v>0</v>
      </c>
      <c r="N31" s="25" t="str">
        <f t="shared" si="1"/>
        <v/>
      </c>
      <c r="O31" s="25" t="str">
        <f t="shared" si="2"/>
        <v/>
      </c>
      <c r="P31" s="25" t="str">
        <f t="shared" si="3"/>
        <v/>
      </c>
      <c r="Q31" s="25" t="e">
        <f t="shared" si="4"/>
        <v>#VALUE!</v>
      </c>
      <c r="R31" s="21" t="str">
        <f t="shared" si="5"/>
        <v/>
      </c>
      <c r="S31" s="21" t="str">
        <f t="shared" si="6"/>
        <v>✘ FILTERED</v>
      </c>
      <c r="T31" s="21" t="str">
        <f t="shared" si="7"/>
        <v/>
      </c>
    </row>
    <row r="32" spans="1:20" ht="18" customHeight="1" x14ac:dyDescent="0.25">
      <c r="A32" s="20" t="str">
        <f>IF('Ticker Data'!A31="","",'Ticker Data'!A31)</f>
        <v>BHARTIARTL</v>
      </c>
      <c r="B32" s="20">
        <f>IF('Ticker Data'!A31="","",'Ticker Data'!B31)</f>
        <v>0</v>
      </c>
      <c r="C32" s="20">
        <f>IF('Ticker Data'!A31="","",'Ticker Data'!L31)</f>
        <v>0</v>
      </c>
      <c r="D32" s="21" t="str">
        <f>IF('Ticker Data'!A31="","",IF(AND('Ticker Data'!C31&gt;'Ticker Data'!D31,'Ticker Data'!D31&gt;'Ticker Data'!E31,'Ticker Data'!E31&gt;0),"✔ PASS","✘ FAIL"))</f>
        <v>✘ FAIL</v>
      </c>
      <c r="E32" s="21" t="str">
        <f>IF('Ticker Data'!A31="","",IF('Ticker Data'!C31&gt;='Ticker Data'!F31*0.85,"✔ PASS","✘ FAIL"))</f>
        <v>✔ PASS</v>
      </c>
      <c r="F32" s="21" t="str">
        <f>IF('Ticker Data'!A31="","",IF('Ticker Data'!C31&gt;='Ticker Data'!G31,"✔ PASS","✘ FAIL"))</f>
        <v>✔ PASS</v>
      </c>
      <c r="G32" s="21" t="str">
        <f>IF('Ticker Data'!A31="","",IF('Ticker Data'!I31&gt;'Ticker Data'!J31,"✔ PASS","✘ FAIL"))</f>
        <v>✘ FAIL</v>
      </c>
      <c r="H32" s="22">
        <f>IF('Ticker Data'!A31="","",(('Ticker Data'!K31/100)))</f>
        <v>0</v>
      </c>
      <c r="I32" s="23" t="str">
        <f>IF(OR('Ticker Data'!A31="",'Ticker Data'!J31=0),"",'Ticker Data'!I31/'Ticker Data'!J31)</f>
        <v/>
      </c>
      <c r="J32" s="24" t="str">
        <f>IF(OR('Ticker Data'!A31="",'Ticker Data'!G31=0),"",('Ticker Data'!C31-'Ticker Data'!G31)/'Ticker Data'!G31)</f>
        <v/>
      </c>
      <c r="K32" s="24" t="str">
        <f>IF(OR('Ticker Data'!A31="",'Ticker Data'!D31=0),"",('Ticker Data'!C31-'Ticker Data'!D31)/'Ticker Data'!D31)</f>
        <v/>
      </c>
      <c r="L32" s="22" t="str">
        <f>IF(OR('Ticker Data'!A31="",'Ticker Data'!F31=0),"",'Ticker Data'!C31/'Ticker Data'!F31)</f>
        <v/>
      </c>
      <c r="M32" s="25">
        <f t="shared" si="0"/>
        <v>0</v>
      </c>
      <c r="N32" s="25" t="str">
        <f t="shared" si="1"/>
        <v/>
      </c>
      <c r="O32" s="25" t="str">
        <f t="shared" si="2"/>
        <v/>
      </c>
      <c r="P32" s="25" t="str">
        <f t="shared" si="3"/>
        <v/>
      </c>
      <c r="Q32" s="25" t="e">
        <f t="shared" si="4"/>
        <v>#VALUE!</v>
      </c>
      <c r="R32" s="21" t="str">
        <f t="shared" si="5"/>
        <v/>
      </c>
      <c r="S32" s="21" t="str">
        <f t="shared" si="6"/>
        <v>✘ FILTERED</v>
      </c>
      <c r="T32" s="21" t="str">
        <f t="shared" si="7"/>
        <v/>
      </c>
    </row>
    <row r="33" spans="1:20" ht="18" customHeight="1" x14ac:dyDescent="0.25">
      <c r="A33" s="20" t="str">
        <f>IF('Ticker Data'!A32="","",'Ticker Data'!A32)</f>
        <v>DRREDDY</v>
      </c>
      <c r="B33" s="20">
        <f>IF('Ticker Data'!A32="","",'Ticker Data'!B32)</f>
        <v>0</v>
      </c>
      <c r="C33" s="20">
        <f>IF('Ticker Data'!A32="","",'Ticker Data'!L32)</f>
        <v>0</v>
      </c>
      <c r="D33" s="21" t="str">
        <f>IF('Ticker Data'!A32="","",IF(AND('Ticker Data'!C32&gt;'Ticker Data'!D32,'Ticker Data'!D32&gt;'Ticker Data'!E32,'Ticker Data'!E32&gt;0),"✔ PASS","✘ FAIL"))</f>
        <v>✘ FAIL</v>
      </c>
      <c r="E33" s="21" t="str">
        <f>IF('Ticker Data'!A32="","",IF('Ticker Data'!C32&gt;='Ticker Data'!F32*0.85,"✔ PASS","✘ FAIL"))</f>
        <v>✔ PASS</v>
      </c>
      <c r="F33" s="21" t="str">
        <f>IF('Ticker Data'!A32="","",IF('Ticker Data'!C32&gt;='Ticker Data'!G32,"✔ PASS","✘ FAIL"))</f>
        <v>✔ PASS</v>
      </c>
      <c r="G33" s="21" t="str">
        <f>IF('Ticker Data'!A32="","",IF('Ticker Data'!I32&gt;'Ticker Data'!J32,"✔ PASS","✘ FAIL"))</f>
        <v>✘ FAIL</v>
      </c>
      <c r="H33" s="22">
        <f>IF('Ticker Data'!A32="","",(('Ticker Data'!K32/100)))</f>
        <v>0</v>
      </c>
      <c r="I33" s="23" t="str">
        <f>IF(OR('Ticker Data'!A32="",'Ticker Data'!J32=0),"",'Ticker Data'!I32/'Ticker Data'!J32)</f>
        <v/>
      </c>
      <c r="J33" s="24" t="str">
        <f>IF(OR('Ticker Data'!A32="",'Ticker Data'!G32=0),"",('Ticker Data'!C32-'Ticker Data'!G32)/'Ticker Data'!G32)</f>
        <v/>
      </c>
      <c r="K33" s="24" t="str">
        <f>IF(OR('Ticker Data'!A32="",'Ticker Data'!D32=0),"",('Ticker Data'!C32-'Ticker Data'!D32)/'Ticker Data'!D32)</f>
        <v/>
      </c>
      <c r="L33" s="22" t="str">
        <f>IF(OR('Ticker Data'!A32="",'Ticker Data'!F32=0),"",'Ticker Data'!C32/'Ticker Data'!F32)</f>
        <v/>
      </c>
      <c r="M33" s="25">
        <f t="shared" si="0"/>
        <v>0</v>
      </c>
      <c r="N33" s="25" t="str">
        <f t="shared" si="1"/>
        <v/>
      </c>
      <c r="O33" s="25" t="str">
        <f t="shared" si="2"/>
        <v/>
      </c>
      <c r="P33" s="25" t="str">
        <f t="shared" si="3"/>
        <v/>
      </c>
      <c r="Q33" s="25" t="e">
        <f t="shared" si="4"/>
        <v>#VALUE!</v>
      </c>
      <c r="R33" s="21" t="str">
        <f t="shared" si="5"/>
        <v/>
      </c>
      <c r="S33" s="21" t="str">
        <f t="shared" si="6"/>
        <v>✘ FILTERED</v>
      </c>
      <c r="T33" s="21" t="str">
        <f t="shared" si="7"/>
        <v/>
      </c>
    </row>
    <row r="34" spans="1:20" ht="18" customHeight="1" x14ac:dyDescent="0.25">
      <c r="A34" s="20" t="str">
        <f>IF('Ticker Data'!A33="","",'Ticker Data'!A33)</f>
        <v>ALKEM</v>
      </c>
      <c r="B34" s="20">
        <f>IF('Ticker Data'!A33="","",'Ticker Data'!B33)</f>
        <v>0</v>
      </c>
      <c r="C34" s="20">
        <f>IF('Ticker Data'!A33="","",'Ticker Data'!L33)</f>
        <v>0</v>
      </c>
      <c r="D34" s="21" t="str">
        <f>IF('Ticker Data'!A33="","",IF(AND('Ticker Data'!C33&gt;'Ticker Data'!D33,'Ticker Data'!D33&gt;'Ticker Data'!E33,'Ticker Data'!E33&gt;0),"✔ PASS","✘ FAIL"))</f>
        <v>✘ FAIL</v>
      </c>
      <c r="E34" s="21" t="str">
        <f>IF('Ticker Data'!A33="","",IF('Ticker Data'!C33&gt;='Ticker Data'!F33*0.85,"✔ PASS","✘ FAIL"))</f>
        <v>✔ PASS</v>
      </c>
      <c r="F34" s="21" t="str">
        <f>IF('Ticker Data'!A33="","",IF('Ticker Data'!C33&gt;='Ticker Data'!G33,"✔ PASS","✘ FAIL"))</f>
        <v>✔ PASS</v>
      </c>
      <c r="G34" s="21" t="str">
        <f>IF('Ticker Data'!A33="","",IF('Ticker Data'!I33&gt;'Ticker Data'!J33,"✔ PASS","✘ FAIL"))</f>
        <v>✘ FAIL</v>
      </c>
      <c r="H34" s="22">
        <f>IF('Ticker Data'!A33="","",(('Ticker Data'!K33/100)))</f>
        <v>0</v>
      </c>
      <c r="I34" s="23" t="str">
        <f>IF(OR('Ticker Data'!A33="",'Ticker Data'!J33=0),"",'Ticker Data'!I33/'Ticker Data'!J33)</f>
        <v/>
      </c>
      <c r="J34" s="24" t="str">
        <f>IF(OR('Ticker Data'!A33="",'Ticker Data'!G33=0),"",('Ticker Data'!C33-'Ticker Data'!G33)/'Ticker Data'!G33)</f>
        <v/>
      </c>
      <c r="K34" s="24" t="str">
        <f>IF(OR('Ticker Data'!A33="",'Ticker Data'!D33=0),"",('Ticker Data'!C33-'Ticker Data'!D33)/'Ticker Data'!D33)</f>
        <v/>
      </c>
      <c r="L34" s="22" t="str">
        <f>IF(OR('Ticker Data'!A33="",'Ticker Data'!F33=0),"",'Ticker Data'!C33/'Ticker Data'!F33)</f>
        <v/>
      </c>
      <c r="M34" s="25">
        <f t="shared" si="0"/>
        <v>0</v>
      </c>
      <c r="N34" s="25" t="str">
        <f t="shared" si="1"/>
        <v/>
      </c>
      <c r="O34" s="25" t="str">
        <f t="shared" si="2"/>
        <v/>
      </c>
      <c r="P34" s="25" t="str">
        <f t="shared" si="3"/>
        <v/>
      </c>
      <c r="Q34" s="25" t="e">
        <f t="shared" si="4"/>
        <v>#VALUE!</v>
      </c>
      <c r="R34" s="21" t="str">
        <f t="shared" si="5"/>
        <v/>
      </c>
      <c r="S34" s="21" t="str">
        <f t="shared" si="6"/>
        <v>✘ FILTERED</v>
      </c>
      <c r="T34" s="21" t="str">
        <f t="shared" si="7"/>
        <v/>
      </c>
    </row>
    <row r="35" spans="1:20" ht="18" customHeight="1" x14ac:dyDescent="0.25">
      <c r="A35" s="20" t="str">
        <f>IF('Ticker Data'!A34="","",'Ticker Data'!A34)</f>
        <v>NAVINFLUOR</v>
      </c>
      <c r="B35" s="20">
        <f>IF('Ticker Data'!A34="","",'Ticker Data'!B34)</f>
        <v>0</v>
      </c>
      <c r="C35" s="20">
        <f>IF('Ticker Data'!A34="","",'Ticker Data'!L34)</f>
        <v>0</v>
      </c>
      <c r="D35" s="21" t="str">
        <f>IF('Ticker Data'!A34="","",IF(AND('Ticker Data'!C34&gt;'Ticker Data'!D34,'Ticker Data'!D34&gt;'Ticker Data'!E34,'Ticker Data'!E34&gt;0),"✔ PASS","✘ FAIL"))</f>
        <v>✘ FAIL</v>
      </c>
      <c r="E35" s="21" t="str">
        <f>IF('Ticker Data'!A34="","",IF('Ticker Data'!C34&gt;='Ticker Data'!F34*0.85,"✔ PASS","✘ FAIL"))</f>
        <v>✔ PASS</v>
      </c>
      <c r="F35" s="21" t="str">
        <f>IF('Ticker Data'!A34="","",IF('Ticker Data'!C34&gt;='Ticker Data'!G34,"✔ PASS","✘ FAIL"))</f>
        <v>✔ PASS</v>
      </c>
      <c r="G35" s="21" t="str">
        <f>IF('Ticker Data'!A34="","",IF('Ticker Data'!I34&gt;'Ticker Data'!J34,"✔ PASS","✘ FAIL"))</f>
        <v>✘ FAIL</v>
      </c>
      <c r="H35" s="22">
        <f>IF('Ticker Data'!A34="","",(('Ticker Data'!K34/100)))</f>
        <v>0</v>
      </c>
      <c r="I35" s="23" t="str">
        <f>IF(OR('Ticker Data'!A34="",'Ticker Data'!J34=0),"",'Ticker Data'!I34/'Ticker Data'!J34)</f>
        <v/>
      </c>
      <c r="J35" s="24" t="str">
        <f>IF(OR('Ticker Data'!A34="",'Ticker Data'!G34=0),"",('Ticker Data'!C34-'Ticker Data'!G34)/'Ticker Data'!G34)</f>
        <v/>
      </c>
      <c r="K35" s="24" t="str">
        <f>IF(OR('Ticker Data'!A34="",'Ticker Data'!D34=0),"",('Ticker Data'!C34-'Ticker Data'!D34)/'Ticker Data'!D34)</f>
        <v/>
      </c>
      <c r="L35" s="22" t="str">
        <f>IF(OR('Ticker Data'!A34="",'Ticker Data'!F34=0),"",'Ticker Data'!C34/'Ticker Data'!F34)</f>
        <v/>
      </c>
      <c r="M35" s="25">
        <f t="shared" si="0"/>
        <v>0</v>
      </c>
      <c r="N35" s="25" t="str">
        <f t="shared" si="1"/>
        <v/>
      </c>
      <c r="O35" s="25" t="str">
        <f t="shared" si="2"/>
        <v/>
      </c>
      <c r="P35" s="25" t="str">
        <f t="shared" si="3"/>
        <v/>
      </c>
      <c r="Q35" s="25" t="e">
        <f t="shared" si="4"/>
        <v>#VALUE!</v>
      </c>
      <c r="R35" s="21" t="str">
        <f t="shared" si="5"/>
        <v/>
      </c>
      <c r="S35" s="21" t="str">
        <f t="shared" si="6"/>
        <v>✘ FILTERED</v>
      </c>
      <c r="T35" s="21" t="str">
        <f t="shared" si="7"/>
        <v/>
      </c>
    </row>
    <row r="36" spans="1:20" ht="18" customHeight="1" x14ac:dyDescent="0.25">
      <c r="A36" s="20" t="str">
        <f>IF('Ticker Data'!A35="","",'Ticker Data'!A35)</f>
        <v>JSWDULUX</v>
      </c>
      <c r="B36" s="20">
        <f>IF('Ticker Data'!A35="","",'Ticker Data'!B35)</f>
        <v>0</v>
      </c>
      <c r="C36" s="20">
        <f>IF('Ticker Data'!A35="","",'Ticker Data'!L35)</f>
        <v>0</v>
      </c>
      <c r="D36" s="21" t="str">
        <f>IF('Ticker Data'!A35="","",IF(AND('Ticker Data'!C35&gt;'Ticker Data'!D35,'Ticker Data'!D35&gt;'Ticker Data'!E35,'Ticker Data'!E35&gt;0),"✔ PASS","✘ FAIL"))</f>
        <v>✘ FAIL</v>
      </c>
      <c r="E36" s="21" t="str">
        <f>IF('Ticker Data'!A35="","",IF('Ticker Data'!C35&gt;='Ticker Data'!F35*0.85,"✔ PASS","✘ FAIL"))</f>
        <v>✔ PASS</v>
      </c>
      <c r="F36" s="21" t="str">
        <f>IF('Ticker Data'!A35="","",IF('Ticker Data'!C35&gt;='Ticker Data'!G35,"✔ PASS","✘ FAIL"))</f>
        <v>✔ PASS</v>
      </c>
      <c r="G36" s="21" t="str">
        <f>IF('Ticker Data'!A35="","",IF('Ticker Data'!I35&gt;'Ticker Data'!J35,"✔ PASS","✘ FAIL"))</f>
        <v>✘ FAIL</v>
      </c>
      <c r="H36" s="22">
        <f>IF('Ticker Data'!A35="","",(('Ticker Data'!K35/100)))</f>
        <v>0</v>
      </c>
      <c r="I36" s="23" t="str">
        <f>IF(OR('Ticker Data'!A35="",'Ticker Data'!J35=0),"",'Ticker Data'!I35/'Ticker Data'!J35)</f>
        <v/>
      </c>
      <c r="J36" s="24" t="str">
        <f>IF(OR('Ticker Data'!A35="",'Ticker Data'!G35=0),"",('Ticker Data'!C35-'Ticker Data'!G35)/'Ticker Data'!G35)</f>
        <v/>
      </c>
      <c r="K36" s="24" t="str">
        <f>IF(OR('Ticker Data'!A35="",'Ticker Data'!D35=0),"",('Ticker Data'!C35-'Ticker Data'!D35)/'Ticker Data'!D35)</f>
        <v/>
      </c>
      <c r="L36" s="22" t="str">
        <f>IF(OR('Ticker Data'!A35="",'Ticker Data'!F35=0),"",'Ticker Data'!C35/'Ticker Data'!F35)</f>
        <v/>
      </c>
      <c r="M36" s="25">
        <f t="shared" si="0"/>
        <v>0</v>
      </c>
      <c r="N36" s="25" t="str">
        <f t="shared" si="1"/>
        <v/>
      </c>
      <c r="O36" s="25" t="str">
        <f t="shared" si="2"/>
        <v/>
      </c>
      <c r="P36" s="25" t="str">
        <f t="shared" si="3"/>
        <v/>
      </c>
      <c r="Q36" s="25" t="e">
        <f t="shared" si="4"/>
        <v>#VALUE!</v>
      </c>
      <c r="R36" s="21" t="str">
        <f t="shared" si="5"/>
        <v/>
      </c>
      <c r="S36" s="21" t="str">
        <f t="shared" si="6"/>
        <v>✘ FILTERED</v>
      </c>
      <c r="T36" s="21" t="str">
        <f t="shared" si="7"/>
        <v/>
      </c>
    </row>
    <row r="37" spans="1:20" ht="18" customHeight="1" x14ac:dyDescent="0.25">
      <c r="A37" s="20" t="str">
        <f>IF('Ticker Data'!A36="","",'Ticker Data'!A36)</f>
        <v>SUNPHARMA</v>
      </c>
      <c r="B37" s="20">
        <f>IF('Ticker Data'!A36="","",'Ticker Data'!B36)</f>
        <v>0</v>
      </c>
      <c r="C37" s="20">
        <f>IF('Ticker Data'!A36="","",'Ticker Data'!L36)</f>
        <v>0</v>
      </c>
      <c r="D37" s="21" t="str">
        <f>IF('Ticker Data'!A36="","",IF(AND('Ticker Data'!C36&gt;'Ticker Data'!D36,'Ticker Data'!D36&gt;'Ticker Data'!E36,'Ticker Data'!E36&gt;0),"✔ PASS","✘ FAIL"))</f>
        <v>✘ FAIL</v>
      </c>
      <c r="E37" s="21" t="str">
        <f>IF('Ticker Data'!A36="","",IF('Ticker Data'!C36&gt;='Ticker Data'!F36*0.85,"✔ PASS","✘ FAIL"))</f>
        <v>✔ PASS</v>
      </c>
      <c r="F37" s="21" t="str">
        <f>IF('Ticker Data'!A36="","",IF('Ticker Data'!C36&gt;='Ticker Data'!G36,"✔ PASS","✘ FAIL"))</f>
        <v>✔ PASS</v>
      </c>
      <c r="G37" s="21" t="str">
        <f>IF('Ticker Data'!A36="","",IF('Ticker Data'!I36&gt;'Ticker Data'!J36,"✔ PASS","✘ FAIL"))</f>
        <v>✘ FAIL</v>
      </c>
      <c r="H37" s="22">
        <f>IF('Ticker Data'!A36="","",(('Ticker Data'!K36/100)))</f>
        <v>0</v>
      </c>
      <c r="I37" s="23" t="str">
        <f>IF(OR('Ticker Data'!A36="",'Ticker Data'!J36=0),"",'Ticker Data'!I36/'Ticker Data'!J36)</f>
        <v/>
      </c>
      <c r="J37" s="24" t="str">
        <f>IF(OR('Ticker Data'!A36="",'Ticker Data'!G36=0),"",('Ticker Data'!C36-'Ticker Data'!G36)/'Ticker Data'!G36)</f>
        <v/>
      </c>
      <c r="K37" s="24" t="str">
        <f>IF(OR('Ticker Data'!A36="",'Ticker Data'!D36=0),"",('Ticker Data'!C36-'Ticker Data'!D36)/'Ticker Data'!D36)</f>
        <v/>
      </c>
      <c r="L37" s="22" t="str">
        <f>IF(OR('Ticker Data'!A36="",'Ticker Data'!F36=0),"",'Ticker Data'!C36/'Ticker Data'!F36)</f>
        <v/>
      </c>
      <c r="M37" s="25">
        <f t="shared" ref="M37:M54" si="8">IF(OR(C37="",H37=""),"",ROUND(PERCENTRANK($H$5:$H$54,H37)*100,1))</f>
        <v>0</v>
      </c>
      <c r="N37" s="25" t="str">
        <f t="shared" ref="N37:N54" si="9">IF(OR(C37="",I37=""),"",ROUND(PERCENTRANK($I$5:$I$54,I37)*100,1))</f>
        <v/>
      </c>
      <c r="O37" s="25" t="str">
        <f t="shared" ref="O37:O54" si="10">IF(OR(C37="",J37=""),"",ROUND(PERCENTRANK($J$5:$J$54,J37)*100,1))</f>
        <v/>
      </c>
      <c r="P37" s="25" t="str">
        <f t="shared" ref="P37:P54" si="11">IF(OR(C37="",K37=""),"",ROUND(PERCENTRANK($K$5:$K$54,K37)*100,1))</f>
        <v/>
      </c>
      <c r="Q37" s="25" t="e">
        <f t="shared" ref="Q37:Q68" si="12">IF(OR(A37="",D37=""),"",ROUND(M37*0.3+N37*0.25+O37*0.25+P37*0.2,1))</f>
        <v>#VALUE!</v>
      </c>
      <c r="R37" s="21" t="str">
        <f t="shared" ref="R37:R68" si="13">IF(OR(A37="",S37&lt;&gt;"✔ ALL PASS"),"",RANK(Q37,$Q$5:$Q$54,0))</f>
        <v/>
      </c>
      <c r="S37" s="21" t="str">
        <f t="shared" ref="S37:S54" si="14">IF(A37="","",IF(AND(D37="✔ PASS",E37="✔ PASS",F37="✔ PASS",G37="✔ PASS"),"✔ ALL PASS","✘ FILTERED"))</f>
        <v>✘ FILTERED</v>
      </c>
      <c r="T37" s="21" t="str">
        <f t="shared" ref="T37:T68" si="15">IF(OR(A37="",S37&lt;&gt;"✔ ALL PASS",R37=""),"",IF(R37&lt;=20,"🟢 BUY SIGNAL","—"))</f>
        <v/>
      </c>
    </row>
    <row r="38" spans="1:20" ht="18" customHeight="1" x14ac:dyDescent="0.25">
      <c r="A38" s="20" t="str">
        <f>IF('Ticker Data'!A37="","",'Ticker Data'!A37)</f>
        <v>BAYERCROP</v>
      </c>
      <c r="B38" s="20">
        <f>IF('Ticker Data'!A37="","",'Ticker Data'!B37)</f>
        <v>0</v>
      </c>
      <c r="C38" s="20">
        <f>IF('Ticker Data'!A37="","",'Ticker Data'!L37)</f>
        <v>0</v>
      </c>
      <c r="D38" s="21" t="str">
        <f>IF('Ticker Data'!A37="","",IF(AND('Ticker Data'!C37&gt;'Ticker Data'!D37,'Ticker Data'!D37&gt;'Ticker Data'!E37,'Ticker Data'!E37&gt;0),"✔ PASS","✘ FAIL"))</f>
        <v>✘ FAIL</v>
      </c>
      <c r="E38" s="21" t="str">
        <f>IF('Ticker Data'!A37="","",IF('Ticker Data'!C37&gt;='Ticker Data'!F37*0.85,"✔ PASS","✘ FAIL"))</f>
        <v>✔ PASS</v>
      </c>
      <c r="F38" s="21" t="str">
        <f>IF('Ticker Data'!A37="","",IF('Ticker Data'!C37&gt;='Ticker Data'!G37,"✔ PASS","✘ FAIL"))</f>
        <v>✔ PASS</v>
      </c>
      <c r="G38" s="21" t="str">
        <f>IF('Ticker Data'!A37="","",IF('Ticker Data'!I37&gt;'Ticker Data'!J37,"✔ PASS","✘ FAIL"))</f>
        <v>✘ FAIL</v>
      </c>
      <c r="H38" s="22">
        <f>IF('Ticker Data'!A37="","",(('Ticker Data'!K37/100)))</f>
        <v>0</v>
      </c>
      <c r="I38" s="23" t="str">
        <f>IF(OR('Ticker Data'!A37="",'Ticker Data'!J37=0),"",'Ticker Data'!I37/'Ticker Data'!J37)</f>
        <v/>
      </c>
      <c r="J38" s="24" t="str">
        <f>IF(OR('Ticker Data'!A37="",'Ticker Data'!G37=0),"",('Ticker Data'!C37-'Ticker Data'!G37)/'Ticker Data'!G37)</f>
        <v/>
      </c>
      <c r="K38" s="24" t="str">
        <f>IF(OR('Ticker Data'!A37="",'Ticker Data'!D37=0),"",('Ticker Data'!C37-'Ticker Data'!D37)/'Ticker Data'!D37)</f>
        <v/>
      </c>
      <c r="L38" s="22" t="str">
        <f>IF(OR('Ticker Data'!A37="",'Ticker Data'!F37=0),"",'Ticker Data'!C37/'Ticker Data'!F37)</f>
        <v/>
      </c>
      <c r="M38" s="25">
        <f t="shared" si="8"/>
        <v>0</v>
      </c>
      <c r="N38" s="25" t="str">
        <f t="shared" si="9"/>
        <v/>
      </c>
      <c r="O38" s="25" t="str">
        <f t="shared" si="10"/>
        <v/>
      </c>
      <c r="P38" s="25" t="str">
        <f t="shared" si="11"/>
        <v/>
      </c>
      <c r="Q38" s="25" t="e">
        <f t="shared" si="12"/>
        <v>#VALUE!</v>
      </c>
      <c r="R38" s="21" t="str">
        <f t="shared" si="13"/>
        <v/>
      </c>
      <c r="S38" s="21" t="str">
        <f t="shared" si="14"/>
        <v>✘ FILTERED</v>
      </c>
      <c r="T38" s="21" t="str">
        <f t="shared" si="15"/>
        <v/>
      </c>
    </row>
    <row r="39" spans="1:20" ht="18" customHeight="1" x14ac:dyDescent="0.25">
      <c r="A39" s="20" t="str">
        <f>IF('Ticker Data'!A38="","",'Ticker Data'!A38)</f>
        <v>APOLLOHOSP</v>
      </c>
      <c r="B39" s="20">
        <f>IF('Ticker Data'!A38="","",'Ticker Data'!B38)</f>
        <v>0</v>
      </c>
      <c r="C39" s="20">
        <f>IF('Ticker Data'!A38="","",'Ticker Data'!L38)</f>
        <v>0</v>
      </c>
      <c r="D39" s="21" t="str">
        <f>IF('Ticker Data'!A38="","",IF(AND('Ticker Data'!C38&gt;'Ticker Data'!D38,'Ticker Data'!D38&gt;'Ticker Data'!E38,'Ticker Data'!E38&gt;0),"✔ PASS","✘ FAIL"))</f>
        <v>✘ FAIL</v>
      </c>
      <c r="E39" s="21" t="str">
        <f>IF('Ticker Data'!A38="","",IF('Ticker Data'!C38&gt;='Ticker Data'!F38*0.85,"✔ PASS","✘ FAIL"))</f>
        <v>✔ PASS</v>
      </c>
      <c r="F39" s="21" t="str">
        <f>IF('Ticker Data'!A38="","",IF('Ticker Data'!C38&gt;='Ticker Data'!G38,"✔ PASS","✘ FAIL"))</f>
        <v>✔ PASS</v>
      </c>
      <c r="G39" s="21" t="str">
        <f>IF('Ticker Data'!A38="","",IF('Ticker Data'!I38&gt;'Ticker Data'!J38,"✔ PASS","✘ FAIL"))</f>
        <v>✘ FAIL</v>
      </c>
      <c r="H39" s="22">
        <f>IF('Ticker Data'!A38="","",(('Ticker Data'!K38/100)))</f>
        <v>0</v>
      </c>
      <c r="I39" s="23" t="str">
        <f>IF(OR('Ticker Data'!A38="",'Ticker Data'!J38=0),"",'Ticker Data'!I38/'Ticker Data'!J38)</f>
        <v/>
      </c>
      <c r="J39" s="24" t="str">
        <f>IF(OR('Ticker Data'!A38="",'Ticker Data'!G38=0),"",('Ticker Data'!C38-'Ticker Data'!G38)/'Ticker Data'!G38)</f>
        <v/>
      </c>
      <c r="K39" s="24" t="str">
        <f>IF(OR('Ticker Data'!A38="",'Ticker Data'!D38=0),"",('Ticker Data'!C38-'Ticker Data'!D38)/'Ticker Data'!D38)</f>
        <v/>
      </c>
      <c r="L39" s="22" t="str">
        <f>IF(OR('Ticker Data'!A38="",'Ticker Data'!F38=0),"",'Ticker Data'!C38/'Ticker Data'!F38)</f>
        <v/>
      </c>
      <c r="M39" s="25">
        <f t="shared" si="8"/>
        <v>0</v>
      </c>
      <c r="N39" s="25" t="str">
        <f t="shared" si="9"/>
        <v/>
      </c>
      <c r="O39" s="25" t="str">
        <f t="shared" si="10"/>
        <v/>
      </c>
      <c r="P39" s="25" t="str">
        <f t="shared" si="11"/>
        <v/>
      </c>
      <c r="Q39" s="25" t="e">
        <f t="shared" si="12"/>
        <v>#VALUE!</v>
      </c>
      <c r="R39" s="21" t="str">
        <f t="shared" si="13"/>
        <v/>
      </c>
      <c r="S39" s="21" t="str">
        <f t="shared" si="14"/>
        <v>✘ FILTERED</v>
      </c>
      <c r="T39" s="21" t="str">
        <f t="shared" si="15"/>
        <v/>
      </c>
    </row>
    <row r="40" spans="1:20" ht="18" customHeight="1" x14ac:dyDescent="0.25">
      <c r="A40" s="20" t="str">
        <f>IF('Ticker Data'!A39="","",'Ticker Data'!A39)</f>
        <v>PFIZER</v>
      </c>
      <c r="B40" s="20">
        <f>IF('Ticker Data'!A39="","",'Ticker Data'!B39)</f>
        <v>0</v>
      </c>
      <c r="C40" s="20">
        <f>IF('Ticker Data'!A39="","",'Ticker Data'!L39)</f>
        <v>0</v>
      </c>
      <c r="D40" s="21" t="str">
        <f>IF('Ticker Data'!A39="","",IF(AND('Ticker Data'!C39&gt;'Ticker Data'!D39,'Ticker Data'!D39&gt;'Ticker Data'!E39,'Ticker Data'!E39&gt;0),"✔ PASS","✘ FAIL"))</f>
        <v>✘ FAIL</v>
      </c>
      <c r="E40" s="21" t="str">
        <f>IF('Ticker Data'!A39="","",IF('Ticker Data'!C39&gt;='Ticker Data'!F39*0.85,"✔ PASS","✘ FAIL"))</f>
        <v>✔ PASS</v>
      </c>
      <c r="F40" s="21" t="str">
        <f>IF('Ticker Data'!A39="","",IF('Ticker Data'!C39&gt;='Ticker Data'!G39,"✔ PASS","✘ FAIL"))</f>
        <v>✔ PASS</v>
      </c>
      <c r="G40" s="21" t="str">
        <f>IF('Ticker Data'!A39="","",IF('Ticker Data'!I39&gt;'Ticker Data'!J39,"✔ PASS","✘ FAIL"))</f>
        <v>✘ FAIL</v>
      </c>
      <c r="H40" s="22">
        <f>IF('Ticker Data'!A39="","",(('Ticker Data'!K39/100)))</f>
        <v>0</v>
      </c>
      <c r="I40" s="23" t="str">
        <f>IF(OR('Ticker Data'!A39="",'Ticker Data'!J39=0),"",'Ticker Data'!I39/'Ticker Data'!J39)</f>
        <v/>
      </c>
      <c r="J40" s="24" t="str">
        <f>IF(OR('Ticker Data'!A39="",'Ticker Data'!G39=0),"",('Ticker Data'!C39-'Ticker Data'!G39)/'Ticker Data'!G39)</f>
        <v/>
      </c>
      <c r="K40" s="24" t="str">
        <f>IF(OR('Ticker Data'!A39="",'Ticker Data'!D39=0),"",('Ticker Data'!C39-'Ticker Data'!D39)/'Ticker Data'!D39)</f>
        <v/>
      </c>
      <c r="L40" s="22" t="str">
        <f>IF(OR('Ticker Data'!A39="",'Ticker Data'!F39=0),"",'Ticker Data'!C39/'Ticker Data'!F39)</f>
        <v/>
      </c>
      <c r="M40" s="25">
        <f t="shared" si="8"/>
        <v>0</v>
      </c>
      <c r="N40" s="25" t="str">
        <f t="shared" si="9"/>
        <v/>
      </c>
      <c r="O40" s="25" t="str">
        <f t="shared" si="10"/>
        <v/>
      </c>
      <c r="P40" s="25" t="str">
        <f t="shared" si="11"/>
        <v/>
      </c>
      <c r="Q40" s="25" t="e">
        <f t="shared" si="12"/>
        <v>#VALUE!</v>
      </c>
      <c r="R40" s="21" t="str">
        <f t="shared" si="13"/>
        <v/>
      </c>
      <c r="S40" s="21" t="str">
        <f t="shared" si="14"/>
        <v>✘ FILTERED</v>
      </c>
      <c r="T40" s="21" t="str">
        <f t="shared" si="15"/>
        <v/>
      </c>
    </row>
    <row r="41" spans="1:20" ht="18" customHeight="1" x14ac:dyDescent="0.25">
      <c r="A41" s="20" t="str">
        <f>IF('Ticker Data'!A40="","",'Ticker Data'!A40)</f>
        <v>COALINDIA</v>
      </c>
      <c r="B41" s="20">
        <f>IF('Ticker Data'!A40="","",'Ticker Data'!B40)</f>
        <v>0</v>
      </c>
      <c r="C41" s="20">
        <f>IF('Ticker Data'!A40="","",'Ticker Data'!L40)</f>
        <v>0</v>
      </c>
      <c r="D41" s="21" t="str">
        <f>IF('Ticker Data'!A40="","",IF(AND('Ticker Data'!C40&gt;'Ticker Data'!D40,'Ticker Data'!D40&gt;'Ticker Data'!E40,'Ticker Data'!E40&gt;0),"✔ PASS","✘ FAIL"))</f>
        <v>✘ FAIL</v>
      </c>
      <c r="E41" s="21" t="str">
        <f>IF('Ticker Data'!A40="","",IF('Ticker Data'!C40&gt;='Ticker Data'!F40*0.85,"✔ PASS","✘ FAIL"))</f>
        <v>✔ PASS</v>
      </c>
      <c r="F41" s="21" t="str">
        <f>IF('Ticker Data'!A40="","",IF('Ticker Data'!C40&gt;='Ticker Data'!G40,"✔ PASS","✘ FAIL"))</f>
        <v>✔ PASS</v>
      </c>
      <c r="G41" s="21" t="str">
        <f>IF('Ticker Data'!A40="","",IF('Ticker Data'!I40&gt;'Ticker Data'!J40,"✔ PASS","✘ FAIL"))</f>
        <v>✘ FAIL</v>
      </c>
      <c r="H41" s="22">
        <f>IF('Ticker Data'!A40="","",(('Ticker Data'!K40/100)))</f>
        <v>0</v>
      </c>
      <c r="I41" s="23" t="str">
        <f>IF(OR('Ticker Data'!A40="",'Ticker Data'!J40=0),"",'Ticker Data'!I40/'Ticker Data'!J40)</f>
        <v/>
      </c>
      <c r="J41" s="24" t="str">
        <f>IF(OR('Ticker Data'!A40="",'Ticker Data'!G40=0),"",('Ticker Data'!C40-'Ticker Data'!G40)/'Ticker Data'!G40)</f>
        <v/>
      </c>
      <c r="K41" s="24" t="str">
        <f>IF(OR('Ticker Data'!A40="",'Ticker Data'!D40=0),"",('Ticker Data'!C40-'Ticker Data'!D40)/'Ticker Data'!D40)</f>
        <v/>
      </c>
      <c r="L41" s="22" t="str">
        <f>IF(OR('Ticker Data'!A40="",'Ticker Data'!F40=0),"",'Ticker Data'!C40/'Ticker Data'!F40)</f>
        <v/>
      </c>
      <c r="M41" s="25">
        <f t="shared" si="8"/>
        <v>0</v>
      </c>
      <c r="N41" s="25" t="str">
        <f t="shared" si="9"/>
        <v/>
      </c>
      <c r="O41" s="25" t="str">
        <f t="shared" si="10"/>
        <v/>
      </c>
      <c r="P41" s="25" t="str">
        <f t="shared" si="11"/>
        <v/>
      </c>
      <c r="Q41" s="25" t="e">
        <f t="shared" si="12"/>
        <v>#VALUE!</v>
      </c>
      <c r="R41" s="21" t="str">
        <f t="shared" si="13"/>
        <v/>
      </c>
      <c r="S41" s="21" t="str">
        <f t="shared" si="14"/>
        <v>✘ FILTERED</v>
      </c>
      <c r="T41" s="21" t="str">
        <f t="shared" si="15"/>
        <v/>
      </c>
    </row>
    <row r="42" spans="1:20" ht="18" customHeight="1" x14ac:dyDescent="0.25">
      <c r="A42" s="20" t="str">
        <f>IF('Ticker Data'!A41="","",'Ticker Data'!A41)</f>
        <v>THELEELA</v>
      </c>
      <c r="B42" s="20">
        <f>IF('Ticker Data'!A41="","",'Ticker Data'!B41)</f>
        <v>0</v>
      </c>
      <c r="C42" s="20">
        <f>IF('Ticker Data'!A41="","",'Ticker Data'!L41)</f>
        <v>0</v>
      </c>
      <c r="D42" s="21" t="str">
        <f>IF('Ticker Data'!A41="","",IF(AND('Ticker Data'!C41&gt;'Ticker Data'!D41,'Ticker Data'!D41&gt;'Ticker Data'!E41,'Ticker Data'!E41&gt;0),"✔ PASS","✘ FAIL"))</f>
        <v>✘ FAIL</v>
      </c>
      <c r="E42" s="21" t="str">
        <f>IF('Ticker Data'!A41="","",IF('Ticker Data'!C41&gt;='Ticker Data'!F41*0.85,"✔ PASS","✘ FAIL"))</f>
        <v>✔ PASS</v>
      </c>
      <c r="F42" s="21" t="str">
        <f>IF('Ticker Data'!A41="","",IF('Ticker Data'!C41&gt;='Ticker Data'!G41,"✔ PASS","✘ FAIL"))</f>
        <v>✔ PASS</v>
      </c>
      <c r="G42" s="21" t="str">
        <f>IF('Ticker Data'!A41="","",IF('Ticker Data'!I41&gt;'Ticker Data'!J41,"✔ PASS","✘ FAIL"))</f>
        <v>✘ FAIL</v>
      </c>
      <c r="H42" s="22">
        <f>IF('Ticker Data'!A41="","",(('Ticker Data'!K41/100)))</f>
        <v>0</v>
      </c>
      <c r="I42" s="23" t="str">
        <f>IF(OR('Ticker Data'!A41="",'Ticker Data'!J41=0),"",'Ticker Data'!I41/'Ticker Data'!J41)</f>
        <v/>
      </c>
      <c r="J42" s="24" t="str">
        <f>IF(OR('Ticker Data'!A41="",'Ticker Data'!G41=0),"",('Ticker Data'!C41-'Ticker Data'!G41)/'Ticker Data'!G41)</f>
        <v/>
      </c>
      <c r="K42" s="24" t="str">
        <f>IF(OR('Ticker Data'!A41="",'Ticker Data'!D41=0),"",('Ticker Data'!C41-'Ticker Data'!D41)/'Ticker Data'!D41)</f>
        <v/>
      </c>
      <c r="L42" s="22" t="str">
        <f>IF(OR('Ticker Data'!A41="",'Ticker Data'!F41=0),"",'Ticker Data'!C41/'Ticker Data'!F41)</f>
        <v/>
      </c>
      <c r="M42" s="25">
        <f t="shared" si="8"/>
        <v>0</v>
      </c>
      <c r="N42" s="25" t="str">
        <f t="shared" si="9"/>
        <v/>
      </c>
      <c r="O42" s="25" t="str">
        <f t="shared" si="10"/>
        <v/>
      </c>
      <c r="P42" s="25" t="str">
        <f t="shared" si="11"/>
        <v/>
      </c>
      <c r="Q42" s="25" t="e">
        <f t="shared" si="12"/>
        <v>#VALUE!</v>
      </c>
      <c r="R42" s="21" t="str">
        <f t="shared" si="13"/>
        <v/>
      </c>
      <c r="S42" s="21" t="str">
        <f t="shared" si="14"/>
        <v>✘ FILTERED</v>
      </c>
      <c r="T42" s="21" t="str">
        <f t="shared" si="15"/>
        <v/>
      </c>
    </row>
    <row r="43" spans="1:20" ht="18" customHeight="1" x14ac:dyDescent="0.25">
      <c r="A43" s="20" t="str">
        <f>IF('Ticker Data'!A42="","",'Ticker Data'!A42)</f>
        <v>JSWSTEEL</v>
      </c>
      <c r="B43" s="20">
        <f>IF('Ticker Data'!A42="","",'Ticker Data'!B42)</f>
        <v>0</v>
      </c>
      <c r="C43" s="20">
        <f>IF('Ticker Data'!A42="","",'Ticker Data'!L42)</f>
        <v>0</v>
      </c>
      <c r="D43" s="21" t="str">
        <f>IF('Ticker Data'!A42="","",IF(AND('Ticker Data'!C42&gt;'Ticker Data'!D42,'Ticker Data'!D42&gt;'Ticker Data'!E42,'Ticker Data'!E42&gt;0),"✔ PASS","✘ FAIL"))</f>
        <v>✘ FAIL</v>
      </c>
      <c r="E43" s="21" t="str">
        <f>IF('Ticker Data'!A42="","",IF('Ticker Data'!C42&gt;='Ticker Data'!F42*0.85,"✔ PASS","✘ FAIL"))</f>
        <v>✔ PASS</v>
      </c>
      <c r="F43" s="21" t="str">
        <f>IF('Ticker Data'!A42="","",IF('Ticker Data'!C42&gt;='Ticker Data'!G42,"✔ PASS","✘ FAIL"))</f>
        <v>✔ PASS</v>
      </c>
      <c r="G43" s="21" t="str">
        <f>IF('Ticker Data'!A42="","",IF('Ticker Data'!I42&gt;'Ticker Data'!J42,"✔ PASS","✘ FAIL"))</f>
        <v>✘ FAIL</v>
      </c>
      <c r="H43" s="22">
        <f>IF('Ticker Data'!A42="","",(('Ticker Data'!K42/100)))</f>
        <v>0</v>
      </c>
      <c r="I43" s="23" t="str">
        <f>IF(OR('Ticker Data'!A42="",'Ticker Data'!J42=0),"",'Ticker Data'!I42/'Ticker Data'!J42)</f>
        <v/>
      </c>
      <c r="J43" s="24" t="str">
        <f>IF(OR('Ticker Data'!A42="",'Ticker Data'!G42=0),"",('Ticker Data'!C42-'Ticker Data'!G42)/'Ticker Data'!G42)</f>
        <v/>
      </c>
      <c r="K43" s="24" t="str">
        <f>IF(OR('Ticker Data'!A42="",'Ticker Data'!D42=0),"",('Ticker Data'!C42-'Ticker Data'!D42)/'Ticker Data'!D42)</f>
        <v/>
      </c>
      <c r="L43" s="22" t="str">
        <f>IF(OR('Ticker Data'!A42="",'Ticker Data'!F42=0),"",'Ticker Data'!C42/'Ticker Data'!F42)</f>
        <v/>
      </c>
      <c r="M43" s="25">
        <f t="shared" si="8"/>
        <v>0</v>
      </c>
      <c r="N43" s="25" t="str">
        <f t="shared" si="9"/>
        <v/>
      </c>
      <c r="O43" s="25" t="str">
        <f t="shared" si="10"/>
        <v/>
      </c>
      <c r="P43" s="25" t="str">
        <f t="shared" si="11"/>
        <v/>
      </c>
      <c r="Q43" s="25" t="e">
        <f t="shared" si="12"/>
        <v>#VALUE!</v>
      </c>
      <c r="R43" s="21" t="str">
        <f t="shared" si="13"/>
        <v/>
      </c>
      <c r="S43" s="21" t="str">
        <f t="shared" si="14"/>
        <v>✘ FILTERED</v>
      </c>
      <c r="T43" s="21" t="str">
        <f t="shared" si="15"/>
        <v/>
      </c>
    </row>
    <row r="44" spans="1:20" ht="18" customHeight="1" x14ac:dyDescent="0.25">
      <c r="A44" s="20" t="str">
        <f>IF('Ticker Data'!A43="","",'Ticker Data'!A43)</f>
        <v>BAJAJ-AUTO</v>
      </c>
      <c r="B44" s="20">
        <f>IF('Ticker Data'!A43="","",'Ticker Data'!B43)</f>
        <v>0</v>
      </c>
      <c r="C44" s="20">
        <f>IF('Ticker Data'!A43="","",'Ticker Data'!L43)</f>
        <v>0</v>
      </c>
      <c r="D44" s="21" t="str">
        <f>IF('Ticker Data'!A43="","",IF(AND('Ticker Data'!C43&gt;'Ticker Data'!D43,'Ticker Data'!D43&gt;'Ticker Data'!E43,'Ticker Data'!E43&gt;0),"✔ PASS","✘ FAIL"))</f>
        <v>✘ FAIL</v>
      </c>
      <c r="E44" s="21" t="str">
        <f>IF('Ticker Data'!A43="","",IF('Ticker Data'!C43&gt;='Ticker Data'!F43*0.85,"✔ PASS","✘ FAIL"))</f>
        <v>✔ PASS</v>
      </c>
      <c r="F44" s="21" t="str">
        <f>IF('Ticker Data'!A43="","",IF('Ticker Data'!C43&gt;='Ticker Data'!G43,"✔ PASS","✘ FAIL"))</f>
        <v>✔ PASS</v>
      </c>
      <c r="G44" s="21" t="str">
        <f>IF('Ticker Data'!A43="","",IF('Ticker Data'!I43&gt;'Ticker Data'!J43,"✔ PASS","✘ FAIL"))</f>
        <v>✘ FAIL</v>
      </c>
      <c r="H44" s="22">
        <f>IF('Ticker Data'!A43="","",(('Ticker Data'!K43/100)))</f>
        <v>0</v>
      </c>
      <c r="I44" s="23" t="str">
        <f>IF(OR('Ticker Data'!A43="",'Ticker Data'!J43=0),"",'Ticker Data'!I43/'Ticker Data'!J43)</f>
        <v/>
      </c>
      <c r="J44" s="24" t="str">
        <f>IF(OR('Ticker Data'!A43="",'Ticker Data'!G43=0),"",('Ticker Data'!C43-'Ticker Data'!G43)/'Ticker Data'!G43)</f>
        <v/>
      </c>
      <c r="K44" s="24" t="str">
        <f>IF(OR('Ticker Data'!A43="",'Ticker Data'!D43=0),"",('Ticker Data'!C43-'Ticker Data'!D43)/'Ticker Data'!D43)</f>
        <v/>
      </c>
      <c r="L44" s="22" t="str">
        <f>IF(OR('Ticker Data'!A43="",'Ticker Data'!F43=0),"",'Ticker Data'!C43/'Ticker Data'!F43)</f>
        <v/>
      </c>
      <c r="M44" s="25">
        <f t="shared" si="8"/>
        <v>0</v>
      </c>
      <c r="N44" s="25" t="str">
        <f t="shared" si="9"/>
        <v/>
      </c>
      <c r="O44" s="25" t="str">
        <f t="shared" si="10"/>
        <v/>
      </c>
      <c r="P44" s="25" t="str">
        <f t="shared" si="11"/>
        <v/>
      </c>
      <c r="Q44" s="25" t="e">
        <f t="shared" si="12"/>
        <v>#VALUE!</v>
      </c>
      <c r="R44" s="21" t="str">
        <f t="shared" si="13"/>
        <v/>
      </c>
      <c r="S44" s="21" t="str">
        <f t="shared" si="14"/>
        <v>✘ FILTERED</v>
      </c>
      <c r="T44" s="21" t="str">
        <f t="shared" si="15"/>
        <v/>
      </c>
    </row>
    <row r="45" spans="1:20" ht="18" customHeight="1" x14ac:dyDescent="0.25">
      <c r="A45" s="20" t="str">
        <f>IF('Ticker Data'!A44="","",'Ticker Data'!A44)</f>
        <v>RBLBANK</v>
      </c>
      <c r="B45" s="20">
        <f>IF('Ticker Data'!A44="","",'Ticker Data'!B44)</f>
        <v>0</v>
      </c>
      <c r="C45" s="20">
        <f>IF('Ticker Data'!A44="","",'Ticker Data'!L44)</f>
        <v>0</v>
      </c>
      <c r="D45" s="21" t="str">
        <f>IF('Ticker Data'!A44="","",IF(AND('Ticker Data'!C44&gt;'Ticker Data'!D44,'Ticker Data'!D44&gt;'Ticker Data'!E44,'Ticker Data'!E44&gt;0),"✔ PASS","✘ FAIL"))</f>
        <v>✘ FAIL</v>
      </c>
      <c r="E45" s="21" t="str">
        <f>IF('Ticker Data'!A44="","",IF('Ticker Data'!C44&gt;='Ticker Data'!F44*0.85,"✔ PASS","✘ FAIL"))</f>
        <v>✔ PASS</v>
      </c>
      <c r="F45" s="21" t="str">
        <f>IF('Ticker Data'!A44="","",IF('Ticker Data'!C44&gt;='Ticker Data'!G44,"✔ PASS","✘ FAIL"))</f>
        <v>✔ PASS</v>
      </c>
      <c r="G45" s="21" t="str">
        <f>IF('Ticker Data'!A44="","",IF('Ticker Data'!I44&gt;'Ticker Data'!J44,"✔ PASS","✘ FAIL"))</f>
        <v>✘ FAIL</v>
      </c>
      <c r="H45" s="22">
        <f>IF('Ticker Data'!A44="","",(('Ticker Data'!K44/100)))</f>
        <v>0</v>
      </c>
      <c r="I45" s="23" t="str">
        <f>IF(OR('Ticker Data'!A44="",'Ticker Data'!J44=0),"",'Ticker Data'!I44/'Ticker Data'!J44)</f>
        <v/>
      </c>
      <c r="J45" s="24" t="str">
        <f>IF(OR('Ticker Data'!A44="",'Ticker Data'!G44=0),"",('Ticker Data'!C44-'Ticker Data'!G44)/'Ticker Data'!G44)</f>
        <v/>
      </c>
      <c r="K45" s="24" t="str">
        <f>IF(OR('Ticker Data'!A44="",'Ticker Data'!D44=0),"",('Ticker Data'!C44-'Ticker Data'!D44)/'Ticker Data'!D44)</f>
        <v/>
      </c>
      <c r="L45" s="22" t="str">
        <f>IF(OR('Ticker Data'!A44="",'Ticker Data'!F44=0),"",'Ticker Data'!C44/'Ticker Data'!F44)</f>
        <v/>
      </c>
      <c r="M45" s="25">
        <f t="shared" si="8"/>
        <v>0</v>
      </c>
      <c r="N45" s="25" t="str">
        <f t="shared" si="9"/>
        <v/>
      </c>
      <c r="O45" s="25" t="str">
        <f t="shared" si="10"/>
        <v/>
      </c>
      <c r="P45" s="25" t="str">
        <f t="shared" si="11"/>
        <v/>
      </c>
      <c r="Q45" s="25" t="e">
        <f t="shared" si="12"/>
        <v>#VALUE!</v>
      </c>
      <c r="R45" s="21" t="str">
        <f t="shared" si="13"/>
        <v/>
      </c>
      <c r="S45" s="21" t="str">
        <f t="shared" si="14"/>
        <v>✘ FILTERED</v>
      </c>
      <c r="T45" s="21" t="str">
        <f t="shared" si="15"/>
        <v/>
      </c>
    </row>
    <row r="46" spans="1:20" ht="18" customHeight="1" x14ac:dyDescent="0.25">
      <c r="A46" s="20" t="str">
        <f>IF('Ticker Data'!A45="","",'Ticker Data'!A45)</f>
        <v>RAINBOW</v>
      </c>
      <c r="B46" s="20">
        <f>IF('Ticker Data'!A45="","",'Ticker Data'!B45)</f>
        <v>0</v>
      </c>
      <c r="C46" s="20">
        <f>IF('Ticker Data'!A45="","",'Ticker Data'!L45)</f>
        <v>0</v>
      </c>
      <c r="D46" s="21" t="str">
        <f>IF('Ticker Data'!A45="","",IF(AND('Ticker Data'!C45&gt;'Ticker Data'!D45,'Ticker Data'!D45&gt;'Ticker Data'!E45,'Ticker Data'!E45&gt;0),"✔ PASS","✘ FAIL"))</f>
        <v>✘ FAIL</v>
      </c>
      <c r="E46" s="21" t="str">
        <f>IF('Ticker Data'!A45="","",IF('Ticker Data'!C45&gt;='Ticker Data'!F45*0.85,"✔ PASS","✘ FAIL"))</f>
        <v>✔ PASS</v>
      </c>
      <c r="F46" s="21" t="str">
        <f>IF('Ticker Data'!A45="","",IF('Ticker Data'!C45&gt;='Ticker Data'!G45,"✔ PASS","✘ FAIL"))</f>
        <v>✔ PASS</v>
      </c>
      <c r="G46" s="21" t="str">
        <f>IF('Ticker Data'!A45="","",IF('Ticker Data'!I45&gt;'Ticker Data'!J45,"✔ PASS","✘ FAIL"))</f>
        <v>✘ FAIL</v>
      </c>
      <c r="H46" s="22">
        <f>IF('Ticker Data'!A45="","",(('Ticker Data'!K45/100)))</f>
        <v>0</v>
      </c>
      <c r="I46" s="23" t="str">
        <f>IF(OR('Ticker Data'!A45="",'Ticker Data'!J45=0),"",'Ticker Data'!I45/'Ticker Data'!J45)</f>
        <v/>
      </c>
      <c r="J46" s="24" t="str">
        <f>IF(OR('Ticker Data'!A45="",'Ticker Data'!G45=0),"",('Ticker Data'!C45-'Ticker Data'!G45)/'Ticker Data'!G45)</f>
        <v/>
      </c>
      <c r="K46" s="24" t="str">
        <f>IF(OR('Ticker Data'!A45="",'Ticker Data'!D45=0),"",('Ticker Data'!C45-'Ticker Data'!D45)/'Ticker Data'!D45)</f>
        <v/>
      </c>
      <c r="L46" s="22" t="str">
        <f>IF(OR('Ticker Data'!A45="",'Ticker Data'!F45=0),"",'Ticker Data'!C45/'Ticker Data'!F45)</f>
        <v/>
      </c>
      <c r="M46" s="25">
        <f t="shared" si="8"/>
        <v>0</v>
      </c>
      <c r="N46" s="25" t="str">
        <f t="shared" si="9"/>
        <v/>
      </c>
      <c r="O46" s="25" t="str">
        <f t="shared" si="10"/>
        <v/>
      </c>
      <c r="P46" s="25" t="str">
        <f t="shared" si="11"/>
        <v/>
      </c>
      <c r="Q46" s="25" t="e">
        <f t="shared" si="12"/>
        <v>#VALUE!</v>
      </c>
      <c r="R46" s="21" t="str">
        <f t="shared" si="13"/>
        <v/>
      </c>
      <c r="S46" s="21" t="str">
        <f t="shared" si="14"/>
        <v>✘ FILTERED</v>
      </c>
      <c r="T46" s="21" t="str">
        <f t="shared" si="15"/>
        <v/>
      </c>
    </row>
    <row r="47" spans="1:20" ht="18" customHeight="1" x14ac:dyDescent="0.25">
      <c r="A47" s="20" t="str">
        <f>IF('Ticker Data'!A46="","",'Ticker Data'!A46)</f>
        <v>ITC</v>
      </c>
      <c r="B47" s="20">
        <f>IF('Ticker Data'!A46="","",'Ticker Data'!B46)</f>
        <v>0</v>
      </c>
      <c r="C47" s="20">
        <f>IF('Ticker Data'!A46="","",'Ticker Data'!L46)</f>
        <v>0</v>
      </c>
      <c r="D47" s="21" t="str">
        <f>IF('Ticker Data'!A46="","",IF(AND('Ticker Data'!C46&gt;'Ticker Data'!D46,'Ticker Data'!D46&gt;'Ticker Data'!E46,'Ticker Data'!E46&gt;0),"✔ PASS","✘ FAIL"))</f>
        <v>✘ FAIL</v>
      </c>
      <c r="E47" s="21" t="str">
        <f>IF('Ticker Data'!A46="","",IF('Ticker Data'!C46&gt;='Ticker Data'!F46*0.85,"✔ PASS","✘ FAIL"))</f>
        <v>✔ PASS</v>
      </c>
      <c r="F47" s="21" t="str">
        <f>IF('Ticker Data'!A46="","",IF('Ticker Data'!C46&gt;='Ticker Data'!G46,"✔ PASS","✘ FAIL"))</f>
        <v>✔ PASS</v>
      </c>
      <c r="G47" s="21" t="str">
        <f>IF('Ticker Data'!A46="","",IF('Ticker Data'!I46&gt;'Ticker Data'!J46,"✔ PASS","✘ FAIL"))</f>
        <v>✘ FAIL</v>
      </c>
      <c r="H47" s="22">
        <f>IF('Ticker Data'!A46="","",(('Ticker Data'!K46/100)))</f>
        <v>0</v>
      </c>
      <c r="I47" s="23" t="str">
        <f>IF(OR('Ticker Data'!A46="",'Ticker Data'!J46=0),"",'Ticker Data'!I46/'Ticker Data'!J46)</f>
        <v/>
      </c>
      <c r="J47" s="24" t="str">
        <f>IF(OR('Ticker Data'!A46="",'Ticker Data'!G46=0),"",('Ticker Data'!C46-'Ticker Data'!G46)/'Ticker Data'!G46)</f>
        <v/>
      </c>
      <c r="K47" s="24" t="str">
        <f>IF(OR('Ticker Data'!A46="",'Ticker Data'!D46=0),"",('Ticker Data'!C46-'Ticker Data'!D46)/'Ticker Data'!D46)</f>
        <v/>
      </c>
      <c r="L47" s="22" t="str">
        <f>IF(OR('Ticker Data'!A46="",'Ticker Data'!F46=0),"",'Ticker Data'!C46/'Ticker Data'!F46)</f>
        <v/>
      </c>
      <c r="M47" s="25">
        <f t="shared" si="8"/>
        <v>0</v>
      </c>
      <c r="N47" s="25" t="str">
        <f t="shared" si="9"/>
        <v/>
      </c>
      <c r="O47" s="25" t="str">
        <f t="shared" si="10"/>
        <v/>
      </c>
      <c r="P47" s="25" t="str">
        <f t="shared" si="11"/>
        <v/>
      </c>
      <c r="Q47" s="25" t="e">
        <f t="shared" si="12"/>
        <v>#VALUE!</v>
      </c>
      <c r="R47" s="21" t="str">
        <f t="shared" si="13"/>
        <v/>
      </c>
      <c r="S47" s="21" t="str">
        <f t="shared" si="14"/>
        <v>✘ FILTERED</v>
      </c>
      <c r="T47" s="21" t="str">
        <f t="shared" si="15"/>
        <v/>
      </c>
    </row>
    <row r="48" spans="1:20" ht="18" customHeight="1" x14ac:dyDescent="0.25">
      <c r="A48" s="20" t="str">
        <f>IF('Ticker Data'!A47="","",'Ticker Data'!A47)</f>
        <v>MEDPLUS</v>
      </c>
      <c r="B48" s="20">
        <f>IF('Ticker Data'!A47="","",'Ticker Data'!B47)</f>
        <v>0</v>
      </c>
      <c r="C48" s="20">
        <f>IF('Ticker Data'!A47="","",'Ticker Data'!L47)</f>
        <v>0</v>
      </c>
      <c r="D48" s="21" t="str">
        <f>IF('Ticker Data'!A47="","",IF(AND('Ticker Data'!C47&gt;'Ticker Data'!D47,'Ticker Data'!D47&gt;'Ticker Data'!E47,'Ticker Data'!E47&gt;0),"✔ PASS","✘ FAIL"))</f>
        <v>✘ FAIL</v>
      </c>
      <c r="E48" s="21" t="str">
        <f>IF('Ticker Data'!A47="","",IF('Ticker Data'!C47&gt;='Ticker Data'!F47*0.85,"✔ PASS","✘ FAIL"))</f>
        <v>✔ PASS</v>
      </c>
      <c r="F48" s="21" t="str">
        <f>IF('Ticker Data'!A47="","",IF('Ticker Data'!C47&gt;='Ticker Data'!G47,"✔ PASS","✘ FAIL"))</f>
        <v>✔ PASS</v>
      </c>
      <c r="G48" s="21" t="str">
        <f>IF('Ticker Data'!A47="","",IF('Ticker Data'!I47&gt;'Ticker Data'!J47,"✔ PASS","✘ FAIL"))</f>
        <v>✘ FAIL</v>
      </c>
      <c r="H48" s="22">
        <f>IF('Ticker Data'!A47="","",(('Ticker Data'!K47/100)))</f>
        <v>0</v>
      </c>
      <c r="I48" s="23" t="str">
        <f>IF(OR('Ticker Data'!A47="",'Ticker Data'!J47=0),"",'Ticker Data'!I47/'Ticker Data'!J47)</f>
        <v/>
      </c>
      <c r="J48" s="24" t="str">
        <f>IF(OR('Ticker Data'!A47="",'Ticker Data'!G47=0),"",('Ticker Data'!C47-'Ticker Data'!G47)/'Ticker Data'!G47)</f>
        <v/>
      </c>
      <c r="K48" s="24" t="str">
        <f>IF(OR('Ticker Data'!A47="",'Ticker Data'!D47=0),"",('Ticker Data'!C47-'Ticker Data'!D47)/'Ticker Data'!D47)</f>
        <v/>
      </c>
      <c r="L48" s="22" t="str">
        <f>IF(OR('Ticker Data'!A47="",'Ticker Data'!F47=0),"",'Ticker Data'!C47/'Ticker Data'!F47)</f>
        <v/>
      </c>
      <c r="M48" s="25">
        <f t="shared" si="8"/>
        <v>0</v>
      </c>
      <c r="N48" s="25" t="str">
        <f t="shared" si="9"/>
        <v/>
      </c>
      <c r="O48" s="25" t="str">
        <f t="shared" si="10"/>
        <v/>
      </c>
      <c r="P48" s="25" t="str">
        <f t="shared" si="11"/>
        <v/>
      </c>
      <c r="Q48" s="25" t="e">
        <f t="shared" si="12"/>
        <v>#VALUE!</v>
      </c>
      <c r="R48" s="21" t="str">
        <f t="shared" si="13"/>
        <v/>
      </c>
      <c r="S48" s="21" t="str">
        <f t="shared" si="14"/>
        <v>✘ FILTERED</v>
      </c>
      <c r="T48" s="21" t="str">
        <f t="shared" si="15"/>
        <v/>
      </c>
    </row>
    <row r="49" spans="1:20" ht="18" customHeight="1" x14ac:dyDescent="0.25">
      <c r="A49" s="20" t="str">
        <f>IF('Ticker Data'!A48="","",'Ticker Data'!A48)</f>
        <v>INDUSTOWER</v>
      </c>
      <c r="B49" s="20">
        <f>IF('Ticker Data'!A48="","",'Ticker Data'!B48)</f>
        <v>0</v>
      </c>
      <c r="C49" s="20">
        <f>IF('Ticker Data'!A48="","",'Ticker Data'!L48)</f>
        <v>0</v>
      </c>
      <c r="D49" s="21" t="str">
        <f>IF('Ticker Data'!A48="","",IF(AND('Ticker Data'!C48&gt;'Ticker Data'!D48,'Ticker Data'!D48&gt;'Ticker Data'!E48,'Ticker Data'!E48&gt;0),"✔ PASS","✘ FAIL"))</f>
        <v>✘ FAIL</v>
      </c>
      <c r="E49" s="21" t="str">
        <f>IF('Ticker Data'!A48="","",IF('Ticker Data'!C48&gt;='Ticker Data'!F48*0.85,"✔ PASS","✘ FAIL"))</f>
        <v>✔ PASS</v>
      </c>
      <c r="F49" s="21" t="str">
        <f>IF('Ticker Data'!A48="","",IF('Ticker Data'!C48&gt;='Ticker Data'!G48,"✔ PASS","✘ FAIL"))</f>
        <v>✔ PASS</v>
      </c>
      <c r="G49" s="21" t="str">
        <f>IF('Ticker Data'!A48="","",IF('Ticker Data'!I48&gt;'Ticker Data'!J48,"✔ PASS","✘ FAIL"))</f>
        <v>✘ FAIL</v>
      </c>
      <c r="H49" s="22">
        <f>IF('Ticker Data'!A48="","",(('Ticker Data'!K48/100)))</f>
        <v>0</v>
      </c>
      <c r="I49" s="23" t="str">
        <f>IF(OR('Ticker Data'!A48="",'Ticker Data'!J48=0),"",'Ticker Data'!I48/'Ticker Data'!J48)</f>
        <v/>
      </c>
      <c r="J49" s="24" t="str">
        <f>IF(OR('Ticker Data'!A48="",'Ticker Data'!G48=0),"",('Ticker Data'!C48-'Ticker Data'!G48)/'Ticker Data'!G48)</f>
        <v/>
      </c>
      <c r="K49" s="24" t="str">
        <f>IF(OR('Ticker Data'!A48="",'Ticker Data'!D48=0),"",('Ticker Data'!C48-'Ticker Data'!D48)/'Ticker Data'!D48)</f>
        <v/>
      </c>
      <c r="L49" s="22" t="str">
        <f>IF(OR('Ticker Data'!A48="",'Ticker Data'!F48=0),"",'Ticker Data'!C48/'Ticker Data'!F48)</f>
        <v/>
      </c>
      <c r="M49" s="25">
        <f t="shared" si="8"/>
        <v>0</v>
      </c>
      <c r="N49" s="25" t="str">
        <f t="shared" si="9"/>
        <v/>
      </c>
      <c r="O49" s="25" t="str">
        <f t="shared" si="10"/>
        <v/>
      </c>
      <c r="P49" s="25" t="str">
        <f t="shared" si="11"/>
        <v/>
      </c>
      <c r="Q49" s="25" t="e">
        <f t="shared" si="12"/>
        <v>#VALUE!</v>
      </c>
      <c r="R49" s="21" t="str">
        <f t="shared" si="13"/>
        <v/>
      </c>
      <c r="S49" s="21" t="str">
        <f t="shared" si="14"/>
        <v>✘ FILTERED</v>
      </c>
      <c r="T49" s="21" t="str">
        <f t="shared" si="15"/>
        <v/>
      </c>
    </row>
    <row r="50" spans="1:20" ht="18" customHeight="1" x14ac:dyDescent="0.25">
      <c r="A50" s="20" t="str">
        <f>IF('Ticker Data'!A49="","",'Ticker Data'!A49)</f>
        <v>ICICIGI</v>
      </c>
      <c r="B50" s="20">
        <f>IF('Ticker Data'!A49="","",'Ticker Data'!B49)</f>
        <v>0</v>
      </c>
      <c r="C50" s="20">
        <f>IF('Ticker Data'!A49="","",'Ticker Data'!L49)</f>
        <v>0</v>
      </c>
      <c r="D50" s="21" t="str">
        <f>IF('Ticker Data'!A49="","",IF(AND('Ticker Data'!C49&gt;'Ticker Data'!D49,'Ticker Data'!D49&gt;'Ticker Data'!E49,'Ticker Data'!E49&gt;0),"✔ PASS","✘ FAIL"))</f>
        <v>✘ FAIL</v>
      </c>
      <c r="E50" s="21" t="str">
        <f>IF('Ticker Data'!A49="","",IF('Ticker Data'!C49&gt;='Ticker Data'!F49*0.85,"✔ PASS","✘ FAIL"))</f>
        <v>✔ PASS</v>
      </c>
      <c r="F50" s="21" t="str">
        <f>IF('Ticker Data'!A49="","",IF('Ticker Data'!C49&gt;='Ticker Data'!G49,"✔ PASS","✘ FAIL"))</f>
        <v>✔ PASS</v>
      </c>
      <c r="G50" s="21" t="str">
        <f>IF('Ticker Data'!A49="","",IF('Ticker Data'!I49&gt;'Ticker Data'!J49,"✔ PASS","✘ FAIL"))</f>
        <v>✘ FAIL</v>
      </c>
      <c r="H50" s="22">
        <f>IF('Ticker Data'!A49="","",(('Ticker Data'!K49/100)))</f>
        <v>0</v>
      </c>
      <c r="I50" s="23" t="str">
        <f>IF(OR('Ticker Data'!A49="",'Ticker Data'!J49=0),"",'Ticker Data'!I49/'Ticker Data'!J49)</f>
        <v/>
      </c>
      <c r="J50" s="24" t="str">
        <f>IF(OR('Ticker Data'!A49="",'Ticker Data'!G49=0),"",('Ticker Data'!C49-'Ticker Data'!G49)/'Ticker Data'!G49)</f>
        <v/>
      </c>
      <c r="K50" s="24" t="str">
        <f>IF(OR('Ticker Data'!A49="",'Ticker Data'!D49=0),"",('Ticker Data'!C49-'Ticker Data'!D49)/'Ticker Data'!D49)</f>
        <v/>
      </c>
      <c r="L50" s="22" t="str">
        <f>IF(OR('Ticker Data'!A49="",'Ticker Data'!F49=0),"",'Ticker Data'!C49/'Ticker Data'!F49)</f>
        <v/>
      </c>
      <c r="M50" s="25">
        <f t="shared" si="8"/>
        <v>0</v>
      </c>
      <c r="N50" s="25" t="str">
        <f t="shared" si="9"/>
        <v/>
      </c>
      <c r="O50" s="25" t="str">
        <f t="shared" si="10"/>
        <v/>
      </c>
      <c r="P50" s="25" t="str">
        <f t="shared" si="11"/>
        <v/>
      </c>
      <c r="Q50" s="25" t="e">
        <f t="shared" si="12"/>
        <v>#VALUE!</v>
      </c>
      <c r="R50" s="21" t="str">
        <f t="shared" si="13"/>
        <v/>
      </c>
      <c r="S50" s="21" t="str">
        <f t="shared" si="14"/>
        <v>✘ FILTERED</v>
      </c>
      <c r="T50" s="21" t="str">
        <f t="shared" si="15"/>
        <v/>
      </c>
    </row>
    <row r="51" spans="1:20" ht="18" customHeight="1" x14ac:dyDescent="0.25">
      <c r="A51" s="20" t="str">
        <f>IF('Ticker Data'!A50="","",'Ticker Data'!A50)</f>
        <v>JBCHEPHARM</v>
      </c>
      <c r="B51" s="20">
        <f>IF('Ticker Data'!A50="","",'Ticker Data'!B50)</f>
        <v>0</v>
      </c>
      <c r="C51" s="20">
        <f>IF('Ticker Data'!A50="","",'Ticker Data'!L50)</f>
        <v>0</v>
      </c>
      <c r="D51" s="21" t="str">
        <f>IF('Ticker Data'!A50="","",IF(AND('Ticker Data'!C50&gt;'Ticker Data'!D50,'Ticker Data'!D50&gt;'Ticker Data'!E50,'Ticker Data'!E50&gt;0),"✔ PASS","✘ FAIL"))</f>
        <v>✘ FAIL</v>
      </c>
      <c r="E51" s="21" t="str">
        <f>IF('Ticker Data'!A50="","",IF('Ticker Data'!C50&gt;='Ticker Data'!F50*0.85,"✔ PASS","✘ FAIL"))</f>
        <v>✔ PASS</v>
      </c>
      <c r="F51" s="21" t="str">
        <f>IF('Ticker Data'!A50="","",IF('Ticker Data'!C50&gt;='Ticker Data'!G50,"✔ PASS","✘ FAIL"))</f>
        <v>✔ PASS</v>
      </c>
      <c r="G51" s="21" t="str">
        <f>IF('Ticker Data'!A50="","",IF('Ticker Data'!I50&gt;'Ticker Data'!J50,"✔ PASS","✘ FAIL"))</f>
        <v>✘ FAIL</v>
      </c>
      <c r="H51" s="22">
        <f>IF('Ticker Data'!A50="","",(('Ticker Data'!K50/100)))</f>
        <v>0</v>
      </c>
      <c r="I51" s="23" t="str">
        <f>IF(OR('Ticker Data'!A50="",'Ticker Data'!J50=0),"",'Ticker Data'!I50/'Ticker Data'!J50)</f>
        <v/>
      </c>
      <c r="J51" s="24" t="str">
        <f>IF(OR('Ticker Data'!A50="",'Ticker Data'!G50=0),"",('Ticker Data'!C50-'Ticker Data'!G50)/'Ticker Data'!G50)</f>
        <v/>
      </c>
      <c r="K51" s="24" t="str">
        <f>IF(OR('Ticker Data'!A50="",'Ticker Data'!D50=0),"",('Ticker Data'!C50-'Ticker Data'!D50)/'Ticker Data'!D50)</f>
        <v/>
      </c>
      <c r="L51" s="22" t="str">
        <f>IF(OR('Ticker Data'!A50="",'Ticker Data'!F50=0),"",'Ticker Data'!C50/'Ticker Data'!F50)</f>
        <v/>
      </c>
      <c r="M51" s="25">
        <f t="shared" si="8"/>
        <v>0</v>
      </c>
      <c r="N51" s="25" t="str">
        <f t="shared" si="9"/>
        <v/>
      </c>
      <c r="O51" s="25" t="str">
        <f t="shared" si="10"/>
        <v/>
      </c>
      <c r="P51" s="25" t="str">
        <f t="shared" si="11"/>
        <v/>
      </c>
      <c r="Q51" s="25" t="e">
        <f t="shared" si="12"/>
        <v>#VALUE!</v>
      </c>
      <c r="R51" s="21" t="str">
        <f t="shared" si="13"/>
        <v/>
      </c>
      <c r="S51" s="21" t="str">
        <f t="shared" si="14"/>
        <v>✘ FILTERED</v>
      </c>
      <c r="T51" s="21" t="str">
        <f t="shared" si="15"/>
        <v/>
      </c>
    </row>
    <row r="52" spans="1:20" ht="18" customHeight="1" x14ac:dyDescent="0.25">
      <c r="A52" s="20" t="str">
        <f>IF('Ticker Data'!A51="","",'Ticker Data'!A51)</f>
        <v>PRIVISCL</v>
      </c>
      <c r="B52" s="20">
        <f>IF('Ticker Data'!A51="","",'Ticker Data'!B51)</f>
        <v>0</v>
      </c>
      <c r="C52" s="20">
        <f>IF('Ticker Data'!A51="","",'Ticker Data'!L51)</f>
        <v>0</v>
      </c>
      <c r="D52" s="21" t="str">
        <f>IF('Ticker Data'!A51="","",IF(AND('Ticker Data'!C51&gt;'Ticker Data'!D51,'Ticker Data'!D51&gt;'Ticker Data'!E51,'Ticker Data'!E51&gt;0),"✔ PASS","✘ FAIL"))</f>
        <v>✘ FAIL</v>
      </c>
      <c r="E52" s="21" t="str">
        <f>IF('Ticker Data'!A51="","",IF('Ticker Data'!C51&gt;='Ticker Data'!F51*0.85,"✔ PASS","✘ FAIL"))</f>
        <v>✔ PASS</v>
      </c>
      <c r="F52" s="21" t="str">
        <f>IF('Ticker Data'!A51="","",IF('Ticker Data'!C51&gt;='Ticker Data'!G51,"✔ PASS","✘ FAIL"))</f>
        <v>✔ PASS</v>
      </c>
      <c r="G52" s="21" t="str">
        <f>IF('Ticker Data'!A51="","",IF('Ticker Data'!I51&gt;'Ticker Data'!J51,"✔ PASS","✘ FAIL"))</f>
        <v>✘ FAIL</v>
      </c>
      <c r="H52" s="22">
        <f>IF('Ticker Data'!A51="","",(('Ticker Data'!K51/100)))</f>
        <v>0</v>
      </c>
      <c r="I52" s="23" t="str">
        <f>IF(OR('Ticker Data'!A51="",'Ticker Data'!J51=0),"",'Ticker Data'!I51/'Ticker Data'!J51)</f>
        <v/>
      </c>
      <c r="J52" s="24" t="str">
        <f>IF(OR('Ticker Data'!A51="",'Ticker Data'!G51=0),"",('Ticker Data'!C51-'Ticker Data'!G51)/'Ticker Data'!G51)</f>
        <v/>
      </c>
      <c r="K52" s="24" t="str">
        <f>IF(OR('Ticker Data'!A51="",'Ticker Data'!D51=0),"",('Ticker Data'!C51-'Ticker Data'!D51)/'Ticker Data'!D51)</f>
        <v/>
      </c>
      <c r="L52" s="22" t="str">
        <f>IF(OR('Ticker Data'!A51="",'Ticker Data'!F51=0),"",'Ticker Data'!C51/'Ticker Data'!F51)</f>
        <v/>
      </c>
      <c r="M52" s="25">
        <f t="shared" si="8"/>
        <v>0</v>
      </c>
      <c r="N52" s="25" t="str">
        <f t="shared" si="9"/>
        <v/>
      </c>
      <c r="O52" s="25" t="str">
        <f t="shared" si="10"/>
        <v/>
      </c>
      <c r="P52" s="25" t="str">
        <f t="shared" si="11"/>
        <v/>
      </c>
      <c r="Q52" s="25" t="e">
        <f t="shared" si="12"/>
        <v>#VALUE!</v>
      </c>
      <c r="R52" s="21" t="str">
        <f t="shared" si="13"/>
        <v/>
      </c>
      <c r="S52" s="21" t="str">
        <f t="shared" si="14"/>
        <v>✘ FILTERED</v>
      </c>
      <c r="T52" s="21" t="str">
        <f t="shared" si="15"/>
        <v/>
      </c>
    </row>
    <row r="53" spans="1:20" ht="18" customHeight="1" x14ac:dyDescent="0.25">
      <c r="A53" s="20" t="str">
        <f>IF('Ticker Data'!A52="","",'Ticker Data'!A52)</f>
        <v>NIVABUPA</v>
      </c>
      <c r="B53" s="20">
        <f>IF('Ticker Data'!A52="","",'Ticker Data'!B52)</f>
        <v>0</v>
      </c>
      <c r="C53" s="20">
        <f>IF('Ticker Data'!A52="","",'Ticker Data'!L52)</f>
        <v>0</v>
      </c>
      <c r="D53" s="21" t="str">
        <f>IF('Ticker Data'!A52="","",IF(AND('Ticker Data'!C52&gt;'Ticker Data'!D52,'Ticker Data'!D52&gt;'Ticker Data'!E52,'Ticker Data'!E52&gt;0),"✔ PASS","✘ FAIL"))</f>
        <v>✘ FAIL</v>
      </c>
      <c r="E53" s="21" t="str">
        <f>IF('Ticker Data'!A52="","",IF('Ticker Data'!C52&gt;='Ticker Data'!F52*0.85,"✔ PASS","✘ FAIL"))</f>
        <v>✔ PASS</v>
      </c>
      <c r="F53" s="21" t="str">
        <f>IF('Ticker Data'!A52="","",IF('Ticker Data'!C52&gt;='Ticker Data'!G52,"✔ PASS","✘ FAIL"))</f>
        <v>✔ PASS</v>
      </c>
      <c r="G53" s="21" t="str">
        <f>IF('Ticker Data'!A52="","",IF('Ticker Data'!I52&gt;'Ticker Data'!J52,"✔ PASS","✘ FAIL"))</f>
        <v>✘ FAIL</v>
      </c>
      <c r="H53" s="22">
        <f>IF('Ticker Data'!A52="","",(('Ticker Data'!K52/100)))</f>
        <v>0</v>
      </c>
      <c r="I53" s="23" t="str">
        <f>IF(OR('Ticker Data'!A52="",'Ticker Data'!J52=0),"",'Ticker Data'!I52/'Ticker Data'!J52)</f>
        <v/>
      </c>
      <c r="J53" s="24" t="str">
        <f>IF(OR('Ticker Data'!A52="",'Ticker Data'!G52=0),"",('Ticker Data'!C52-'Ticker Data'!G52)/'Ticker Data'!G52)</f>
        <v/>
      </c>
      <c r="K53" s="24" t="str">
        <f>IF(OR('Ticker Data'!A52="",'Ticker Data'!D52=0),"",('Ticker Data'!C52-'Ticker Data'!D52)/'Ticker Data'!D52)</f>
        <v/>
      </c>
      <c r="L53" s="22" t="str">
        <f>IF(OR('Ticker Data'!A52="",'Ticker Data'!F52=0),"",'Ticker Data'!C52/'Ticker Data'!F52)</f>
        <v/>
      </c>
      <c r="M53" s="25">
        <f t="shared" si="8"/>
        <v>0</v>
      </c>
      <c r="N53" s="25" t="str">
        <f t="shared" si="9"/>
        <v/>
      </c>
      <c r="O53" s="25" t="str">
        <f t="shared" si="10"/>
        <v/>
      </c>
      <c r="P53" s="25" t="str">
        <f t="shared" si="11"/>
        <v/>
      </c>
      <c r="Q53" s="25" t="e">
        <f t="shared" si="12"/>
        <v>#VALUE!</v>
      </c>
      <c r="R53" s="21" t="str">
        <f t="shared" si="13"/>
        <v/>
      </c>
      <c r="S53" s="21" t="str">
        <f t="shared" si="14"/>
        <v>✘ FILTERED</v>
      </c>
      <c r="T53" s="21" t="str">
        <f t="shared" si="15"/>
        <v/>
      </c>
    </row>
    <row r="54" spans="1:20" ht="18" customHeight="1" x14ac:dyDescent="0.25">
      <c r="A54" s="20" t="str">
        <f>IF('Ticker Data'!A53="","",'Ticker Data'!A53)</f>
        <v>JSWINFRA</v>
      </c>
      <c r="B54" s="20">
        <f>IF('Ticker Data'!A53="","",'Ticker Data'!B53)</f>
        <v>0</v>
      </c>
      <c r="C54" s="20">
        <f>IF('Ticker Data'!A53="","",'Ticker Data'!L53)</f>
        <v>0</v>
      </c>
      <c r="D54" s="21" t="str">
        <f>IF('Ticker Data'!A53="","",IF(AND('Ticker Data'!C53&gt;'Ticker Data'!D53,'Ticker Data'!D53&gt;'Ticker Data'!E53,'Ticker Data'!E53&gt;0),"✔ PASS","✘ FAIL"))</f>
        <v>✘ FAIL</v>
      </c>
      <c r="E54" s="21" t="str">
        <f>IF('Ticker Data'!A53="","",IF('Ticker Data'!C53&gt;='Ticker Data'!F53*0.85,"✔ PASS","✘ FAIL"))</f>
        <v>✔ PASS</v>
      </c>
      <c r="F54" s="21" t="str">
        <f>IF('Ticker Data'!A53="","",IF('Ticker Data'!C53&gt;='Ticker Data'!G53,"✔ PASS","✘ FAIL"))</f>
        <v>✔ PASS</v>
      </c>
      <c r="G54" s="21" t="str">
        <f>IF('Ticker Data'!A53="","",IF('Ticker Data'!I53&gt;'Ticker Data'!J53,"✔ PASS","✘ FAIL"))</f>
        <v>✘ FAIL</v>
      </c>
      <c r="H54" s="22">
        <f>IF('Ticker Data'!A53="","",(('Ticker Data'!K53/100)))</f>
        <v>0</v>
      </c>
      <c r="I54" s="23" t="str">
        <f>IF(OR('Ticker Data'!A53="",'Ticker Data'!J53=0),"",'Ticker Data'!I53/'Ticker Data'!J53)</f>
        <v/>
      </c>
      <c r="J54" s="24" t="str">
        <f>IF(OR('Ticker Data'!A53="",'Ticker Data'!G53=0),"",('Ticker Data'!C53-'Ticker Data'!G53)/'Ticker Data'!G53)</f>
        <v/>
      </c>
      <c r="K54" s="24" t="str">
        <f>IF(OR('Ticker Data'!A53="",'Ticker Data'!D53=0),"",('Ticker Data'!C53-'Ticker Data'!D53)/'Ticker Data'!D53)</f>
        <v/>
      </c>
      <c r="L54" s="22" t="str">
        <f>IF(OR('Ticker Data'!A53="",'Ticker Data'!F53=0),"",'Ticker Data'!C53/'Ticker Data'!F53)</f>
        <v/>
      </c>
      <c r="M54" s="25">
        <f t="shared" si="8"/>
        <v>0</v>
      </c>
      <c r="N54" s="25" t="str">
        <f t="shared" si="9"/>
        <v/>
      </c>
      <c r="O54" s="25" t="str">
        <f t="shared" si="10"/>
        <v/>
      </c>
      <c r="P54" s="25" t="str">
        <f t="shared" si="11"/>
        <v/>
      </c>
      <c r="Q54" s="25" t="e">
        <f t="shared" si="12"/>
        <v>#VALUE!</v>
      </c>
      <c r="R54" s="21" t="str">
        <f t="shared" si="13"/>
        <v/>
      </c>
      <c r="S54" s="21" t="str">
        <f t="shared" si="14"/>
        <v>✘ FILTERED</v>
      </c>
      <c r="T54" s="21" t="str">
        <f t="shared" si="15"/>
        <v/>
      </c>
    </row>
  </sheetData>
  <mergeCells count="8">
    <mergeCell ref="A1:T1"/>
    <mergeCell ref="A2:T2"/>
    <mergeCell ref="A3:C3"/>
    <mergeCell ref="D3:G3"/>
    <mergeCell ref="H3:L3"/>
    <mergeCell ref="M3:P3"/>
    <mergeCell ref="Q3:R3"/>
    <mergeCell ref="S3:T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2" width="10" customWidth="1"/>
    <col min="3" max="3" width="22" customWidth="1"/>
    <col min="4" max="4" width="14" customWidth="1"/>
    <col min="5" max="5" width="12" customWidth="1"/>
    <col min="6" max="7" width="11" customWidth="1"/>
    <col min="8" max="8" width="12" customWidth="1"/>
    <col min="9" max="10" width="11" customWidth="1"/>
    <col min="11" max="12" width="12" customWidth="1"/>
    <col min="13" max="13" width="14" customWidth="1"/>
    <col min="14" max="14" width="20" customWidth="1"/>
  </cols>
  <sheetData>
    <row r="1" spans="1:14" ht="34.5" customHeight="1" x14ac:dyDescent="0.25">
      <c r="A1" s="8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8" customHeight="1" x14ac:dyDescent="0.25">
      <c r="A2" s="7" t="s">
        <v>117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30" customHeight="1" x14ac:dyDescent="0.25">
      <c r="A3" s="26" t="s">
        <v>113</v>
      </c>
      <c r="B3" s="26" t="s">
        <v>53</v>
      </c>
      <c r="C3" s="26" t="s">
        <v>98</v>
      </c>
      <c r="D3" s="26" t="s">
        <v>64</v>
      </c>
      <c r="E3" s="26" t="s">
        <v>112</v>
      </c>
      <c r="F3" s="26" t="s">
        <v>103</v>
      </c>
      <c r="G3" s="26" t="s">
        <v>104</v>
      </c>
      <c r="H3" s="26" t="s">
        <v>118</v>
      </c>
      <c r="I3" s="26" t="s">
        <v>119</v>
      </c>
      <c r="J3" s="26" t="s">
        <v>120</v>
      </c>
      <c r="K3" s="26" t="s">
        <v>121</v>
      </c>
      <c r="L3" s="26" t="s">
        <v>122</v>
      </c>
      <c r="M3" s="26" t="s">
        <v>123</v>
      </c>
      <c r="N3" s="26" t="s">
        <v>124</v>
      </c>
    </row>
    <row r="4" spans="1:14" ht="19.5" customHeight="1" x14ac:dyDescent="0.25">
      <c r="A4" s="21">
        <f>1</f>
        <v>1</v>
      </c>
      <c r="B4" s="20" t="str">
        <f>IFERROR(INDEX('Screener &amp; Ranking'!A$5:A$54,MATCH(1,'Screener &amp; Ranking'!R$5:R$54,0)),"")</f>
        <v/>
      </c>
      <c r="C4" s="20" t="str">
        <f>IFERROR(INDEX('Screener &amp; Ranking'!B$5:B$54,MATCH(1,'Screener &amp; Ranking'!R$5:R$54,0)),"")</f>
        <v/>
      </c>
      <c r="D4" s="20" t="str">
        <f>IFERROR(INDEX('Screener &amp; Ranking'!C$5:C$54,MATCH(1,'Screener &amp; Ranking'!R$5:R$54,0)),"")</f>
        <v/>
      </c>
      <c r="E4" s="25" t="str">
        <f>IFERROR(INDEX('Screener &amp; Ranking'!Q$5:Q$54,MATCH(1,'Screener &amp; Ranking'!R$5:R$54,0)),"")</f>
        <v/>
      </c>
      <c r="F4" s="22" t="str">
        <f>IFERROR(INDEX('Screener &amp; Ranking'!H$5:H$54,MATCH(1,'Screener &amp; Ranking'!R$5:R$54,0)),"")</f>
        <v/>
      </c>
      <c r="G4" s="23" t="str">
        <f>IFERROR(INDEX('Screener &amp; Ranking'!I$5:I$54,MATCH(1,'Screener &amp; Ranking'!R$5:R$54,0)),"")</f>
        <v/>
      </c>
      <c r="H4" s="27" t="str">
        <f>IFERROR(INDEX('Ticker Data'!C$4:C$53,MATCH(1,'Screener &amp; Ranking'!R$5:R$54,0)),"")</f>
        <v/>
      </c>
      <c r="I4" s="27" t="str">
        <f t="shared" ref="I4:I23" si="0">IF(H4="","",H4*0.95)</f>
        <v/>
      </c>
      <c r="J4" s="27" t="str">
        <f t="shared" ref="J4:J23" si="1">IF(H4="","",H4*1.1)</f>
        <v/>
      </c>
      <c r="K4" s="21" t="str">
        <f t="shared" ref="K4:K23" si="2">IF(B4="","","Equal Weight")</f>
        <v/>
      </c>
      <c r="L4" s="21" t="str">
        <f t="shared" ref="L4:L23" si="3">IF(B4="","","1 Month Max")</f>
        <v/>
      </c>
      <c r="M4" s="20" t="str">
        <f t="shared" ref="M4:M23" si="4">IF(B4="","","TSL @ ₹"&amp;TEXT(I4,"#,##0.00")&amp;" or 1M")</f>
        <v/>
      </c>
      <c r="N4" s="20" t="str">
        <f t="shared" ref="N4:N23" si="5">IF(B4="","","Monitor weekly")</f>
        <v/>
      </c>
    </row>
    <row r="5" spans="1:14" ht="19.5" customHeight="1" x14ac:dyDescent="0.25">
      <c r="A5" s="28">
        <f>2</f>
        <v>2</v>
      </c>
      <c r="B5" s="29" t="str">
        <f>IFERROR(INDEX('Screener &amp; Ranking'!A$5:A$54,MATCH(2,'Screener &amp; Ranking'!R$5:R$54,0)),"")</f>
        <v/>
      </c>
      <c r="C5" s="29" t="str">
        <f>IFERROR(INDEX('Screener &amp; Ranking'!B$5:B$54,MATCH(2,'Screener &amp; Ranking'!R$5:R$54,0)),"")</f>
        <v/>
      </c>
      <c r="D5" s="29" t="str">
        <f>IFERROR(INDEX('Screener &amp; Ranking'!C$5:C$54,MATCH(2,'Screener &amp; Ranking'!R$5:R$54,0)),"")</f>
        <v/>
      </c>
      <c r="E5" s="30" t="str">
        <f>IFERROR(INDEX('Screener &amp; Ranking'!Q$5:Q$54,MATCH(2,'Screener &amp; Ranking'!R$5:R$54,0)),"")</f>
        <v/>
      </c>
      <c r="F5" s="31" t="str">
        <f>IFERROR(INDEX('Screener &amp; Ranking'!H$5:H$54,MATCH(2,'Screener &amp; Ranking'!R$5:R$54,0)),"")</f>
        <v/>
      </c>
      <c r="G5" s="32" t="str">
        <f>IFERROR(INDEX('Screener &amp; Ranking'!I$5:I$54,MATCH(2,'Screener &amp; Ranking'!R$5:R$54,0)),"")</f>
        <v/>
      </c>
      <c r="H5" s="33" t="str">
        <f>IFERROR(INDEX('Ticker Data'!C$4:C$53,MATCH(2,'Screener &amp; Ranking'!R$5:R$54,0)),"")</f>
        <v/>
      </c>
      <c r="I5" s="33" t="str">
        <f t="shared" si="0"/>
        <v/>
      </c>
      <c r="J5" s="33" t="str">
        <f t="shared" si="1"/>
        <v/>
      </c>
      <c r="K5" s="28" t="str">
        <f t="shared" si="2"/>
        <v/>
      </c>
      <c r="L5" s="28" t="str">
        <f t="shared" si="3"/>
        <v/>
      </c>
      <c r="M5" s="29" t="str">
        <f t="shared" si="4"/>
        <v/>
      </c>
      <c r="N5" s="29" t="str">
        <f t="shared" si="5"/>
        <v/>
      </c>
    </row>
    <row r="6" spans="1:14" ht="19.5" customHeight="1" x14ac:dyDescent="0.25">
      <c r="A6" s="21">
        <f>3</f>
        <v>3</v>
      </c>
      <c r="B6" s="20" t="str">
        <f>IFERROR(INDEX('Screener &amp; Ranking'!A$5:A$54,MATCH(3,'Screener &amp; Ranking'!R$5:R$54,0)),"")</f>
        <v/>
      </c>
      <c r="C6" s="20" t="str">
        <f>IFERROR(INDEX('Screener &amp; Ranking'!B$5:B$54,MATCH(3,'Screener &amp; Ranking'!R$5:R$54,0)),"")</f>
        <v/>
      </c>
      <c r="D6" s="20" t="str">
        <f>IFERROR(INDEX('Screener &amp; Ranking'!C$5:C$54,MATCH(3,'Screener &amp; Ranking'!R$5:R$54,0)),"")</f>
        <v/>
      </c>
      <c r="E6" s="25" t="str">
        <f>IFERROR(INDEX('Screener &amp; Ranking'!Q$5:Q$54,MATCH(3,'Screener &amp; Ranking'!R$5:R$54,0)),"")</f>
        <v/>
      </c>
      <c r="F6" s="22" t="str">
        <f>IFERROR(INDEX('Screener &amp; Ranking'!H$5:H$54,MATCH(3,'Screener &amp; Ranking'!R$5:R$54,0)),"")</f>
        <v/>
      </c>
      <c r="G6" s="23" t="str">
        <f>IFERROR(INDEX('Screener &amp; Ranking'!I$5:I$54,MATCH(3,'Screener &amp; Ranking'!R$5:R$54,0)),"")</f>
        <v/>
      </c>
      <c r="H6" s="27" t="str">
        <f>IFERROR(INDEX('Ticker Data'!C$4:C$53,MATCH(3,'Screener &amp; Ranking'!R$5:R$54,0)),"")</f>
        <v/>
      </c>
      <c r="I6" s="27" t="str">
        <f t="shared" si="0"/>
        <v/>
      </c>
      <c r="J6" s="27" t="str">
        <f t="shared" si="1"/>
        <v/>
      </c>
      <c r="K6" s="21" t="str">
        <f t="shared" si="2"/>
        <v/>
      </c>
      <c r="L6" s="21" t="str">
        <f t="shared" si="3"/>
        <v/>
      </c>
      <c r="M6" s="20" t="str">
        <f t="shared" si="4"/>
        <v/>
      </c>
      <c r="N6" s="20" t="str">
        <f t="shared" si="5"/>
        <v/>
      </c>
    </row>
    <row r="7" spans="1:14" ht="19.5" customHeight="1" x14ac:dyDescent="0.25">
      <c r="A7" s="28">
        <f>4</f>
        <v>4</v>
      </c>
      <c r="B7" s="29" t="str">
        <f>IFERROR(INDEX('Screener &amp; Ranking'!A$5:A$54,MATCH(4,'Screener &amp; Ranking'!R$5:R$54,0)),"")</f>
        <v/>
      </c>
      <c r="C7" s="29" t="str">
        <f>IFERROR(INDEX('Screener &amp; Ranking'!B$5:B$54,MATCH(4,'Screener &amp; Ranking'!R$5:R$54,0)),"")</f>
        <v/>
      </c>
      <c r="D7" s="29" t="str">
        <f>IFERROR(INDEX('Screener &amp; Ranking'!C$5:C$54,MATCH(4,'Screener &amp; Ranking'!R$5:R$54,0)),"")</f>
        <v/>
      </c>
      <c r="E7" s="30" t="str">
        <f>IFERROR(INDEX('Screener &amp; Ranking'!Q$5:Q$54,MATCH(4,'Screener &amp; Ranking'!R$5:R$54,0)),"")</f>
        <v/>
      </c>
      <c r="F7" s="31" t="str">
        <f>IFERROR(INDEX('Screener &amp; Ranking'!H$5:H$54,MATCH(4,'Screener &amp; Ranking'!R$5:R$54,0)),"")</f>
        <v/>
      </c>
      <c r="G7" s="32" t="str">
        <f>IFERROR(INDEX('Screener &amp; Ranking'!I$5:I$54,MATCH(4,'Screener &amp; Ranking'!R$5:R$54,0)),"")</f>
        <v/>
      </c>
      <c r="H7" s="33" t="str">
        <f>IFERROR(INDEX('Ticker Data'!C$4:C$53,MATCH(4,'Screener &amp; Ranking'!R$5:R$54,0)),"")</f>
        <v/>
      </c>
      <c r="I7" s="33" t="str">
        <f t="shared" si="0"/>
        <v/>
      </c>
      <c r="J7" s="33" t="str">
        <f t="shared" si="1"/>
        <v/>
      </c>
      <c r="K7" s="28" t="str">
        <f t="shared" si="2"/>
        <v/>
      </c>
      <c r="L7" s="28" t="str">
        <f t="shared" si="3"/>
        <v/>
      </c>
      <c r="M7" s="29" t="str">
        <f t="shared" si="4"/>
        <v/>
      </c>
      <c r="N7" s="29" t="str">
        <f t="shared" si="5"/>
        <v/>
      </c>
    </row>
    <row r="8" spans="1:14" ht="19.5" customHeight="1" x14ac:dyDescent="0.25">
      <c r="A8" s="21">
        <f>5</f>
        <v>5</v>
      </c>
      <c r="B8" s="20" t="str">
        <f>IFERROR(INDEX('Screener &amp; Ranking'!A$5:A$54,MATCH(5,'Screener &amp; Ranking'!R$5:R$54,0)),"")</f>
        <v/>
      </c>
      <c r="C8" s="20" t="str">
        <f>IFERROR(INDEX('Screener &amp; Ranking'!B$5:B$54,MATCH(5,'Screener &amp; Ranking'!R$5:R$54,0)),"")</f>
        <v/>
      </c>
      <c r="D8" s="20" t="str">
        <f>IFERROR(INDEX('Screener &amp; Ranking'!C$5:C$54,MATCH(5,'Screener &amp; Ranking'!R$5:R$54,0)),"")</f>
        <v/>
      </c>
      <c r="E8" s="25" t="str">
        <f>IFERROR(INDEX('Screener &amp; Ranking'!Q$5:Q$54,MATCH(5,'Screener &amp; Ranking'!R$5:R$54,0)),"")</f>
        <v/>
      </c>
      <c r="F8" s="22" t="str">
        <f>IFERROR(INDEX('Screener &amp; Ranking'!H$5:H$54,MATCH(5,'Screener &amp; Ranking'!R$5:R$54,0)),"")</f>
        <v/>
      </c>
      <c r="G8" s="23" t="str">
        <f>IFERROR(INDEX('Screener &amp; Ranking'!I$5:I$54,MATCH(5,'Screener &amp; Ranking'!R$5:R$54,0)),"")</f>
        <v/>
      </c>
      <c r="H8" s="27" t="str">
        <f>IFERROR(INDEX('Ticker Data'!C$4:C$53,MATCH(5,'Screener &amp; Ranking'!R$5:R$54,0)),"")</f>
        <v/>
      </c>
      <c r="I8" s="27" t="str">
        <f t="shared" si="0"/>
        <v/>
      </c>
      <c r="J8" s="27" t="str">
        <f t="shared" si="1"/>
        <v/>
      </c>
      <c r="K8" s="21" t="str">
        <f t="shared" si="2"/>
        <v/>
      </c>
      <c r="L8" s="21" t="str">
        <f t="shared" si="3"/>
        <v/>
      </c>
      <c r="M8" s="20" t="str">
        <f t="shared" si="4"/>
        <v/>
      </c>
      <c r="N8" s="20" t="str">
        <f t="shared" si="5"/>
        <v/>
      </c>
    </row>
    <row r="9" spans="1:14" ht="19.5" customHeight="1" x14ac:dyDescent="0.25">
      <c r="A9" s="28">
        <f>6</f>
        <v>6</v>
      </c>
      <c r="B9" s="29" t="str">
        <f>IFERROR(INDEX('Screener &amp; Ranking'!A$5:A$54,MATCH(6,'Screener &amp; Ranking'!R$5:R$54,0)),"")</f>
        <v/>
      </c>
      <c r="C9" s="29" t="str">
        <f>IFERROR(INDEX('Screener &amp; Ranking'!B$5:B$54,MATCH(6,'Screener &amp; Ranking'!R$5:R$54,0)),"")</f>
        <v/>
      </c>
      <c r="D9" s="29" t="str">
        <f>IFERROR(INDEX('Screener &amp; Ranking'!C$5:C$54,MATCH(6,'Screener &amp; Ranking'!R$5:R$54,0)),"")</f>
        <v/>
      </c>
      <c r="E9" s="30" t="str">
        <f>IFERROR(INDEX('Screener &amp; Ranking'!Q$5:Q$54,MATCH(6,'Screener &amp; Ranking'!R$5:R$54,0)),"")</f>
        <v/>
      </c>
      <c r="F9" s="31" t="str">
        <f>IFERROR(INDEX('Screener &amp; Ranking'!H$5:H$54,MATCH(6,'Screener &amp; Ranking'!R$5:R$54,0)),"")</f>
        <v/>
      </c>
      <c r="G9" s="32" t="str">
        <f>IFERROR(INDEX('Screener &amp; Ranking'!I$5:I$54,MATCH(6,'Screener &amp; Ranking'!R$5:R$54,0)),"")</f>
        <v/>
      </c>
      <c r="H9" s="33" t="str">
        <f>IFERROR(INDEX('Ticker Data'!C$4:C$53,MATCH(6,'Screener &amp; Ranking'!R$5:R$54,0)),"")</f>
        <v/>
      </c>
      <c r="I9" s="33" t="str">
        <f t="shared" si="0"/>
        <v/>
      </c>
      <c r="J9" s="33" t="str">
        <f t="shared" si="1"/>
        <v/>
      </c>
      <c r="K9" s="28" t="str">
        <f t="shared" si="2"/>
        <v/>
      </c>
      <c r="L9" s="28" t="str">
        <f t="shared" si="3"/>
        <v/>
      </c>
      <c r="M9" s="29" t="str">
        <f t="shared" si="4"/>
        <v/>
      </c>
      <c r="N9" s="29" t="str">
        <f t="shared" si="5"/>
        <v/>
      </c>
    </row>
    <row r="10" spans="1:14" ht="19.5" customHeight="1" x14ac:dyDescent="0.25">
      <c r="A10" s="21">
        <f>7</f>
        <v>7</v>
      </c>
      <c r="B10" s="20" t="str">
        <f>IFERROR(INDEX('Screener &amp; Ranking'!A$5:A$54,MATCH(7,'Screener &amp; Ranking'!R$5:R$54,0)),"")</f>
        <v/>
      </c>
      <c r="C10" s="20" t="str">
        <f>IFERROR(INDEX('Screener &amp; Ranking'!B$5:B$54,MATCH(7,'Screener &amp; Ranking'!R$5:R$54,0)),"")</f>
        <v/>
      </c>
      <c r="D10" s="20" t="str">
        <f>IFERROR(INDEX('Screener &amp; Ranking'!C$5:C$54,MATCH(7,'Screener &amp; Ranking'!R$5:R$54,0)),"")</f>
        <v/>
      </c>
      <c r="E10" s="25" t="str">
        <f>IFERROR(INDEX('Screener &amp; Ranking'!Q$5:Q$54,MATCH(7,'Screener &amp; Ranking'!R$5:R$54,0)),"")</f>
        <v/>
      </c>
      <c r="F10" s="22" t="str">
        <f>IFERROR(INDEX('Screener &amp; Ranking'!H$5:H$54,MATCH(7,'Screener &amp; Ranking'!R$5:R$54,0)),"")</f>
        <v/>
      </c>
      <c r="G10" s="23" t="str">
        <f>IFERROR(INDEX('Screener &amp; Ranking'!I$5:I$54,MATCH(7,'Screener &amp; Ranking'!R$5:R$54,0)),"")</f>
        <v/>
      </c>
      <c r="H10" s="27" t="str">
        <f>IFERROR(INDEX('Ticker Data'!C$4:C$53,MATCH(7,'Screener &amp; Ranking'!R$5:R$54,0)),"")</f>
        <v/>
      </c>
      <c r="I10" s="27" t="str">
        <f t="shared" si="0"/>
        <v/>
      </c>
      <c r="J10" s="27" t="str">
        <f t="shared" si="1"/>
        <v/>
      </c>
      <c r="K10" s="21" t="str">
        <f t="shared" si="2"/>
        <v/>
      </c>
      <c r="L10" s="21" t="str">
        <f t="shared" si="3"/>
        <v/>
      </c>
      <c r="M10" s="20" t="str">
        <f t="shared" si="4"/>
        <v/>
      </c>
      <c r="N10" s="20" t="str">
        <f t="shared" si="5"/>
        <v/>
      </c>
    </row>
    <row r="11" spans="1:14" ht="19.5" customHeight="1" x14ac:dyDescent="0.25">
      <c r="A11" s="28">
        <f>8</f>
        <v>8</v>
      </c>
      <c r="B11" s="29" t="str">
        <f>IFERROR(INDEX('Screener &amp; Ranking'!A$5:A$54,MATCH(8,'Screener &amp; Ranking'!R$5:R$54,0)),"")</f>
        <v/>
      </c>
      <c r="C11" s="29" t="str">
        <f>IFERROR(INDEX('Screener &amp; Ranking'!B$5:B$54,MATCH(8,'Screener &amp; Ranking'!R$5:R$54,0)),"")</f>
        <v/>
      </c>
      <c r="D11" s="29" t="str">
        <f>IFERROR(INDEX('Screener &amp; Ranking'!C$5:C$54,MATCH(8,'Screener &amp; Ranking'!R$5:R$54,0)),"")</f>
        <v/>
      </c>
      <c r="E11" s="30" t="str">
        <f>IFERROR(INDEX('Screener &amp; Ranking'!Q$5:Q$54,MATCH(8,'Screener &amp; Ranking'!R$5:R$54,0)),"")</f>
        <v/>
      </c>
      <c r="F11" s="31" t="str">
        <f>IFERROR(INDEX('Screener &amp; Ranking'!H$5:H$54,MATCH(8,'Screener &amp; Ranking'!R$5:R$54,0)),"")</f>
        <v/>
      </c>
      <c r="G11" s="32" t="str">
        <f>IFERROR(INDEX('Screener &amp; Ranking'!I$5:I$54,MATCH(8,'Screener &amp; Ranking'!R$5:R$54,0)),"")</f>
        <v/>
      </c>
      <c r="H11" s="33" t="str">
        <f>IFERROR(INDEX('Ticker Data'!C$4:C$53,MATCH(8,'Screener &amp; Ranking'!R$5:R$54,0)),"")</f>
        <v/>
      </c>
      <c r="I11" s="33" t="str">
        <f t="shared" si="0"/>
        <v/>
      </c>
      <c r="J11" s="33" t="str">
        <f t="shared" si="1"/>
        <v/>
      </c>
      <c r="K11" s="28" t="str">
        <f t="shared" si="2"/>
        <v/>
      </c>
      <c r="L11" s="28" t="str">
        <f t="shared" si="3"/>
        <v/>
      </c>
      <c r="M11" s="29" t="str">
        <f t="shared" si="4"/>
        <v/>
      </c>
      <c r="N11" s="29" t="str">
        <f t="shared" si="5"/>
        <v/>
      </c>
    </row>
    <row r="12" spans="1:14" ht="19.5" customHeight="1" x14ac:dyDescent="0.25">
      <c r="A12" s="21">
        <f>9</f>
        <v>9</v>
      </c>
      <c r="B12" s="20" t="str">
        <f>IFERROR(INDEX('Screener &amp; Ranking'!A$5:A$54,MATCH(9,'Screener &amp; Ranking'!R$5:R$54,0)),"")</f>
        <v/>
      </c>
      <c r="C12" s="20" t="str">
        <f>IFERROR(INDEX('Screener &amp; Ranking'!B$5:B$54,MATCH(9,'Screener &amp; Ranking'!R$5:R$54,0)),"")</f>
        <v/>
      </c>
      <c r="D12" s="20" t="str">
        <f>IFERROR(INDEX('Screener &amp; Ranking'!C$5:C$54,MATCH(9,'Screener &amp; Ranking'!R$5:R$54,0)),"")</f>
        <v/>
      </c>
      <c r="E12" s="25" t="str">
        <f>IFERROR(INDEX('Screener &amp; Ranking'!Q$5:Q$54,MATCH(9,'Screener &amp; Ranking'!R$5:R$54,0)),"")</f>
        <v/>
      </c>
      <c r="F12" s="22" t="str">
        <f>IFERROR(INDEX('Screener &amp; Ranking'!H$5:H$54,MATCH(9,'Screener &amp; Ranking'!R$5:R$54,0)),"")</f>
        <v/>
      </c>
      <c r="G12" s="23" t="str">
        <f>IFERROR(INDEX('Screener &amp; Ranking'!I$5:I$54,MATCH(9,'Screener &amp; Ranking'!R$5:R$54,0)),"")</f>
        <v/>
      </c>
      <c r="H12" s="27" t="str">
        <f>IFERROR(INDEX('Ticker Data'!C$4:C$53,MATCH(9,'Screener &amp; Ranking'!R$5:R$54,0)),"")</f>
        <v/>
      </c>
      <c r="I12" s="27" t="str">
        <f t="shared" si="0"/>
        <v/>
      </c>
      <c r="J12" s="27" t="str">
        <f t="shared" si="1"/>
        <v/>
      </c>
      <c r="K12" s="21" t="str">
        <f t="shared" si="2"/>
        <v/>
      </c>
      <c r="L12" s="21" t="str">
        <f t="shared" si="3"/>
        <v/>
      </c>
      <c r="M12" s="20" t="str">
        <f t="shared" si="4"/>
        <v/>
      </c>
      <c r="N12" s="20" t="str">
        <f t="shared" si="5"/>
        <v/>
      </c>
    </row>
    <row r="13" spans="1:14" ht="19.5" customHeight="1" x14ac:dyDescent="0.25">
      <c r="A13" s="28">
        <f>10</f>
        <v>10</v>
      </c>
      <c r="B13" s="29" t="str">
        <f>IFERROR(INDEX('Screener &amp; Ranking'!A$5:A$54,MATCH(10,'Screener &amp; Ranking'!R$5:R$54,0)),"")</f>
        <v/>
      </c>
      <c r="C13" s="29" t="str">
        <f>IFERROR(INDEX('Screener &amp; Ranking'!B$5:B$54,MATCH(10,'Screener &amp; Ranking'!R$5:R$54,0)),"")</f>
        <v/>
      </c>
      <c r="D13" s="29" t="str">
        <f>IFERROR(INDEX('Screener &amp; Ranking'!C$5:C$54,MATCH(10,'Screener &amp; Ranking'!R$5:R$54,0)),"")</f>
        <v/>
      </c>
      <c r="E13" s="30" t="str">
        <f>IFERROR(INDEX('Screener &amp; Ranking'!Q$5:Q$54,MATCH(10,'Screener &amp; Ranking'!R$5:R$54,0)),"")</f>
        <v/>
      </c>
      <c r="F13" s="31" t="str">
        <f>IFERROR(INDEX('Screener &amp; Ranking'!H$5:H$54,MATCH(10,'Screener &amp; Ranking'!R$5:R$54,0)),"")</f>
        <v/>
      </c>
      <c r="G13" s="32" t="str">
        <f>IFERROR(INDEX('Screener &amp; Ranking'!I$5:I$54,MATCH(10,'Screener &amp; Ranking'!R$5:R$54,0)),"")</f>
        <v/>
      </c>
      <c r="H13" s="33" t="str">
        <f>IFERROR(INDEX('Ticker Data'!C$4:C$53,MATCH(10,'Screener &amp; Ranking'!R$5:R$54,0)),"")</f>
        <v/>
      </c>
      <c r="I13" s="33" t="str">
        <f t="shared" si="0"/>
        <v/>
      </c>
      <c r="J13" s="33" t="str">
        <f t="shared" si="1"/>
        <v/>
      </c>
      <c r="K13" s="28" t="str">
        <f t="shared" si="2"/>
        <v/>
      </c>
      <c r="L13" s="28" t="str">
        <f t="shared" si="3"/>
        <v/>
      </c>
      <c r="M13" s="29" t="str">
        <f t="shared" si="4"/>
        <v/>
      </c>
      <c r="N13" s="29" t="str">
        <f t="shared" si="5"/>
        <v/>
      </c>
    </row>
    <row r="14" spans="1:14" ht="19.5" customHeight="1" x14ac:dyDescent="0.25">
      <c r="A14" s="21">
        <f>11</f>
        <v>11</v>
      </c>
      <c r="B14" s="20" t="str">
        <f>IFERROR(INDEX('Screener &amp; Ranking'!A$5:A$54,MATCH(11,'Screener &amp; Ranking'!R$5:R$54,0)),"")</f>
        <v/>
      </c>
      <c r="C14" s="20" t="str">
        <f>IFERROR(INDEX('Screener &amp; Ranking'!B$5:B$54,MATCH(11,'Screener &amp; Ranking'!R$5:R$54,0)),"")</f>
        <v/>
      </c>
      <c r="D14" s="20" t="str">
        <f>IFERROR(INDEX('Screener &amp; Ranking'!C$5:C$54,MATCH(11,'Screener &amp; Ranking'!R$5:R$54,0)),"")</f>
        <v/>
      </c>
      <c r="E14" s="25" t="str">
        <f>IFERROR(INDEX('Screener &amp; Ranking'!Q$5:Q$54,MATCH(11,'Screener &amp; Ranking'!R$5:R$54,0)),"")</f>
        <v/>
      </c>
      <c r="F14" s="22" t="str">
        <f>IFERROR(INDEX('Screener &amp; Ranking'!H$5:H$54,MATCH(11,'Screener &amp; Ranking'!R$5:R$54,0)),"")</f>
        <v/>
      </c>
      <c r="G14" s="23" t="str">
        <f>IFERROR(INDEX('Screener &amp; Ranking'!I$5:I$54,MATCH(11,'Screener &amp; Ranking'!R$5:R$54,0)),"")</f>
        <v/>
      </c>
      <c r="H14" s="27" t="str">
        <f>IFERROR(INDEX('Ticker Data'!C$4:C$53,MATCH(11,'Screener &amp; Ranking'!R$5:R$54,0)),"")</f>
        <v/>
      </c>
      <c r="I14" s="27" t="str">
        <f t="shared" si="0"/>
        <v/>
      </c>
      <c r="J14" s="27" t="str">
        <f t="shared" si="1"/>
        <v/>
      </c>
      <c r="K14" s="21" t="str">
        <f t="shared" si="2"/>
        <v/>
      </c>
      <c r="L14" s="21" t="str">
        <f t="shared" si="3"/>
        <v/>
      </c>
      <c r="M14" s="20" t="str">
        <f t="shared" si="4"/>
        <v/>
      </c>
      <c r="N14" s="20" t="str">
        <f t="shared" si="5"/>
        <v/>
      </c>
    </row>
    <row r="15" spans="1:14" ht="19.5" customHeight="1" x14ac:dyDescent="0.25">
      <c r="A15" s="28">
        <f>12</f>
        <v>12</v>
      </c>
      <c r="B15" s="29" t="str">
        <f>IFERROR(INDEX('Screener &amp; Ranking'!A$5:A$54,MATCH(12,'Screener &amp; Ranking'!R$5:R$54,0)),"")</f>
        <v/>
      </c>
      <c r="C15" s="29" t="str">
        <f>IFERROR(INDEX('Screener &amp; Ranking'!B$5:B$54,MATCH(12,'Screener &amp; Ranking'!R$5:R$54,0)),"")</f>
        <v/>
      </c>
      <c r="D15" s="29" t="str">
        <f>IFERROR(INDEX('Screener &amp; Ranking'!C$5:C$54,MATCH(12,'Screener &amp; Ranking'!R$5:R$54,0)),"")</f>
        <v/>
      </c>
      <c r="E15" s="30" t="str">
        <f>IFERROR(INDEX('Screener &amp; Ranking'!Q$5:Q$54,MATCH(12,'Screener &amp; Ranking'!R$5:R$54,0)),"")</f>
        <v/>
      </c>
      <c r="F15" s="31" t="str">
        <f>IFERROR(INDEX('Screener &amp; Ranking'!H$5:H$54,MATCH(12,'Screener &amp; Ranking'!R$5:R$54,0)),"")</f>
        <v/>
      </c>
      <c r="G15" s="32" t="str">
        <f>IFERROR(INDEX('Screener &amp; Ranking'!I$5:I$54,MATCH(12,'Screener &amp; Ranking'!R$5:R$54,0)),"")</f>
        <v/>
      </c>
      <c r="H15" s="33" t="str">
        <f>IFERROR(INDEX('Ticker Data'!C$4:C$53,MATCH(12,'Screener &amp; Ranking'!R$5:R$54,0)),"")</f>
        <v/>
      </c>
      <c r="I15" s="33" t="str">
        <f t="shared" si="0"/>
        <v/>
      </c>
      <c r="J15" s="33" t="str">
        <f t="shared" si="1"/>
        <v/>
      </c>
      <c r="K15" s="28" t="str">
        <f t="shared" si="2"/>
        <v/>
      </c>
      <c r="L15" s="28" t="str">
        <f t="shared" si="3"/>
        <v/>
      </c>
      <c r="M15" s="29" t="str">
        <f t="shared" si="4"/>
        <v/>
      </c>
      <c r="N15" s="29" t="str">
        <f t="shared" si="5"/>
        <v/>
      </c>
    </row>
    <row r="16" spans="1:14" ht="19.5" customHeight="1" x14ac:dyDescent="0.25">
      <c r="A16" s="21">
        <f>13</f>
        <v>13</v>
      </c>
      <c r="B16" s="20" t="str">
        <f>IFERROR(INDEX('Screener &amp; Ranking'!A$5:A$54,MATCH(13,'Screener &amp; Ranking'!R$5:R$54,0)),"")</f>
        <v/>
      </c>
      <c r="C16" s="20" t="str">
        <f>IFERROR(INDEX('Screener &amp; Ranking'!B$5:B$54,MATCH(13,'Screener &amp; Ranking'!R$5:R$54,0)),"")</f>
        <v/>
      </c>
      <c r="D16" s="20" t="str">
        <f>IFERROR(INDEX('Screener &amp; Ranking'!C$5:C$54,MATCH(13,'Screener &amp; Ranking'!R$5:R$54,0)),"")</f>
        <v/>
      </c>
      <c r="E16" s="25" t="str">
        <f>IFERROR(INDEX('Screener &amp; Ranking'!Q$5:Q$54,MATCH(13,'Screener &amp; Ranking'!R$5:R$54,0)),"")</f>
        <v/>
      </c>
      <c r="F16" s="22" t="str">
        <f>IFERROR(INDEX('Screener &amp; Ranking'!H$5:H$54,MATCH(13,'Screener &amp; Ranking'!R$5:R$54,0)),"")</f>
        <v/>
      </c>
      <c r="G16" s="23" t="str">
        <f>IFERROR(INDEX('Screener &amp; Ranking'!I$5:I$54,MATCH(13,'Screener &amp; Ranking'!R$5:R$54,0)),"")</f>
        <v/>
      </c>
      <c r="H16" s="27" t="str">
        <f>IFERROR(INDEX('Ticker Data'!C$4:C$53,MATCH(13,'Screener &amp; Ranking'!R$5:R$54,0)),"")</f>
        <v/>
      </c>
      <c r="I16" s="27" t="str">
        <f t="shared" si="0"/>
        <v/>
      </c>
      <c r="J16" s="27" t="str">
        <f t="shared" si="1"/>
        <v/>
      </c>
      <c r="K16" s="21" t="str">
        <f t="shared" si="2"/>
        <v/>
      </c>
      <c r="L16" s="21" t="str">
        <f t="shared" si="3"/>
        <v/>
      </c>
      <c r="M16" s="20" t="str">
        <f t="shared" si="4"/>
        <v/>
      </c>
      <c r="N16" s="20" t="str">
        <f t="shared" si="5"/>
        <v/>
      </c>
    </row>
    <row r="17" spans="1:14" ht="19.5" customHeight="1" x14ac:dyDescent="0.25">
      <c r="A17" s="28">
        <f>14</f>
        <v>14</v>
      </c>
      <c r="B17" s="29" t="str">
        <f>IFERROR(INDEX('Screener &amp; Ranking'!A$5:A$54,MATCH(14,'Screener &amp; Ranking'!R$5:R$54,0)),"")</f>
        <v/>
      </c>
      <c r="C17" s="29" t="str">
        <f>IFERROR(INDEX('Screener &amp; Ranking'!B$5:B$54,MATCH(14,'Screener &amp; Ranking'!R$5:R$54,0)),"")</f>
        <v/>
      </c>
      <c r="D17" s="29" t="str">
        <f>IFERROR(INDEX('Screener &amp; Ranking'!C$5:C$54,MATCH(14,'Screener &amp; Ranking'!R$5:R$54,0)),"")</f>
        <v/>
      </c>
      <c r="E17" s="30" t="str">
        <f>IFERROR(INDEX('Screener &amp; Ranking'!Q$5:Q$54,MATCH(14,'Screener &amp; Ranking'!R$5:R$54,0)),"")</f>
        <v/>
      </c>
      <c r="F17" s="31" t="str">
        <f>IFERROR(INDEX('Screener &amp; Ranking'!H$5:H$54,MATCH(14,'Screener &amp; Ranking'!R$5:R$54,0)),"")</f>
        <v/>
      </c>
      <c r="G17" s="32" t="str">
        <f>IFERROR(INDEX('Screener &amp; Ranking'!I$5:I$54,MATCH(14,'Screener &amp; Ranking'!R$5:R$54,0)),"")</f>
        <v/>
      </c>
      <c r="H17" s="33" t="str">
        <f>IFERROR(INDEX('Ticker Data'!C$4:C$53,MATCH(14,'Screener &amp; Ranking'!R$5:R$54,0)),"")</f>
        <v/>
      </c>
      <c r="I17" s="33" t="str">
        <f t="shared" si="0"/>
        <v/>
      </c>
      <c r="J17" s="33" t="str">
        <f t="shared" si="1"/>
        <v/>
      </c>
      <c r="K17" s="28" t="str">
        <f t="shared" si="2"/>
        <v/>
      </c>
      <c r="L17" s="28" t="str">
        <f t="shared" si="3"/>
        <v/>
      </c>
      <c r="M17" s="29" t="str">
        <f t="shared" si="4"/>
        <v/>
      </c>
      <c r="N17" s="29" t="str">
        <f t="shared" si="5"/>
        <v/>
      </c>
    </row>
    <row r="18" spans="1:14" ht="19.5" customHeight="1" x14ac:dyDescent="0.25">
      <c r="A18" s="21">
        <f>15</f>
        <v>15</v>
      </c>
      <c r="B18" s="20" t="str">
        <f>IFERROR(INDEX('Screener &amp; Ranking'!A$5:A$54,MATCH(15,'Screener &amp; Ranking'!R$5:R$54,0)),"")</f>
        <v/>
      </c>
      <c r="C18" s="20" t="str">
        <f>IFERROR(INDEX('Screener &amp; Ranking'!B$5:B$54,MATCH(15,'Screener &amp; Ranking'!R$5:R$54,0)),"")</f>
        <v/>
      </c>
      <c r="D18" s="20" t="str">
        <f>IFERROR(INDEX('Screener &amp; Ranking'!C$5:C$54,MATCH(15,'Screener &amp; Ranking'!R$5:R$54,0)),"")</f>
        <v/>
      </c>
      <c r="E18" s="25" t="str">
        <f>IFERROR(INDEX('Screener &amp; Ranking'!Q$5:Q$54,MATCH(15,'Screener &amp; Ranking'!R$5:R$54,0)),"")</f>
        <v/>
      </c>
      <c r="F18" s="22" t="str">
        <f>IFERROR(INDEX('Screener &amp; Ranking'!H$5:H$54,MATCH(15,'Screener &amp; Ranking'!R$5:R$54,0)),"")</f>
        <v/>
      </c>
      <c r="G18" s="23" t="str">
        <f>IFERROR(INDEX('Screener &amp; Ranking'!I$5:I$54,MATCH(15,'Screener &amp; Ranking'!R$5:R$54,0)),"")</f>
        <v/>
      </c>
      <c r="H18" s="27" t="str">
        <f>IFERROR(INDEX('Ticker Data'!C$4:C$53,MATCH(15,'Screener &amp; Ranking'!R$5:R$54,0)),"")</f>
        <v/>
      </c>
      <c r="I18" s="27" t="str">
        <f t="shared" si="0"/>
        <v/>
      </c>
      <c r="J18" s="27" t="str">
        <f t="shared" si="1"/>
        <v/>
      </c>
      <c r="K18" s="21" t="str">
        <f t="shared" si="2"/>
        <v/>
      </c>
      <c r="L18" s="21" t="str">
        <f t="shared" si="3"/>
        <v/>
      </c>
      <c r="M18" s="20" t="str">
        <f t="shared" si="4"/>
        <v/>
      </c>
      <c r="N18" s="20" t="str">
        <f t="shared" si="5"/>
        <v/>
      </c>
    </row>
    <row r="19" spans="1:14" ht="19.5" customHeight="1" x14ac:dyDescent="0.25">
      <c r="A19" s="28">
        <f>16</f>
        <v>16</v>
      </c>
      <c r="B19" s="29" t="str">
        <f>IFERROR(INDEX('Screener &amp; Ranking'!A$5:A$54,MATCH(16,'Screener &amp; Ranking'!R$5:R$54,0)),"")</f>
        <v/>
      </c>
      <c r="C19" s="29" t="str">
        <f>IFERROR(INDEX('Screener &amp; Ranking'!B$5:B$54,MATCH(16,'Screener &amp; Ranking'!R$5:R$54,0)),"")</f>
        <v/>
      </c>
      <c r="D19" s="29" t="str">
        <f>IFERROR(INDEX('Screener &amp; Ranking'!C$5:C$54,MATCH(16,'Screener &amp; Ranking'!R$5:R$54,0)),"")</f>
        <v/>
      </c>
      <c r="E19" s="30" t="str">
        <f>IFERROR(INDEX('Screener &amp; Ranking'!Q$5:Q$54,MATCH(16,'Screener &amp; Ranking'!R$5:R$54,0)),"")</f>
        <v/>
      </c>
      <c r="F19" s="31" t="str">
        <f>IFERROR(INDEX('Screener &amp; Ranking'!H$5:H$54,MATCH(16,'Screener &amp; Ranking'!R$5:R$54,0)),"")</f>
        <v/>
      </c>
      <c r="G19" s="32" t="str">
        <f>IFERROR(INDEX('Screener &amp; Ranking'!I$5:I$54,MATCH(16,'Screener &amp; Ranking'!R$5:R$54,0)),"")</f>
        <v/>
      </c>
      <c r="H19" s="33" t="str">
        <f>IFERROR(INDEX('Ticker Data'!C$4:C$53,MATCH(16,'Screener &amp; Ranking'!R$5:R$54,0)),"")</f>
        <v/>
      </c>
      <c r="I19" s="33" t="str">
        <f t="shared" si="0"/>
        <v/>
      </c>
      <c r="J19" s="33" t="str">
        <f t="shared" si="1"/>
        <v/>
      </c>
      <c r="K19" s="28" t="str">
        <f t="shared" si="2"/>
        <v/>
      </c>
      <c r="L19" s="28" t="str">
        <f t="shared" si="3"/>
        <v/>
      </c>
      <c r="M19" s="29" t="str">
        <f t="shared" si="4"/>
        <v/>
      </c>
      <c r="N19" s="29" t="str">
        <f t="shared" si="5"/>
        <v/>
      </c>
    </row>
    <row r="20" spans="1:14" ht="19.5" customHeight="1" x14ac:dyDescent="0.25">
      <c r="A20" s="21">
        <f>17</f>
        <v>17</v>
      </c>
      <c r="B20" s="20" t="str">
        <f>IFERROR(INDEX('Screener &amp; Ranking'!A$5:A$54,MATCH(17,'Screener &amp; Ranking'!R$5:R$54,0)),"")</f>
        <v/>
      </c>
      <c r="C20" s="20" t="str">
        <f>IFERROR(INDEX('Screener &amp; Ranking'!B$5:B$54,MATCH(17,'Screener &amp; Ranking'!R$5:R$54,0)),"")</f>
        <v/>
      </c>
      <c r="D20" s="20" t="str">
        <f>IFERROR(INDEX('Screener &amp; Ranking'!C$5:C$54,MATCH(17,'Screener &amp; Ranking'!R$5:R$54,0)),"")</f>
        <v/>
      </c>
      <c r="E20" s="25" t="str">
        <f>IFERROR(INDEX('Screener &amp; Ranking'!Q$5:Q$54,MATCH(17,'Screener &amp; Ranking'!R$5:R$54,0)),"")</f>
        <v/>
      </c>
      <c r="F20" s="22" t="str">
        <f>IFERROR(INDEX('Screener &amp; Ranking'!H$5:H$54,MATCH(17,'Screener &amp; Ranking'!R$5:R$54,0)),"")</f>
        <v/>
      </c>
      <c r="G20" s="23" t="str">
        <f>IFERROR(INDEX('Screener &amp; Ranking'!I$5:I$54,MATCH(17,'Screener &amp; Ranking'!R$5:R$54,0)),"")</f>
        <v/>
      </c>
      <c r="H20" s="27" t="str">
        <f>IFERROR(INDEX('Ticker Data'!C$4:C$53,MATCH(17,'Screener &amp; Ranking'!R$5:R$54,0)),"")</f>
        <v/>
      </c>
      <c r="I20" s="27" t="str">
        <f t="shared" si="0"/>
        <v/>
      </c>
      <c r="J20" s="27" t="str">
        <f t="shared" si="1"/>
        <v/>
      </c>
      <c r="K20" s="21" t="str">
        <f t="shared" si="2"/>
        <v/>
      </c>
      <c r="L20" s="21" t="str">
        <f t="shared" si="3"/>
        <v/>
      </c>
      <c r="M20" s="20" t="str">
        <f t="shared" si="4"/>
        <v/>
      </c>
      <c r="N20" s="20" t="str">
        <f t="shared" si="5"/>
        <v/>
      </c>
    </row>
    <row r="21" spans="1:14" ht="19.5" customHeight="1" x14ac:dyDescent="0.25">
      <c r="A21" s="28">
        <f>18</f>
        <v>18</v>
      </c>
      <c r="B21" s="29" t="str">
        <f>IFERROR(INDEX('Screener &amp; Ranking'!A$5:A$54,MATCH(18,'Screener &amp; Ranking'!R$5:R$54,0)),"")</f>
        <v/>
      </c>
      <c r="C21" s="29" t="str">
        <f>IFERROR(INDEX('Screener &amp; Ranking'!B$5:B$54,MATCH(18,'Screener &amp; Ranking'!R$5:R$54,0)),"")</f>
        <v/>
      </c>
      <c r="D21" s="29" t="str">
        <f>IFERROR(INDEX('Screener &amp; Ranking'!C$5:C$54,MATCH(18,'Screener &amp; Ranking'!R$5:R$54,0)),"")</f>
        <v/>
      </c>
      <c r="E21" s="30" t="str">
        <f>IFERROR(INDEX('Screener &amp; Ranking'!Q$5:Q$54,MATCH(18,'Screener &amp; Ranking'!R$5:R$54,0)),"")</f>
        <v/>
      </c>
      <c r="F21" s="31" t="str">
        <f>IFERROR(INDEX('Screener &amp; Ranking'!H$5:H$54,MATCH(18,'Screener &amp; Ranking'!R$5:R$54,0)),"")</f>
        <v/>
      </c>
      <c r="G21" s="32" t="str">
        <f>IFERROR(INDEX('Screener &amp; Ranking'!I$5:I$54,MATCH(18,'Screener &amp; Ranking'!R$5:R$54,0)),"")</f>
        <v/>
      </c>
      <c r="H21" s="33" t="str">
        <f>IFERROR(INDEX('Ticker Data'!C$4:C$53,MATCH(18,'Screener &amp; Ranking'!R$5:R$54,0)),"")</f>
        <v/>
      </c>
      <c r="I21" s="33" t="str">
        <f t="shared" si="0"/>
        <v/>
      </c>
      <c r="J21" s="33" t="str">
        <f t="shared" si="1"/>
        <v/>
      </c>
      <c r="K21" s="28" t="str">
        <f t="shared" si="2"/>
        <v/>
      </c>
      <c r="L21" s="28" t="str">
        <f t="shared" si="3"/>
        <v/>
      </c>
      <c r="M21" s="29" t="str">
        <f t="shared" si="4"/>
        <v/>
      </c>
      <c r="N21" s="29" t="str">
        <f t="shared" si="5"/>
        <v/>
      </c>
    </row>
    <row r="22" spans="1:14" ht="19.5" customHeight="1" x14ac:dyDescent="0.25">
      <c r="A22" s="21">
        <f>19</f>
        <v>19</v>
      </c>
      <c r="B22" s="20" t="str">
        <f>IFERROR(INDEX('Screener &amp; Ranking'!A$5:A$54,MATCH(19,'Screener &amp; Ranking'!R$5:R$54,0)),"")</f>
        <v/>
      </c>
      <c r="C22" s="20" t="str">
        <f>IFERROR(INDEX('Screener &amp; Ranking'!B$5:B$54,MATCH(19,'Screener &amp; Ranking'!R$5:R$54,0)),"")</f>
        <v/>
      </c>
      <c r="D22" s="20" t="str">
        <f>IFERROR(INDEX('Screener &amp; Ranking'!C$5:C$54,MATCH(19,'Screener &amp; Ranking'!R$5:R$54,0)),"")</f>
        <v/>
      </c>
      <c r="E22" s="25" t="str">
        <f>IFERROR(INDEX('Screener &amp; Ranking'!Q$5:Q$54,MATCH(19,'Screener &amp; Ranking'!R$5:R$54,0)),"")</f>
        <v/>
      </c>
      <c r="F22" s="22" t="str">
        <f>IFERROR(INDEX('Screener &amp; Ranking'!H$5:H$54,MATCH(19,'Screener &amp; Ranking'!R$5:R$54,0)),"")</f>
        <v/>
      </c>
      <c r="G22" s="23" t="str">
        <f>IFERROR(INDEX('Screener &amp; Ranking'!I$5:I$54,MATCH(19,'Screener &amp; Ranking'!R$5:R$54,0)),"")</f>
        <v/>
      </c>
      <c r="H22" s="27" t="str">
        <f>IFERROR(INDEX('Ticker Data'!C$4:C$53,MATCH(19,'Screener &amp; Ranking'!R$5:R$54,0)),"")</f>
        <v/>
      </c>
      <c r="I22" s="27" t="str">
        <f t="shared" si="0"/>
        <v/>
      </c>
      <c r="J22" s="27" t="str">
        <f t="shared" si="1"/>
        <v/>
      </c>
      <c r="K22" s="21" t="str">
        <f t="shared" si="2"/>
        <v/>
      </c>
      <c r="L22" s="21" t="str">
        <f t="shared" si="3"/>
        <v/>
      </c>
      <c r="M22" s="20" t="str">
        <f t="shared" si="4"/>
        <v/>
      </c>
      <c r="N22" s="20" t="str">
        <f t="shared" si="5"/>
        <v/>
      </c>
    </row>
    <row r="23" spans="1:14" ht="19.5" customHeight="1" x14ac:dyDescent="0.25">
      <c r="A23" s="28">
        <f>20</f>
        <v>20</v>
      </c>
      <c r="B23" s="29" t="str">
        <f>IFERROR(INDEX('Screener &amp; Ranking'!A$5:A$54,MATCH(20,'Screener &amp; Ranking'!R$5:R$54,0)),"")</f>
        <v/>
      </c>
      <c r="C23" s="29" t="str">
        <f>IFERROR(INDEX('Screener &amp; Ranking'!B$5:B$54,MATCH(20,'Screener &amp; Ranking'!R$5:R$54,0)),"")</f>
        <v/>
      </c>
      <c r="D23" s="29" t="str">
        <f>IFERROR(INDEX('Screener &amp; Ranking'!C$5:C$54,MATCH(20,'Screener &amp; Ranking'!R$5:R$54,0)),"")</f>
        <v/>
      </c>
      <c r="E23" s="30" t="str">
        <f>IFERROR(INDEX('Screener &amp; Ranking'!Q$5:Q$54,MATCH(20,'Screener &amp; Ranking'!R$5:R$54,0)),"")</f>
        <v/>
      </c>
      <c r="F23" s="31" t="str">
        <f>IFERROR(INDEX('Screener &amp; Ranking'!H$5:H$54,MATCH(20,'Screener &amp; Ranking'!R$5:R$54,0)),"")</f>
        <v/>
      </c>
      <c r="G23" s="32" t="str">
        <f>IFERROR(INDEX('Screener &amp; Ranking'!I$5:I$54,MATCH(20,'Screener &amp; Ranking'!R$5:R$54,0)),"")</f>
        <v/>
      </c>
      <c r="H23" s="33" t="str">
        <f>IFERROR(INDEX('Ticker Data'!C$4:C$53,MATCH(20,'Screener &amp; Ranking'!R$5:R$54,0)),"")</f>
        <v/>
      </c>
      <c r="I23" s="33" t="str">
        <f t="shared" si="0"/>
        <v/>
      </c>
      <c r="J23" s="33" t="str">
        <f t="shared" si="1"/>
        <v/>
      </c>
      <c r="K23" s="28" t="str">
        <f t="shared" si="2"/>
        <v/>
      </c>
      <c r="L23" s="28" t="str">
        <f t="shared" si="3"/>
        <v/>
      </c>
      <c r="M23" s="29" t="str">
        <f t="shared" si="4"/>
        <v/>
      </c>
      <c r="N23" s="29" t="str">
        <f t="shared" si="5"/>
        <v/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Strategy Parameters</vt:lpstr>
      <vt:lpstr>Ticker Data</vt:lpstr>
      <vt:lpstr>Screener &amp; Ranking</vt:lpstr>
      <vt:lpstr>Top 20 Signals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Ameet Talwadker</cp:lastModifiedBy>
  <cp:revision>0</cp:revision>
  <dcterms:created xsi:type="dcterms:W3CDTF">2026-04-22T09:43:58Z</dcterms:created>
  <dcterms:modified xsi:type="dcterms:W3CDTF">2026-04-22T09:54:02Z</dcterms:modified>
  <dc:language>en-US</dc:language>
</cp:coreProperties>
</file>