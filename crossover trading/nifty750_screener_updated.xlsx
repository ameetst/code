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1" autoFilterDateGrouping="1"/>
  </bookViews>
  <sheets>
    <sheet xmlns:r="http://schemas.openxmlformats.org/officeDocument/2006/relationships" name="Strategy Parameters" sheetId="1" state="visible" r:id="rId1"/>
    <sheet xmlns:r="http://schemas.openxmlformats.org/officeDocument/2006/relationships" name="Ticker Data" sheetId="2" state="visible" r:id="rId2"/>
    <sheet xmlns:r="http://schemas.openxmlformats.org/officeDocument/2006/relationships" name="Screener &amp; Ranking" sheetId="3" state="visible" r:id="rId3"/>
    <sheet xmlns:r="http://schemas.openxmlformats.org/officeDocument/2006/relationships" name="Top 20 Signals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\x"/>
    <numFmt numFmtId="166" formatCode="0.0"/>
  </numFmts>
  <fonts count="12">
    <font>
      <name val="Calibri"/>
      <charset val="1"/>
      <family val="2"/>
      <color theme="1"/>
      <sz val="11"/>
    </font>
    <font>
      <name val="Arial"/>
      <charset val="1"/>
      <b val="1"/>
      <color rgb="FFFFFFFF"/>
      <sz val="14"/>
    </font>
    <font>
      <name val="Arial"/>
      <charset val="1"/>
      <b val="1"/>
      <color rgb="FFFFFFFF"/>
      <sz val="10"/>
    </font>
    <font>
      <name val="Arial"/>
      <charset val="1"/>
      <color rgb="FF000000"/>
      <sz val="10"/>
    </font>
    <font>
      <name val="Arial"/>
      <charset val="1"/>
      <color rgb="FF0000FF"/>
      <sz val="10"/>
    </font>
    <font>
      <name val="Arial"/>
      <charset val="1"/>
      <i val="1"/>
      <color rgb="FFAAAAAA"/>
      <sz val="9"/>
    </font>
    <font>
      <name val="Arial"/>
      <charset val="1"/>
      <b val="1"/>
      <color rgb="FFFFFFFF"/>
      <sz val="9"/>
    </font>
    <font>
      <name val="Arial"/>
      <charset val="1"/>
      <sz val="10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i val="1"/>
      <color rgb="00555555"/>
      <sz val="9"/>
    </font>
  </fonts>
  <fills count="20">
    <fill>
      <patternFill/>
    </fill>
    <fill>
      <patternFill patternType="gray125"/>
    </fill>
    <fill>
      <patternFill patternType="solid">
        <fgColor rgb="FF1E2A3A"/>
        <bgColor rgb="FF2C3E50"/>
      </patternFill>
    </fill>
    <fill>
      <patternFill patternType="solid">
        <fgColor rgb="FF2E4057"/>
        <bgColor rgb="FF2C3E50"/>
      </patternFill>
    </fill>
    <fill>
      <patternFill patternType="solid">
        <fgColor rgb="FFFFFFFF"/>
        <bgColor rgb="FFFFF9E6"/>
      </patternFill>
    </fill>
    <fill>
      <patternFill patternType="solid">
        <fgColor rgb="FFE8F0F7"/>
        <bgColor rgb="FFF5F5DC"/>
      </patternFill>
    </fill>
    <fill>
      <patternFill patternType="solid">
        <fgColor rgb="FFFFF9E6"/>
        <bgColor rgb="FFF5F5DC"/>
      </patternFill>
    </fill>
    <fill>
      <patternFill patternType="solid">
        <fgColor rgb="FF2C3E50"/>
        <bgColor rgb="FF2E4057"/>
      </patternFill>
    </fill>
    <fill>
      <patternFill patternType="solid">
        <fgColor rgb="FF1A5276"/>
        <bgColor rgb="FF2E4057"/>
      </patternFill>
    </fill>
    <fill>
      <patternFill patternType="solid">
        <fgColor rgb="FF145A32"/>
        <bgColor rgb="FF1A5276"/>
      </patternFill>
    </fill>
    <fill>
      <patternFill patternType="solid">
        <fgColor rgb="FF6E2F8E"/>
        <bgColor rgb="FF993366"/>
      </patternFill>
    </fill>
    <fill>
      <patternFill patternType="solid">
        <fgColor rgb="FF7D6608"/>
        <bgColor rgb="FF555555"/>
      </patternFill>
    </fill>
    <fill>
      <patternFill patternType="solid">
        <fgColor rgb="FF922B21"/>
        <bgColor rgb="FF993366"/>
      </patternFill>
    </fill>
    <fill>
      <patternFill patternType="solid">
        <fgColor rgb="FFF5F5DC"/>
        <bgColor rgb="FFFFF9E6"/>
      </patternFill>
    </fill>
    <fill>
      <patternFill patternType="solid">
        <fgColor rgb="00E8F8EF"/>
      </patternFill>
    </fill>
    <fill>
      <patternFill patternType="solid">
        <fgColor rgb="001E2A3A"/>
      </patternFill>
    </fill>
    <fill>
      <patternFill patternType="solid">
        <fgColor rgb="002E4057"/>
      </patternFill>
    </fill>
    <fill>
      <patternFill patternType="solid">
        <fgColor rgb="005D4037"/>
      </patternFill>
    </fill>
    <fill>
      <patternFill patternType="solid">
        <fgColor rgb="002E7D32"/>
      </patternFill>
    </fill>
    <fill>
      <patternFill patternType="solid">
        <fgColor rgb="00F0F4F8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6" fillId="12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/>
    </xf>
    <xf numFmtId="166" fontId="7" fillId="13" borderId="1" applyAlignment="1" pivotButton="0" quotePrefix="0" xfId="0">
      <alignment horizontal="center" vertical="center"/>
    </xf>
    <xf numFmtId="164" fontId="7" fillId="13" borderId="1" applyAlignment="1" pivotButton="0" quotePrefix="0" xfId="0">
      <alignment horizontal="center" vertical="center"/>
    </xf>
    <xf numFmtId="165" fontId="7" fillId="13" borderId="1" applyAlignment="1" pivotButton="0" quotePrefix="0" xfId="0">
      <alignment horizontal="center" vertical="center"/>
    </xf>
    <xf numFmtId="4" fontId="7" fillId="1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4" fontId="8" fillId="14" borderId="2" applyAlignment="1" pivotButton="0" quotePrefix="0" xfId="0">
      <alignment horizontal="center" vertical="center"/>
    </xf>
    <xf numFmtId="3" fontId="8" fillId="14" borderId="2" applyAlignment="1" pivotButton="0" quotePrefix="0" xfId="0">
      <alignment horizontal="center" vertical="center"/>
    </xf>
    <xf numFmtId="2" fontId="8" fillId="14" borderId="2" applyAlignment="1" pivotButton="0" quotePrefix="0" xfId="0">
      <alignment horizontal="center" vertical="center"/>
    </xf>
    <xf numFmtId="0" fontId="9" fillId="15" borderId="0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 wrapText="1"/>
    </xf>
    <xf numFmtId="0" fontId="10" fillId="17" borderId="2" applyAlignment="1" pivotButton="0" quotePrefix="0" xfId="0">
      <alignment horizontal="center" vertical="center" wrapText="1"/>
    </xf>
    <xf numFmtId="0" fontId="10" fillId="18" borderId="2" applyAlignment="1" pivotButton="0" quotePrefix="0" xfId="0">
      <alignment horizontal="center" vertical="center" wrapText="1"/>
    </xf>
    <xf numFmtId="0" fontId="11" fillId="19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A32"/>
      <rgbColor rgb="FF000080"/>
      <rgbColor rgb="FF7D6608"/>
      <rgbColor rgb="FF800080"/>
      <rgbColor rgb="FF008080"/>
      <rgbColor rgb="FFCCCCCC"/>
      <rgbColor rgb="FF808080"/>
      <rgbColor rgb="FF9999FF"/>
      <rgbColor rgb="FF6E2F8E"/>
      <rgbColor rgb="FFFFF9E6"/>
      <rgbColor rgb="FFE8F0F7"/>
      <rgbColor rgb="FF660066"/>
      <rgbColor rgb="FFFF8080"/>
      <rgbColor rgb="FF1A527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5F5D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1E2A3A"/>
      <rgbColor rgb="FF339966"/>
      <rgbColor rgb="FF003300"/>
      <rgbColor rgb="FF333300"/>
      <rgbColor rgb="FF922B21"/>
      <rgbColor rgb="FF993366"/>
      <rgbColor rgb="FF2E4057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zoomScaleNormal="100" workbookViewId="0">
      <selection activeCell="G7" sqref="G7"/>
    </sheetView>
  </sheetViews>
  <sheetFormatPr baseColWidth="8" defaultColWidth="8.7109375" defaultRowHeight="15"/>
  <cols>
    <col width="30" customWidth="1" min="1" max="1"/>
    <col width="20" customWidth="1" min="2" max="2"/>
    <col width="45" customWidth="1" min="3" max="3"/>
  </cols>
  <sheetData>
    <row r="1" ht="34.5" customHeight="1">
      <c r="A1" s="8" t="inlineStr">
        <is>
          <t>⚙  STRATEGY PARAMETERS &amp; ASSUMPTIONS</t>
        </is>
      </c>
    </row>
    <row r="2" ht="19.5" customHeight="1">
      <c r="A2" s="9" t="inlineStr">
        <is>
          <t>FILTER RULES</t>
        </is>
      </c>
      <c r="B2" s="10" t="n"/>
      <c r="C2" s="9" t="n"/>
    </row>
    <row r="3" ht="19.5" customHeight="1">
      <c r="A3" s="11" t="inlineStr">
        <is>
          <t>Trend Filter</t>
        </is>
      </c>
      <c r="B3" s="12" t="inlineStr">
        <is>
          <t>Price &gt; 50 EMA &gt; 200 EMA &gt; 0</t>
        </is>
      </c>
      <c r="C3" s="11" t="inlineStr">
        <is>
          <t>All three must hold simultaneously</t>
        </is>
      </c>
    </row>
    <row r="4" ht="19.5" customHeight="1">
      <c r="A4" s="13" t="inlineStr">
        <is>
          <t>52W High Proximity</t>
        </is>
      </c>
      <c r="B4" s="14" t="inlineStr">
        <is>
          <t>Price ≥ 52W High × 0.85</t>
        </is>
      </c>
      <c r="C4" s="13" t="inlineStr">
        <is>
          <t>Within 15% of 52-week high</t>
        </is>
      </c>
    </row>
    <row r="5" ht="19.5" customHeight="1">
      <c r="A5" s="11" t="inlineStr">
        <is>
          <t>3M Breakout</t>
        </is>
      </c>
      <c r="B5" s="12" t="inlineStr">
        <is>
          <t>Price ≥ 3M High (65-day)</t>
        </is>
      </c>
      <c r="C5" s="11" t="inlineStr">
        <is>
          <t>Price making a new 65-day high</t>
        </is>
      </c>
    </row>
    <row r="6" ht="19.5" customHeight="1">
      <c r="A6" s="13" t="inlineStr">
        <is>
          <t>Volume Surge</t>
        </is>
      </c>
      <c r="B6" s="14" t="inlineStr">
        <is>
          <t>1M Median Vol &gt; 3M Median Vol</t>
        </is>
      </c>
      <c r="C6" s="13" t="inlineStr">
        <is>
          <t>Rising accumulation confirmation</t>
        </is>
      </c>
    </row>
    <row r="7" ht="19.5" customHeight="1">
      <c r="A7" s="11" t="n"/>
      <c r="B7" s="12" t="n"/>
      <c r="C7" s="11" t="n"/>
    </row>
    <row r="8" ht="19.5" customHeight="1">
      <c r="A8" s="9" t="inlineStr">
        <is>
          <t>RANKING WEIGHTS</t>
        </is>
      </c>
      <c r="B8" s="10" t="n"/>
      <c r="C8" s="9" t="n"/>
    </row>
    <row r="9" ht="19.5" customHeight="1">
      <c r="A9" s="11" t="inlineStr">
        <is>
          <t>3M Momentum</t>
        </is>
      </c>
      <c r="B9" s="12" t="inlineStr">
        <is>
          <t>30%</t>
        </is>
      </c>
      <c r="C9" s="11" t="inlineStr">
        <is>
          <t>Percentile rank of 3-month return</t>
        </is>
      </c>
    </row>
    <row r="10" ht="19.5" customHeight="1">
      <c r="A10" s="13" t="inlineStr">
        <is>
          <t>Volume Surge Ratio</t>
        </is>
      </c>
      <c r="B10" s="14" t="inlineStr">
        <is>
          <t>25%</t>
        </is>
      </c>
      <c r="C10" s="13" t="inlineStr">
        <is>
          <t>Percentile rank of 1M/3M volume ratio</t>
        </is>
      </c>
    </row>
    <row r="11" ht="19.5" customHeight="1">
      <c r="A11" s="11" t="inlineStr">
        <is>
          <t>Breakout Strength</t>
        </is>
      </c>
      <c r="B11" s="12" t="inlineStr">
        <is>
          <t>25%</t>
        </is>
      </c>
      <c r="C11" s="11" t="inlineStr">
        <is>
          <t>Percentile rank of (Price−3M High)/3M High</t>
        </is>
      </c>
    </row>
    <row r="12" ht="19.5" customHeight="1">
      <c r="A12" s="13" t="inlineStr">
        <is>
          <t>EMA Separation</t>
        </is>
      </c>
      <c r="B12" s="14" t="inlineStr">
        <is>
          <t>20%</t>
        </is>
      </c>
      <c r="C12" s="13" t="inlineStr">
        <is>
          <t>Percentile rank of (Price−50EMA)/50EMA</t>
        </is>
      </c>
    </row>
    <row r="13" ht="19.5" customHeight="1">
      <c r="A13" s="11" t="n"/>
      <c r="B13" s="12" t="n"/>
      <c r="C13" s="11" t="n"/>
    </row>
    <row r="14" ht="19.5" customHeight="1">
      <c r="A14" s="9" t="inlineStr">
        <is>
          <t>TRADE MANAGEMENT</t>
        </is>
      </c>
      <c r="B14" s="10" t="n"/>
      <c r="C14" s="9" t="n"/>
    </row>
    <row r="15" ht="19.5" customHeight="1">
      <c r="A15" s="11" t="inlineStr">
        <is>
          <t>Universe</t>
        </is>
      </c>
      <c r="B15" s="12" t="inlineStr">
        <is>
          <t>Nifty 750</t>
        </is>
      </c>
      <c r="C15" s="11" t="inlineStr">
        <is>
          <t>NSE listed Nifty 750 stocks</t>
        </is>
      </c>
    </row>
    <row r="16" ht="19.5" customHeight="1">
      <c r="A16" s="13" t="inlineStr">
        <is>
          <t>Entry Day &amp; Time</t>
        </is>
      </c>
      <c r="B16" s="14" t="inlineStr">
        <is>
          <t>Every Monday at 3:00 PM</t>
        </is>
      </c>
      <c r="C16" s="13" t="inlineStr">
        <is>
          <t>Market order near close</t>
        </is>
      </c>
    </row>
    <row r="17" ht="19.5" customHeight="1">
      <c r="A17" s="11" t="inlineStr">
        <is>
          <t>Max Positions</t>
        </is>
      </c>
      <c r="B17" s="12" t="inlineStr">
        <is>
          <t>20</t>
        </is>
      </c>
      <c r="C17" s="11" t="inlineStr">
        <is>
          <t>Equal weight allocation</t>
        </is>
      </c>
    </row>
    <row r="18" ht="19.5" customHeight="1">
      <c r="A18" s="13" t="inlineStr">
        <is>
          <t>Position Size</t>
        </is>
      </c>
      <c r="B18" s="14" t="inlineStr">
        <is>
          <t>Portfolio ÷ 20</t>
        </is>
      </c>
      <c r="C18" s="13" t="inlineStr">
        <is>
          <t>Equal weight per trade</t>
        </is>
      </c>
    </row>
    <row r="19" ht="19.5" customHeight="1">
      <c r="A19" s="11" t="inlineStr">
        <is>
          <t>Trailing Stop Loss</t>
        </is>
      </c>
      <c r="B19" s="12" t="inlineStr">
        <is>
          <t>Entry Price × 0.95</t>
        </is>
      </c>
      <c r="C19" s="11" t="inlineStr">
        <is>
          <t>5% TSL from entry</t>
        </is>
      </c>
    </row>
    <row r="20" ht="19.5" customHeight="1">
      <c r="A20" s="13" t="inlineStr">
        <is>
          <t>Profit Target</t>
        </is>
      </c>
      <c r="B20" s="14" t="inlineStr">
        <is>
          <t>Entry Price × 1.10</t>
        </is>
      </c>
      <c r="C20" s="13" t="inlineStr">
        <is>
          <t>10% target per trade</t>
        </is>
      </c>
    </row>
    <row r="21" ht="19.5" customHeight="1">
      <c r="A21" s="11" t="inlineStr">
        <is>
          <t>Max Holding Period</t>
        </is>
      </c>
      <c r="B21" s="12" t="inlineStr">
        <is>
          <t>1 Calendar Month</t>
        </is>
      </c>
      <c r="C21" s="11" t="inlineStr">
        <is>
          <t>Exit regardless on month-end</t>
        </is>
      </c>
    </row>
    <row r="22" ht="19.5" customHeight="1">
      <c r="A22" s="13" t="inlineStr">
        <is>
          <t>Re-entry</t>
        </is>
      </c>
      <c r="B22" s="14" t="inlineStr">
        <is>
          <t>Allowed next Monday</t>
        </is>
      </c>
      <c r="C22" s="13" t="inlineStr">
        <is>
          <t>If stock re-qualifies after stop-out</t>
        </is>
      </c>
    </row>
  </sheetData>
  <mergeCells count="1">
    <mergeCell ref="A1:C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53"/>
  <sheetViews>
    <sheetView showGridLines="0" tabSelected="1" zoomScaleNormal="100" workbookViewId="0">
      <pane ySplit="3" topLeftCell="A41" activePane="bottomLeft" state="frozen"/>
      <selection pane="bottomLeft" activeCell="B14" sqref="B14"/>
    </sheetView>
  </sheetViews>
  <sheetFormatPr baseColWidth="8" defaultColWidth="8.7109375" defaultRowHeight="15"/>
  <cols>
    <col width="13.7109375" bestFit="1" customWidth="1" style="35" min="1" max="1"/>
    <col width="22" customWidth="1" min="2" max="2"/>
    <col width="13" customWidth="1" min="3" max="3"/>
    <col width="11" customWidth="1" min="4" max="6"/>
    <col width="12" customWidth="1" min="7" max="8"/>
    <col width="14" customWidth="1" min="9" max="10"/>
    <col width="13" customWidth="1" min="11" max="11"/>
    <col width="16" customWidth="1" min="12" max="12"/>
  </cols>
  <sheetData>
    <row r="1" ht="34.5" customHeight="1">
      <c r="A1" s="8" t="inlineStr">
        <is>
          <t>📊  NIFTY 750 MOMENTUM SCREENER  —  Ticker Data Input</t>
        </is>
      </c>
    </row>
    <row r="2" ht="18" customHeight="1">
      <c r="A2" s="7" t="inlineStr">
        <is>
          <t>Enter OHLCV and indicator data below. Blue cells = manual inputs. Screener tab auto-calculates signals and ranking.</t>
        </is>
      </c>
    </row>
    <row r="3" ht="30" customHeight="1">
      <c r="A3" s="34" t="inlineStr">
        <is>
          <t>Ticker</t>
        </is>
      </c>
      <c r="B3" s="15" t="inlineStr">
        <is>
          <t>Company Name</t>
        </is>
      </c>
      <c r="C3" s="15" t="inlineStr">
        <is>
          <t>Current Price</t>
        </is>
      </c>
      <c r="D3" s="15" t="inlineStr">
        <is>
          <t>50 EMA</t>
        </is>
      </c>
      <c r="E3" s="15" t="inlineStr">
        <is>
          <t>200 EMA</t>
        </is>
      </c>
      <c r="F3" s="15" t="inlineStr">
        <is>
          <t>52W High</t>
        </is>
      </c>
      <c r="G3" s="15" t="inlineStr">
        <is>
          <t>3M High
(65-day)</t>
        </is>
      </c>
      <c r="H3" s="15" t="inlineStr">
        <is>
          <t>3M Low
(65-day)</t>
        </is>
      </c>
      <c r="I3" s="15" t="inlineStr">
        <is>
          <t>1M Median
Volume</t>
        </is>
      </c>
      <c r="J3" s="15" t="inlineStr">
        <is>
          <t>3M Median
Volume</t>
        </is>
      </c>
      <c r="K3" s="15" t="inlineStr">
        <is>
          <t>3M Return %</t>
        </is>
      </c>
      <c r="L3" s="15" t="inlineStr">
        <is>
          <t>Sector</t>
        </is>
      </c>
    </row>
    <row r="4" ht="18" customHeight="1">
      <c r="A4" s="16" t="inlineStr">
        <is>
          <t>PRSMJOHNSN</t>
        </is>
      </c>
      <c r="B4" s="16" t="inlineStr">
        <is>
          <t>Reliance Industries</t>
        </is>
      </c>
      <c r="C4" s="36" t="n">
        <v>133.23</v>
      </c>
      <c r="D4" s="36" t="n">
        <v>126.72</v>
      </c>
      <c r="E4" s="36" t="n">
        <v>134.15</v>
      </c>
      <c r="F4" s="36" t="n">
        <v>176</v>
      </c>
      <c r="G4" s="36" t="n">
        <v>143.44</v>
      </c>
      <c r="H4" s="36" t="n">
        <v>118.65</v>
      </c>
      <c r="I4" s="37" t="n">
        <v>180813</v>
      </c>
      <c r="J4" s="37" t="n">
        <v>254506</v>
      </c>
      <c r="K4" s="38" t="n">
        <v>3.36</v>
      </c>
      <c r="L4" s="16" t="inlineStr">
        <is>
          <t>Energy</t>
        </is>
      </c>
    </row>
    <row r="5" ht="18" customHeight="1">
      <c r="A5" s="16" t="inlineStr">
        <is>
          <t>CASTROLIND</t>
        </is>
      </c>
      <c r="B5" s="16" t="inlineStr">
        <is>
          <t>Infosys</t>
        </is>
      </c>
      <c r="C5" s="36" t="n">
        <v>183.34</v>
      </c>
      <c r="D5" s="36" t="n">
        <v>180.49</v>
      </c>
      <c r="E5" s="36" t="n">
        <v>187.27</v>
      </c>
      <c r="F5" s="36" t="n">
        <v>222.2</v>
      </c>
      <c r="G5" s="36" t="n">
        <v>184.77</v>
      </c>
      <c r="H5" s="36" t="n">
        <v>173.52</v>
      </c>
      <c r="I5" s="37" t="n">
        <v>1705913</v>
      </c>
      <c r="J5" s="37" t="n">
        <v>1594944</v>
      </c>
      <c r="K5" s="38" t="n">
        <v>0.5600000000000001</v>
      </c>
      <c r="L5" s="16" t="inlineStr">
        <is>
          <t>IT</t>
        </is>
      </c>
    </row>
    <row r="6" ht="18" customHeight="1">
      <c r="A6" s="16" t="inlineStr">
        <is>
          <t>ZYDUSLIFE</t>
        </is>
      </c>
      <c r="B6" s="16" t="inlineStr">
        <is>
          <t>HDFC Bank</t>
        </is>
      </c>
      <c r="C6" s="36" t="n">
        <v>929.9</v>
      </c>
      <c r="D6" s="36" t="n">
        <v>906.87</v>
      </c>
      <c r="E6" s="36" t="n">
        <v>921.92</v>
      </c>
      <c r="F6" s="36" t="n">
        <v>1059.05</v>
      </c>
      <c r="G6" s="36" t="n">
        <v>949.1</v>
      </c>
      <c r="H6" s="36" t="n">
        <v>860.6</v>
      </c>
      <c r="I6" s="37" t="n">
        <v>579363</v>
      </c>
      <c r="J6" s="37" t="n">
        <v>549015</v>
      </c>
      <c r="K6" s="38" t="n">
        <v>5.22</v>
      </c>
      <c r="L6" s="16" t="inlineStr">
        <is>
          <t>Banking</t>
        </is>
      </c>
    </row>
    <row r="7" ht="18" customHeight="1">
      <c r="A7" s="16" t="inlineStr">
        <is>
          <t>ABBOTINDIA</t>
        </is>
      </c>
      <c r="B7" s="16" t="inlineStr">
        <is>
          <t>Tata Consultancy</t>
        </is>
      </c>
      <c r="C7" s="36" t="n">
        <v>25420</v>
      </c>
      <c r="D7" s="36" t="n">
        <v>26482.6</v>
      </c>
      <c r="E7" s="36" t="n">
        <v>28370.31</v>
      </c>
      <c r="F7" s="36" t="n">
        <v>36491.76</v>
      </c>
      <c r="G7" s="36" t="n">
        <v>28490</v>
      </c>
      <c r="H7" s="36" t="n">
        <v>25385</v>
      </c>
      <c r="I7" s="37" t="n">
        <v>9729</v>
      </c>
      <c r="J7" s="37" t="n">
        <v>7695</v>
      </c>
      <c r="K7" s="38" t="n">
        <v>-8.82</v>
      </c>
      <c r="L7" s="16" t="inlineStr">
        <is>
          <t>IT</t>
        </is>
      </c>
    </row>
    <row r="8" ht="18" customHeight="1">
      <c r="A8" s="16" t="inlineStr">
        <is>
          <t>GODIGIT</t>
        </is>
      </c>
      <c r="B8" s="16" t="inlineStr">
        <is>
          <t>ICICI Bank</t>
        </is>
      </c>
      <c r="C8" s="36" t="n">
        <v>321.7</v>
      </c>
      <c r="D8" s="36" t="n">
        <v>326.88</v>
      </c>
      <c r="E8" s="36" t="n">
        <v>334.6</v>
      </c>
      <c r="F8" s="36" t="n">
        <v>381.4</v>
      </c>
      <c r="G8" s="36" t="n">
        <v>350</v>
      </c>
      <c r="H8" s="36" t="n">
        <v>311.85</v>
      </c>
      <c r="I8" s="37" t="n">
        <v>187919</v>
      </c>
      <c r="J8" s="37" t="n">
        <v>226046</v>
      </c>
      <c r="K8" s="38" t="n">
        <v>-5.09</v>
      </c>
      <c r="L8" s="16" t="inlineStr">
        <is>
          <t>Banking</t>
        </is>
      </c>
    </row>
    <row r="9" ht="18" customHeight="1">
      <c r="A9" s="16" t="inlineStr">
        <is>
          <t>LUPIN</t>
        </is>
      </c>
      <c r="B9" s="16" t="inlineStr">
        <is>
          <t>Wipro</t>
        </is>
      </c>
      <c r="C9" s="36" t="n">
        <v>2307.9</v>
      </c>
      <c r="D9" s="36" t="n">
        <v>2277.28</v>
      </c>
      <c r="E9" s="36" t="n">
        <v>2143.65</v>
      </c>
      <c r="F9" s="36" t="n">
        <v>2377.6</v>
      </c>
      <c r="G9" s="36" t="n">
        <v>2377.6</v>
      </c>
      <c r="H9" s="36" t="n">
        <v>2129.4</v>
      </c>
      <c r="I9" s="37" t="n">
        <v>999957</v>
      </c>
      <c r="J9" s="37" t="n">
        <v>932836</v>
      </c>
      <c r="K9" s="38" t="n">
        <v>5.1</v>
      </c>
      <c r="L9" s="16" t="inlineStr">
        <is>
          <t>IT</t>
        </is>
      </c>
    </row>
    <row r="10" ht="18" customHeight="1">
      <c r="A10" s="16" t="inlineStr">
        <is>
          <t>DIVISLAB</t>
        </is>
      </c>
      <c r="B10" s="16" t="inlineStr">
        <is>
          <t>Tata Motors</t>
        </is>
      </c>
      <c r="C10" s="36" t="n">
        <v>6285.5</v>
      </c>
      <c r="D10" s="36" t="n">
        <v>6158.66</v>
      </c>
      <c r="E10" s="36" t="n">
        <v>6247.17</v>
      </c>
      <c r="F10" s="36" t="n">
        <v>7039.45</v>
      </c>
      <c r="G10" s="36" t="n">
        <v>6793</v>
      </c>
      <c r="H10" s="36" t="n">
        <v>5821</v>
      </c>
      <c r="I10" s="37" t="n">
        <v>251355</v>
      </c>
      <c r="J10" s="37" t="n">
        <v>300339</v>
      </c>
      <c r="K10" s="38" t="n">
        <v>-1.1</v>
      </c>
      <c r="L10" s="16" t="inlineStr">
        <is>
          <t>Auto</t>
        </is>
      </c>
    </row>
    <row r="11" ht="18" customHeight="1">
      <c r="A11" s="16" t="inlineStr">
        <is>
          <t>LALPATHLAB</t>
        </is>
      </c>
      <c r="B11" s="16" t="inlineStr">
        <is>
          <t>Axis Bank</t>
        </is>
      </c>
      <c r="C11" s="36" t="n">
        <v>1459.1</v>
      </c>
      <c r="D11" s="36" t="n">
        <v>1389.79</v>
      </c>
      <c r="E11" s="36" t="n">
        <v>1441.86</v>
      </c>
      <c r="F11" s="36" t="n">
        <v>1761.62</v>
      </c>
      <c r="G11" s="36" t="n">
        <v>1474</v>
      </c>
      <c r="H11" s="36" t="n">
        <v>1307.6</v>
      </c>
      <c r="I11" s="37" t="n">
        <v>337894</v>
      </c>
      <c r="J11" s="37" t="n">
        <v>257866</v>
      </c>
      <c r="K11" s="38" t="n">
        <v>3.73</v>
      </c>
      <c r="L11" s="16" t="inlineStr">
        <is>
          <t>Banking</t>
        </is>
      </c>
    </row>
    <row r="12" ht="18" customHeight="1">
      <c r="A12" s="16" t="inlineStr">
        <is>
          <t>NHPC</t>
        </is>
      </c>
      <c r="B12" s="16" t="inlineStr">
        <is>
          <t>Sun Pharma</t>
        </is>
      </c>
      <c r="C12" s="36" t="n">
        <v>82.63</v>
      </c>
      <c r="D12" s="36" t="n">
        <v>77.48999999999999</v>
      </c>
      <c r="E12" s="36" t="n">
        <v>79.15000000000001</v>
      </c>
      <c r="F12" s="36" t="n">
        <v>90.16</v>
      </c>
      <c r="G12" s="36" t="n">
        <v>85.78</v>
      </c>
      <c r="H12" s="36" t="n">
        <v>72.23</v>
      </c>
      <c r="I12" s="37" t="n">
        <v>14949031</v>
      </c>
      <c r="J12" s="37" t="n">
        <v>14584257</v>
      </c>
      <c r="K12" s="38" t="n">
        <v>3.48</v>
      </c>
      <c r="L12" s="16" t="inlineStr">
        <is>
          <t>Pharma</t>
        </is>
      </c>
    </row>
    <row r="13" ht="18" customHeight="1">
      <c r="A13" s="16" t="inlineStr">
        <is>
          <t>GICRE</t>
        </is>
      </c>
      <c r="B13" s="16" t="inlineStr">
        <is>
          <t>Bajaj Finance</t>
        </is>
      </c>
      <c r="C13" s="36" t="n">
        <v>399.3</v>
      </c>
      <c r="D13" s="36" t="n">
        <v>380.86</v>
      </c>
      <c r="E13" s="36" t="n">
        <v>381.47</v>
      </c>
      <c r="F13" s="36" t="n">
        <v>441.62</v>
      </c>
      <c r="G13" s="36" t="n">
        <v>417.95</v>
      </c>
      <c r="H13" s="36" t="n">
        <v>357.3</v>
      </c>
      <c r="I13" s="37" t="n">
        <v>523504</v>
      </c>
      <c r="J13" s="37" t="n">
        <v>404087</v>
      </c>
      <c r="K13" s="38" t="n">
        <v>9.550000000000001</v>
      </c>
      <c r="L13" s="16" t="inlineStr">
        <is>
          <t>NBFC</t>
        </is>
      </c>
    </row>
    <row r="14" ht="18" customHeight="1">
      <c r="A14" s="16" t="inlineStr">
        <is>
          <t>AADHARHFC</t>
        </is>
      </c>
      <c r="B14" s="18" t="n"/>
      <c r="C14" s="36" t="n">
        <v>489.5</v>
      </c>
      <c r="D14" s="36" t="n">
        <v>472.25</v>
      </c>
      <c r="E14" s="36" t="n">
        <v>479.56</v>
      </c>
      <c r="F14" s="36" t="n">
        <v>547.8</v>
      </c>
      <c r="G14" s="36" t="n">
        <v>506.7</v>
      </c>
      <c r="H14" s="36" t="n">
        <v>439.1</v>
      </c>
      <c r="I14" s="37" t="n">
        <v>340024</v>
      </c>
      <c r="J14" s="37" t="n">
        <v>346480</v>
      </c>
      <c r="K14" s="38" t="n">
        <v>2.51</v>
      </c>
      <c r="L14" s="18" t="n"/>
    </row>
    <row r="15" ht="18" customHeight="1">
      <c r="A15" s="16" t="inlineStr">
        <is>
          <t>HSCL</t>
        </is>
      </c>
      <c r="B15" s="18" t="n"/>
      <c r="C15" s="36" t="n">
        <v>523.1</v>
      </c>
      <c r="D15" s="36" t="n">
        <v>467.08</v>
      </c>
      <c r="E15" s="36" t="n">
        <v>464.1</v>
      </c>
      <c r="F15" s="36" t="n">
        <v>534.45</v>
      </c>
      <c r="G15" s="36" t="n">
        <v>525.25</v>
      </c>
      <c r="H15" s="36" t="n">
        <v>438.15</v>
      </c>
      <c r="I15" s="37" t="n">
        <v>3174290</v>
      </c>
      <c r="J15" s="37" t="n">
        <v>1921374</v>
      </c>
      <c r="K15" s="38" t="n">
        <v>11.22</v>
      </c>
      <c r="L15" s="18" t="n"/>
    </row>
    <row r="16" ht="18" customHeight="1">
      <c r="A16" s="16" t="inlineStr">
        <is>
          <t>RELIANCE</t>
        </is>
      </c>
      <c r="B16" s="18" t="n"/>
      <c r="C16" s="36" t="n">
        <v>1362.1</v>
      </c>
      <c r="D16" s="36" t="n">
        <v>1386.45</v>
      </c>
      <c r="E16" s="36" t="n">
        <v>1423.88</v>
      </c>
      <c r="F16" s="36" t="n">
        <v>1611.8</v>
      </c>
      <c r="G16" s="36" t="n">
        <v>1489.5</v>
      </c>
      <c r="H16" s="36" t="n">
        <v>1304.6</v>
      </c>
      <c r="I16" s="37" t="n">
        <v>20725390</v>
      </c>
      <c r="J16" s="37" t="n">
        <v>17167161</v>
      </c>
      <c r="K16" s="38" t="n">
        <v>-6.63</v>
      </c>
      <c r="L16" s="18" t="n"/>
    </row>
    <row r="17" ht="18" customHeight="1">
      <c r="A17" s="16" t="inlineStr">
        <is>
          <t>MARICO</t>
        </is>
      </c>
      <c r="B17" s="18" t="n"/>
      <c r="C17" s="36" t="n">
        <v>772.5</v>
      </c>
      <c r="D17" s="36" t="n">
        <v>757</v>
      </c>
      <c r="E17" s="36" t="n">
        <v>740.47</v>
      </c>
      <c r="F17" s="36" t="n">
        <v>813.5</v>
      </c>
      <c r="G17" s="36" t="n">
        <v>813.5</v>
      </c>
      <c r="H17" s="36" t="n">
        <v>722.4</v>
      </c>
      <c r="I17" s="37" t="n">
        <v>1973962</v>
      </c>
      <c r="J17" s="37" t="n">
        <v>1755248</v>
      </c>
      <c r="K17" s="38" t="n">
        <v>3.03</v>
      </c>
      <c r="L17" s="18" t="n"/>
    </row>
    <row r="18" ht="18" customHeight="1">
      <c r="A18" s="16" t="inlineStr">
        <is>
          <t>STARCEMENT</t>
        </is>
      </c>
      <c r="B18" s="18" t="n"/>
      <c r="C18" s="36" t="n">
        <v>229.92</v>
      </c>
      <c r="D18" s="36" t="n">
        <v>214.79</v>
      </c>
      <c r="E18" s="36" t="n">
        <v>224.57</v>
      </c>
      <c r="F18" s="36" t="n">
        <v>307.54</v>
      </c>
      <c r="G18" s="36" t="n">
        <v>242.33</v>
      </c>
      <c r="H18" s="36" t="n">
        <v>198.17</v>
      </c>
      <c r="I18" s="37" t="n">
        <v>193193</v>
      </c>
      <c r="J18" s="37" t="n">
        <v>220219</v>
      </c>
      <c r="K18" s="38" t="n">
        <v>7.77</v>
      </c>
      <c r="L18" s="18" t="n"/>
    </row>
    <row r="19" ht="18" customHeight="1">
      <c r="A19" s="16" t="inlineStr">
        <is>
          <t>CANHLIFE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</row>
    <row r="20" ht="18" customHeight="1">
      <c r="A20" s="16" t="inlineStr">
        <is>
          <t>PIRAMALFIN</t>
        </is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</row>
    <row r="21" ht="18" customHeight="1">
      <c r="A21" s="16" t="inlineStr">
        <is>
          <t>JLHL</t>
        </is>
      </c>
      <c r="B21" s="18" t="n"/>
      <c r="C21" s="36" t="n">
        <v>1292.2</v>
      </c>
      <c r="D21" s="36" t="n">
        <v>1275.28</v>
      </c>
      <c r="E21" s="36" t="n">
        <v>1366.71</v>
      </c>
      <c r="F21" s="36" t="n">
        <v>1625</v>
      </c>
      <c r="G21" s="36" t="n">
        <v>1399</v>
      </c>
      <c r="H21" s="36" t="n">
        <v>1199.9</v>
      </c>
      <c r="I21" s="37" t="n">
        <v>15540</v>
      </c>
      <c r="J21" s="37" t="n">
        <v>16006</v>
      </c>
      <c r="K21" s="38" t="n">
        <v>-4.62</v>
      </c>
      <c r="L21" s="18" t="n"/>
    </row>
    <row r="22" ht="18" customHeight="1">
      <c r="A22" s="16" t="inlineStr">
        <is>
          <t>ANURAS</t>
        </is>
      </c>
      <c r="B22" s="18" t="n"/>
      <c r="C22" s="36" t="n">
        <v>1343.3</v>
      </c>
      <c r="D22" s="36" t="n">
        <v>1271.21</v>
      </c>
      <c r="E22" s="36" t="n">
        <v>1190.17</v>
      </c>
      <c r="F22" s="36" t="n">
        <v>1407</v>
      </c>
      <c r="G22" s="36" t="n">
        <v>1407</v>
      </c>
      <c r="H22" s="36" t="n">
        <v>1217</v>
      </c>
      <c r="I22" s="37" t="n">
        <v>190053</v>
      </c>
      <c r="J22" s="37" t="n">
        <v>193251</v>
      </c>
      <c r="K22" s="38" t="n">
        <v>1.67</v>
      </c>
      <c r="L22" s="18" t="n"/>
    </row>
    <row r="23" ht="18" customHeight="1">
      <c r="A23" s="16" t="inlineStr">
        <is>
          <t>STARHEALTH</t>
        </is>
      </c>
      <c r="B23" s="18" t="n"/>
      <c r="C23" s="36" t="n">
        <v>508.8</v>
      </c>
      <c r="D23" s="36" t="n">
        <v>469.83</v>
      </c>
      <c r="E23" s="36" t="n">
        <v>456.6</v>
      </c>
      <c r="F23" s="36" t="n">
        <v>534</v>
      </c>
      <c r="G23" s="36" t="n">
        <v>518.4</v>
      </c>
      <c r="H23" s="36" t="n">
        <v>425.15</v>
      </c>
      <c r="I23" s="37" t="n">
        <v>474897</v>
      </c>
      <c r="J23" s="37" t="n">
        <v>358056</v>
      </c>
      <c r="K23" s="38" t="n">
        <v>14.3</v>
      </c>
      <c r="L23" s="18" t="n"/>
    </row>
    <row r="24" ht="18" customHeight="1">
      <c r="A24" s="16" t="inlineStr">
        <is>
          <t>CHAMBLFERT</t>
        </is>
      </c>
      <c r="B24" s="18" t="n"/>
      <c r="C24" s="36" t="n">
        <v>452.3</v>
      </c>
      <c r="D24" s="36" t="n">
        <v>444.97</v>
      </c>
      <c r="E24" s="36" t="n">
        <v>486.29</v>
      </c>
      <c r="F24" s="36" t="n">
        <v>727.39</v>
      </c>
      <c r="G24" s="36" t="n">
        <v>473.8</v>
      </c>
      <c r="H24" s="36" t="n">
        <v>412.25</v>
      </c>
      <c r="I24" s="37" t="n">
        <v>678735</v>
      </c>
      <c r="J24" s="37" t="n">
        <v>774492</v>
      </c>
      <c r="K24" s="38" t="n">
        <v>1.39</v>
      </c>
      <c r="L24" s="18" t="n"/>
    </row>
    <row r="25" ht="18" customHeight="1">
      <c r="A25" s="16" t="inlineStr">
        <is>
          <t>TORNTPHARM</t>
        </is>
      </c>
      <c r="B25" s="18" t="n"/>
      <c r="C25" s="36" t="n">
        <v>4084.6</v>
      </c>
      <c r="D25" s="36" t="n">
        <v>4151.44</v>
      </c>
      <c r="E25" s="36" t="n">
        <v>3852.39</v>
      </c>
      <c r="F25" s="36" t="n">
        <v>4482.9</v>
      </c>
      <c r="G25" s="36" t="n">
        <v>4482.9</v>
      </c>
      <c r="H25" s="36" t="n">
        <v>3903.34</v>
      </c>
      <c r="I25" s="37" t="n">
        <v>362204</v>
      </c>
      <c r="J25" s="37" t="n">
        <v>354702</v>
      </c>
      <c r="K25" s="38" t="n">
        <v>2.72</v>
      </c>
      <c r="L25" s="18" t="n"/>
    </row>
    <row r="26" ht="18" customHeight="1">
      <c r="A26" s="16" t="inlineStr">
        <is>
          <t>BRITANNIA</t>
        </is>
      </c>
      <c r="B26" s="18" t="n"/>
      <c r="C26" s="36" t="n">
        <v>5729.5</v>
      </c>
      <c r="D26" s="36" t="n">
        <v>5753.29</v>
      </c>
      <c r="E26" s="36" t="n">
        <v>5789.03</v>
      </c>
      <c r="F26" s="36" t="n">
        <v>6336</v>
      </c>
      <c r="G26" s="36" t="n">
        <v>6208.5</v>
      </c>
      <c r="H26" s="36" t="n">
        <v>5423</v>
      </c>
      <c r="I26" s="37" t="n">
        <v>378825</v>
      </c>
      <c r="J26" s="37" t="n">
        <v>339513</v>
      </c>
      <c r="K26" s="38" t="n">
        <v>-3</v>
      </c>
      <c r="L26" s="18" t="n"/>
    </row>
    <row r="27" ht="18" customHeight="1">
      <c r="A27" s="16" t="inlineStr">
        <is>
          <t>NESTLEIND</t>
        </is>
      </c>
      <c r="B27" s="18" t="n"/>
      <c r="C27" s="36" t="n">
        <v>1395.8</v>
      </c>
      <c r="D27" s="36" t="n">
        <v>1254.68</v>
      </c>
      <c r="E27" s="36" t="n">
        <v>1238.27</v>
      </c>
      <c r="F27" s="36" t="n">
        <v>1425.2</v>
      </c>
      <c r="G27" s="36" t="n">
        <v>1425.2</v>
      </c>
      <c r="H27" s="36" t="n">
        <v>1166.8</v>
      </c>
      <c r="I27" s="37" t="n">
        <v>1358310</v>
      </c>
      <c r="J27" s="37" t="n">
        <v>1144239</v>
      </c>
      <c r="K27" s="38" t="n">
        <v>7.36</v>
      </c>
      <c r="L27" s="18" t="n"/>
    </row>
    <row r="28" ht="18" customHeight="1">
      <c r="A28" s="16" t="inlineStr">
        <is>
          <t>IRB</t>
        </is>
      </c>
      <c r="B28" s="18" t="n"/>
      <c r="C28" s="36" t="n">
        <v>22.15</v>
      </c>
      <c r="D28" s="36" t="n">
        <v>21.15</v>
      </c>
      <c r="E28" s="36" t="n">
        <v>21.61</v>
      </c>
      <c r="F28" s="36" t="n">
        <v>27.01</v>
      </c>
      <c r="G28" s="36" t="n">
        <v>22.7</v>
      </c>
      <c r="H28" s="36" t="n">
        <v>19.46</v>
      </c>
      <c r="I28" s="37" t="n">
        <v>15070334</v>
      </c>
      <c r="J28" s="37" t="n">
        <v>14703716</v>
      </c>
      <c r="K28" s="38" t="n">
        <v>6.18</v>
      </c>
      <c r="L28" s="18" t="n"/>
    </row>
    <row r="29" ht="18" customHeight="1">
      <c r="A29" s="16" t="inlineStr">
        <is>
          <t>USHAMART</t>
        </is>
      </c>
      <c r="B29" s="18" t="n"/>
      <c r="C29" s="36" t="n">
        <v>444.95</v>
      </c>
      <c r="D29" s="36" t="n">
        <v>422.54</v>
      </c>
      <c r="E29" s="36" t="n">
        <v>406.37</v>
      </c>
      <c r="F29" s="36" t="n">
        <v>497.1</v>
      </c>
      <c r="G29" s="36" t="n">
        <v>454.65</v>
      </c>
      <c r="H29" s="36" t="n">
        <v>387.35</v>
      </c>
      <c r="I29" s="37" t="n">
        <v>286558</v>
      </c>
      <c r="J29" s="37" t="n">
        <v>335650</v>
      </c>
      <c r="K29" s="38" t="n">
        <v>2.46</v>
      </c>
      <c r="L29" s="18" t="n"/>
    </row>
    <row r="30" ht="18" customHeight="1">
      <c r="A30" s="16" t="inlineStr">
        <is>
          <t>IPCALAB</t>
        </is>
      </c>
      <c r="B30" s="18" t="n"/>
      <c r="C30" s="36" t="n">
        <v>1494.8</v>
      </c>
      <c r="D30" s="36" t="n">
        <v>1489.03</v>
      </c>
      <c r="E30" s="36" t="n">
        <v>1443.48</v>
      </c>
      <c r="F30" s="36" t="n">
        <v>1624</v>
      </c>
      <c r="G30" s="36" t="n">
        <v>1624</v>
      </c>
      <c r="H30" s="36" t="n">
        <v>1406.4</v>
      </c>
      <c r="I30" s="37" t="n">
        <v>196016</v>
      </c>
      <c r="J30" s="37" t="n">
        <v>178953</v>
      </c>
      <c r="K30" s="38" t="n">
        <v>-0.86</v>
      </c>
      <c r="L30" s="18" t="n"/>
    </row>
    <row r="31" ht="18" customHeight="1">
      <c r="A31" s="16" t="inlineStr">
        <is>
          <t>BHARTIARTL</t>
        </is>
      </c>
      <c r="B31" s="18" t="n"/>
      <c r="C31" s="36" t="n">
        <v>1829</v>
      </c>
      <c r="D31" s="36" t="n">
        <v>1882.83</v>
      </c>
      <c r="E31" s="36" t="n">
        <v>1937.84</v>
      </c>
      <c r="F31" s="36" t="n">
        <v>2174.5</v>
      </c>
      <c r="G31" s="36" t="n">
        <v>2057</v>
      </c>
      <c r="H31" s="36" t="n">
        <v>1781.9</v>
      </c>
      <c r="I31" s="37" t="n">
        <v>10113053</v>
      </c>
      <c r="J31" s="37" t="n">
        <v>8073518</v>
      </c>
      <c r="K31" s="38" t="n">
        <v>-9.57</v>
      </c>
      <c r="L31" s="18" t="n"/>
    </row>
    <row r="32" ht="18" customHeight="1">
      <c r="A32" s="16" t="inlineStr">
        <is>
          <t>DRREDDY</t>
        </is>
      </c>
      <c r="B32" s="18" t="n"/>
      <c r="C32" s="36" t="n">
        <v>1217</v>
      </c>
      <c r="D32" s="36" t="n">
        <v>1250.14</v>
      </c>
      <c r="E32" s="36" t="n">
        <v>1248.96</v>
      </c>
      <c r="F32" s="36" t="n">
        <v>1371</v>
      </c>
      <c r="G32" s="36" t="n">
        <v>1337.3</v>
      </c>
      <c r="H32" s="36" t="n">
        <v>1157.2</v>
      </c>
      <c r="I32" s="37" t="n">
        <v>2063229</v>
      </c>
      <c r="J32" s="37" t="n">
        <v>1672460</v>
      </c>
      <c r="K32" s="38" t="n">
        <v>2.57</v>
      </c>
      <c r="L32" s="18" t="n"/>
    </row>
    <row r="33" ht="18" customHeight="1">
      <c r="A33" s="16" t="inlineStr">
        <is>
          <t>ALKEM</t>
        </is>
      </c>
      <c r="B33" s="18" t="n"/>
      <c r="C33" s="36" t="n">
        <v>5627</v>
      </c>
      <c r="D33" s="36" t="n">
        <v>5468.63</v>
      </c>
      <c r="E33" s="36" t="n">
        <v>5404.73</v>
      </c>
      <c r="F33" s="36" t="n">
        <v>5886.05</v>
      </c>
      <c r="G33" s="36" t="n">
        <v>5886.05</v>
      </c>
      <c r="H33" s="36" t="n">
        <v>5144.5</v>
      </c>
      <c r="I33" s="37" t="n">
        <v>126039</v>
      </c>
      <c r="J33" s="37" t="n">
        <v>119453</v>
      </c>
      <c r="K33" s="38" t="n">
        <v>-3.26</v>
      </c>
      <c r="L33" s="18" t="n"/>
    </row>
    <row r="34" ht="18" customHeight="1">
      <c r="A34" s="16" t="inlineStr">
        <is>
          <t>NAVINFLUOR</t>
        </is>
      </c>
      <c r="B34" s="18" t="n"/>
      <c r="C34" s="36" t="n">
        <v>6267</v>
      </c>
      <c r="D34" s="36" t="n">
        <v>6181.19</v>
      </c>
      <c r="E34" s="36" t="n">
        <v>5669.17</v>
      </c>
      <c r="F34" s="36" t="n">
        <v>6965</v>
      </c>
      <c r="G34" s="36" t="n">
        <v>6965</v>
      </c>
      <c r="H34" s="36" t="n">
        <v>5801.5</v>
      </c>
      <c r="I34" s="37" t="n">
        <v>148585</v>
      </c>
      <c r="J34" s="37" t="n">
        <v>156288</v>
      </c>
      <c r="K34" s="38" t="n">
        <v>4.66</v>
      </c>
      <c r="L34" s="18" t="n"/>
    </row>
    <row r="35" ht="18" customHeight="1">
      <c r="A35" s="16" t="inlineStr">
        <is>
          <t>JSWDULUX</t>
        </is>
      </c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</row>
    <row r="36" ht="18" customHeight="1">
      <c r="A36" s="16" t="inlineStr">
        <is>
          <t>SUNPHARMA</t>
        </is>
      </c>
      <c r="B36" s="18" t="n"/>
      <c r="C36" s="36" t="n">
        <v>1669.8</v>
      </c>
      <c r="D36" s="36" t="n">
        <v>1720.92</v>
      </c>
      <c r="E36" s="36" t="n">
        <v>1716.54</v>
      </c>
      <c r="F36" s="36" t="n">
        <v>1843</v>
      </c>
      <c r="G36" s="36" t="n">
        <v>1843</v>
      </c>
      <c r="H36" s="36" t="n">
        <v>1579.04</v>
      </c>
      <c r="I36" s="37" t="n">
        <v>3276165</v>
      </c>
      <c r="J36" s="37" t="n">
        <v>2783613</v>
      </c>
      <c r="K36" s="38" t="n">
        <v>-1.18</v>
      </c>
      <c r="L36" s="18" t="n"/>
    </row>
    <row r="37" ht="18" customHeight="1">
      <c r="A37" s="16" t="inlineStr">
        <is>
          <t>BAYERCROP</t>
        </is>
      </c>
      <c r="B37" s="18" t="n"/>
      <c r="C37" s="36" t="n">
        <v>4787.9</v>
      </c>
      <c r="D37" s="36" t="n">
        <v>4678.53</v>
      </c>
      <c r="E37" s="36" t="n">
        <v>4757.32</v>
      </c>
      <c r="F37" s="36" t="n">
        <v>6344.3</v>
      </c>
      <c r="G37" s="36" t="n">
        <v>5063</v>
      </c>
      <c r="H37" s="36" t="n">
        <v>4355.3</v>
      </c>
      <c r="I37" s="37" t="n">
        <v>20650</v>
      </c>
      <c r="J37" s="37" t="n">
        <v>18801</v>
      </c>
      <c r="K37" s="38" t="n">
        <v>8.51</v>
      </c>
      <c r="L37" s="18" t="n"/>
    </row>
    <row r="38" ht="18" customHeight="1">
      <c r="A38" s="16" t="inlineStr">
        <is>
          <t>APOLLOHOSP</t>
        </is>
      </c>
      <c r="B38" s="18" t="n"/>
      <c r="C38" s="36" t="n">
        <v>7662</v>
      </c>
      <c r="D38" s="36" t="n">
        <v>7483.6</v>
      </c>
      <c r="E38" s="36" t="n">
        <v>7376.5</v>
      </c>
      <c r="F38" s="36" t="n">
        <v>8088.76</v>
      </c>
      <c r="G38" s="36" t="n">
        <v>7870.5</v>
      </c>
      <c r="H38" s="36" t="n">
        <v>6784.49</v>
      </c>
      <c r="I38" s="37" t="n">
        <v>416753</v>
      </c>
      <c r="J38" s="37" t="n">
        <v>431623</v>
      </c>
      <c r="K38" s="38" t="n">
        <v>5.5</v>
      </c>
      <c r="L38" s="18" t="n"/>
    </row>
    <row r="39" ht="18" customHeight="1">
      <c r="A39" s="16" t="inlineStr">
        <is>
          <t>PFIZER</t>
        </is>
      </c>
      <c r="B39" s="18" t="n"/>
      <c r="C39" s="36" t="n">
        <v>4764.1</v>
      </c>
      <c r="D39" s="36" t="n">
        <v>4835.82</v>
      </c>
      <c r="E39" s="36" t="n">
        <v>4891.25</v>
      </c>
      <c r="F39" s="36" t="n">
        <v>5873.5</v>
      </c>
      <c r="G39" s="36" t="n">
        <v>5257</v>
      </c>
      <c r="H39" s="36" t="n">
        <v>4551</v>
      </c>
      <c r="I39" s="37" t="n">
        <v>14382</v>
      </c>
      <c r="J39" s="37" t="n">
        <v>12221</v>
      </c>
      <c r="K39" s="38" t="n">
        <v>-1.15</v>
      </c>
      <c r="L39" s="18" t="n"/>
    </row>
    <row r="40" ht="18" customHeight="1">
      <c r="A40" s="16" t="inlineStr">
        <is>
          <t>COALINDIA</t>
        </is>
      </c>
      <c r="B40" s="18" t="n"/>
      <c r="C40" s="36" t="n">
        <v>444.15</v>
      </c>
      <c r="D40" s="36" t="n">
        <v>438.42</v>
      </c>
      <c r="E40" s="36" t="n">
        <v>405.83</v>
      </c>
      <c r="F40" s="36" t="n">
        <v>476</v>
      </c>
      <c r="G40" s="36" t="n">
        <v>476</v>
      </c>
      <c r="H40" s="36" t="n">
        <v>403.61</v>
      </c>
      <c r="I40" s="37" t="n">
        <v>11316785</v>
      </c>
      <c r="J40" s="37" t="n">
        <v>9618062</v>
      </c>
      <c r="K40" s="38" t="n">
        <v>4.12</v>
      </c>
      <c r="L40" s="18" t="n"/>
    </row>
    <row r="41" ht="18" customHeight="1">
      <c r="A41" s="16" t="inlineStr">
        <is>
          <t>THELEELA</t>
        </is>
      </c>
      <c r="B41" s="18" t="n"/>
      <c r="C41" s="36" t="n">
        <v>432.55</v>
      </c>
      <c r="D41" s="36" t="n">
        <v>425.15</v>
      </c>
      <c r="E41" s="36" t="n">
        <v>426.35</v>
      </c>
      <c r="F41" s="36" t="n">
        <v>474.4</v>
      </c>
      <c r="G41" s="36" t="n">
        <v>471</v>
      </c>
      <c r="H41" s="36" t="n">
        <v>393.75</v>
      </c>
      <c r="I41" s="37" t="n">
        <v>173548</v>
      </c>
      <c r="J41" s="37" t="n">
        <v>202434</v>
      </c>
      <c r="K41" s="38" t="n">
        <v>-1.6</v>
      </c>
      <c r="L41" s="18" t="n"/>
    </row>
    <row r="42" ht="18" customHeight="1">
      <c r="A42" s="16" t="inlineStr">
        <is>
          <t>JSWSTEEL</t>
        </is>
      </c>
      <c r="B42" s="18" t="n"/>
      <c r="C42" s="36" t="n">
        <v>1263.4</v>
      </c>
      <c r="D42" s="36" t="n">
        <v>1197.25</v>
      </c>
      <c r="E42" s="36" t="n">
        <v>1149.98</v>
      </c>
      <c r="F42" s="36" t="n">
        <v>1296.4</v>
      </c>
      <c r="G42" s="36" t="n">
        <v>1296.4</v>
      </c>
      <c r="H42" s="36" t="n">
        <v>1109.6</v>
      </c>
      <c r="I42" s="37" t="n">
        <v>2383883</v>
      </c>
      <c r="J42" s="37" t="n">
        <v>1760476</v>
      </c>
      <c r="K42" s="38" t="n">
        <v>6.9</v>
      </c>
      <c r="L42" s="18" t="n"/>
    </row>
    <row r="43" ht="18" customHeight="1">
      <c r="A43" s="16" t="inlineStr">
        <is>
          <t>BAJAJ-AUTO</t>
        </is>
      </c>
      <c r="B43" s="18" t="n"/>
      <c r="C43" s="36" t="n">
        <v>9602</v>
      </c>
      <c r="D43" s="36" t="n">
        <v>9431.549999999999</v>
      </c>
      <c r="E43" s="36" t="n">
        <v>9078.040000000001</v>
      </c>
      <c r="F43" s="36" t="n">
        <v>10187</v>
      </c>
      <c r="G43" s="36" t="n">
        <v>10187</v>
      </c>
      <c r="H43" s="36" t="n">
        <v>8758.5</v>
      </c>
      <c r="I43" s="37" t="n">
        <v>363886</v>
      </c>
      <c r="J43" s="37" t="n">
        <v>327240</v>
      </c>
      <c r="K43" s="38" t="n">
        <v>0.23</v>
      </c>
      <c r="L43" s="18" t="n"/>
    </row>
    <row r="44" ht="18" customHeight="1">
      <c r="A44" s="16" t="inlineStr">
        <is>
          <t>RBLBANK</t>
        </is>
      </c>
      <c r="B44" s="18" t="n"/>
      <c r="C44" s="36" t="n">
        <v>317.65</v>
      </c>
      <c r="D44" s="36" t="n">
        <v>309.62</v>
      </c>
      <c r="E44" s="36" t="n">
        <v>289.8</v>
      </c>
      <c r="F44" s="36" t="n">
        <v>340.4</v>
      </c>
      <c r="G44" s="36" t="n">
        <v>340.4</v>
      </c>
      <c r="H44" s="36" t="n">
        <v>288.6</v>
      </c>
      <c r="I44" s="37" t="n">
        <v>4206445</v>
      </c>
      <c r="J44" s="37" t="n">
        <v>4734160</v>
      </c>
      <c r="K44" s="38" t="n">
        <v>1.81</v>
      </c>
      <c r="L44" s="18" t="n"/>
    </row>
    <row r="45" ht="18" customHeight="1">
      <c r="A45" s="16" t="inlineStr">
        <is>
          <t>RAINBOW</t>
        </is>
      </c>
      <c r="B45" s="18" t="n"/>
      <c r="C45" s="36" t="n">
        <v>1293.8</v>
      </c>
      <c r="D45" s="36" t="n">
        <v>1214.48</v>
      </c>
      <c r="E45" s="36" t="n">
        <v>1296.37</v>
      </c>
      <c r="F45" s="36" t="n">
        <v>1645.7</v>
      </c>
      <c r="G45" s="36" t="n">
        <v>1322</v>
      </c>
      <c r="H45" s="36" t="n">
        <v>1103.8</v>
      </c>
      <c r="I45" s="37" t="n">
        <v>165937</v>
      </c>
      <c r="J45" s="37" t="n">
        <v>125703</v>
      </c>
      <c r="K45" s="38" t="n">
        <v>2.95</v>
      </c>
      <c r="L45" s="18" t="n"/>
    </row>
    <row r="46" ht="18" customHeight="1">
      <c r="A46" s="16" t="inlineStr">
        <is>
          <t>ITC</t>
        </is>
      </c>
      <c r="B46" s="18" t="n"/>
      <c r="C46" s="36" t="n">
        <v>305.5</v>
      </c>
      <c r="D46" s="36" t="n">
        <v>310.86</v>
      </c>
      <c r="E46" s="36" t="n">
        <v>355.08</v>
      </c>
      <c r="F46" s="36" t="n">
        <v>427.21</v>
      </c>
      <c r="G46" s="36" t="n">
        <v>334.25</v>
      </c>
      <c r="H46" s="36" t="n">
        <v>287.7</v>
      </c>
      <c r="I46" s="37" t="n">
        <v>22179022</v>
      </c>
      <c r="J46" s="37" t="n">
        <v>18771011</v>
      </c>
      <c r="K46" s="38" t="n">
        <v>-6.83</v>
      </c>
      <c r="L46" s="18" t="n"/>
    </row>
    <row r="47" ht="18" customHeight="1">
      <c r="A47" s="16" t="inlineStr">
        <is>
          <t>MEDPLUS</t>
        </is>
      </c>
      <c r="B47" s="18" t="n"/>
      <c r="C47" s="36" t="n">
        <v>890.7</v>
      </c>
      <c r="D47" s="36" t="n">
        <v>844.33</v>
      </c>
      <c r="E47" s="36" t="n">
        <v>829.24</v>
      </c>
      <c r="F47" s="36" t="n">
        <v>1045.3</v>
      </c>
      <c r="G47" s="36" t="n">
        <v>905</v>
      </c>
      <c r="H47" s="36" t="n">
        <v>772.35</v>
      </c>
      <c r="I47" s="37" t="n">
        <v>88327</v>
      </c>
      <c r="J47" s="37" t="n">
        <v>95379</v>
      </c>
      <c r="K47" s="38" t="n">
        <v>5.61</v>
      </c>
      <c r="L47" s="18" t="n"/>
    </row>
    <row r="48" ht="18" customHeight="1">
      <c r="A48" s="16" t="inlineStr">
        <is>
          <t>INDUSTOWER</t>
        </is>
      </c>
      <c r="B48" s="18" t="n"/>
      <c r="C48" s="36" t="n">
        <v>408.15</v>
      </c>
      <c r="D48" s="36" t="n">
        <v>430.78</v>
      </c>
      <c r="E48" s="36" t="n">
        <v>413.91</v>
      </c>
      <c r="F48" s="36" t="n">
        <v>481.5</v>
      </c>
      <c r="G48" s="36" t="n">
        <v>481.5</v>
      </c>
      <c r="H48" s="36" t="n">
        <v>405.8</v>
      </c>
      <c r="I48" s="37" t="n">
        <v>4793426</v>
      </c>
      <c r="J48" s="37" t="n">
        <v>5316074</v>
      </c>
      <c r="K48" s="38" t="n">
        <v>-6.9</v>
      </c>
      <c r="L48" s="18" t="n"/>
    </row>
    <row r="49" ht="18" customHeight="1">
      <c r="A49" s="16" t="inlineStr">
        <is>
          <t>ICICIGI</t>
        </is>
      </c>
      <c r="B49" s="18" t="n"/>
      <c r="C49" s="36" t="n">
        <v>1829</v>
      </c>
      <c r="D49" s="36" t="n">
        <v>1833.88</v>
      </c>
      <c r="E49" s="36" t="n">
        <v>1884.09</v>
      </c>
      <c r="F49" s="36" t="n">
        <v>2064.9</v>
      </c>
      <c r="G49" s="36" t="n">
        <v>1983.1</v>
      </c>
      <c r="H49" s="36" t="n">
        <v>1689.1</v>
      </c>
      <c r="I49" s="37" t="n">
        <v>639913</v>
      </c>
      <c r="J49" s="37" t="n">
        <v>607278</v>
      </c>
      <c r="K49" s="38" t="n">
        <v>-1.54</v>
      </c>
      <c r="L49" s="18" t="n"/>
    </row>
    <row r="50" ht="18" customHeight="1">
      <c r="A50" s="16" t="inlineStr">
        <is>
          <t>JBCHEPHARM</t>
        </is>
      </c>
      <c r="B50" s="18" t="n"/>
      <c r="C50" s="36" t="n">
        <v>1977.8</v>
      </c>
      <c r="D50" s="36" t="n">
        <v>1993.51</v>
      </c>
      <c r="E50" s="36" t="n">
        <v>1844.37</v>
      </c>
      <c r="F50" s="36" t="n">
        <v>2195</v>
      </c>
      <c r="G50" s="36" t="n">
        <v>2195</v>
      </c>
      <c r="H50" s="36" t="n">
        <v>1833.81</v>
      </c>
      <c r="I50" s="37" t="n">
        <v>324504</v>
      </c>
      <c r="J50" s="37" t="n">
        <v>289019</v>
      </c>
      <c r="K50" s="38" t="n">
        <v>5.04</v>
      </c>
      <c r="L50" s="18" t="n"/>
    </row>
    <row r="51" ht="18" customHeight="1">
      <c r="A51" s="16" t="inlineStr">
        <is>
          <t>PRIVISCL</t>
        </is>
      </c>
      <c r="B51" s="18" t="n"/>
      <c r="C51" s="36" t="n">
        <v>3163.3</v>
      </c>
      <c r="D51" s="36" t="n">
        <v>2940.94</v>
      </c>
      <c r="E51" s="36" t="n">
        <v>2746.9</v>
      </c>
      <c r="F51" s="36" t="n">
        <v>3440.5</v>
      </c>
      <c r="G51" s="36" t="n">
        <v>3190.5</v>
      </c>
      <c r="H51" s="36" t="n">
        <v>2616.1</v>
      </c>
      <c r="I51" s="37" t="n">
        <v>88273</v>
      </c>
      <c r="J51" s="37" t="n">
        <v>89506</v>
      </c>
      <c r="K51" s="38" t="n">
        <v>17</v>
      </c>
      <c r="L51" s="18" t="n"/>
    </row>
    <row r="52" ht="18" customHeight="1">
      <c r="A52" s="16" t="inlineStr">
        <is>
          <t>NIVABUPA</t>
        </is>
      </c>
      <c r="B52" s="18" t="n"/>
      <c r="C52" s="36" t="n">
        <v>80.05</v>
      </c>
      <c r="D52" s="36" t="n">
        <v>74.7</v>
      </c>
      <c r="E52" s="36" t="n">
        <v>77.34</v>
      </c>
      <c r="F52" s="36" t="n">
        <v>95.20999999999999</v>
      </c>
      <c r="G52" s="36" t="n">
        <v>81.81</v>
      </c>
      <c r="H52" s="36" t="n">
        <v>68.40000000000001</v>
      </c>
      <c r="I52" s="37" t="n">
        <v>723845</v>
      </c>
      <c r="J52" s="37" t="n">
        <v>710685</v>
      </c>
      <c r="K52" s="38" t="n">
        <v>1.35</v>
      </c>
      <c r="L52" s="18" t="n"/>
    </row>
    <row r="53" ht="18" customHeight="1">
      <c r="A53" s="16" t="inlineStr">
        <is>
          <t>JSWINFRA</t>
        </is>
      </c>
      <c r="B53" s="18" t="n"/>
      <c r="C53" s="36" t="n">
        <v>277.8</v>
      </c>
      <c r="D53" s="36" t="n">
        <v>260.93</v>
      </c>
      <c r="E53" s="36" t="n">
        <v>277.05</v>
      </c>
      <c r="F53" s="36" t="n">
        <v>349</v>
      </c>
      <c r="G53" s="36" t="n">
        <v>282.4</v>
      </c>
      <c r="H53" s="36" t="n">
        <v>234.31</v>
      </c>
      <c r="I53" s="37" t="n">
        <v>2102992</v>
      </c>
      <c r="J53" s="37" t="n">
        <v>1535071</v>
      </c>
      <c r="K53" s="38" t="n">
        <v>5.09</v>
      </c>
      <c r="L53" s="18" t="n"/>
    </row>
    <row r="54">
      <c r="A54" s="35" t="inlineStr">
        <is>
          <t>BIOCON</t>
        </is>
      </c>
      <c r="C54" s="36" t="n">
        <v>357.8</v>
      </c>
      <c r="D54" s="36" t="n">
        <v>368.34</v>
      </c>
      <c r="E54" s="36" t="n">
        <v>368.26</v>
      </c>
      <c r="F54" s="36" t="n">
        <v>424.95</v>
      </c>
      <c r="G54" s="36" t="n">
        <v>402.8</v>
      </c>
      <c r="H54" s="36" t="n">
        <v>340.05</v>
      </c>
      <c r="I54" s="37" t="n">
        <v>3017643</v>
      </c>
      <c r="J54" s="37" t="n">
        <v>2784719</v>
      </c>
      <c r="K54" s="38" t="n">
        <v>-5.59</v>
      </c>
    </row>
    <row r="55">
      <c r="A55" s="35" t="inlineStr">
        <is>
          <t>NMDC</t>
        </is>
      </c>
      <c r="C55" s="36" t="n">
        <v>88.59</v>
      </c>
      <c r="D55" s="36" t="n">
        <v>81.59999999999999</v>
      </c>
      <c r="E55" s="36" t="n">
        <v>75.84999999999999</v>
      </c>
      <c r="F55" s="36" t="n">
        <v>90.17</v>
      </c>
      <c r="G55" s="36" t="n">
        <v>90.17</v>
      </c>
      <c r="H55" s="36" t="n">
        <v>74.11</v>
      </c>
      <c r="I55" s="37" t="n">
        <v>25196614</v>
      </c>
      <c r="J55" s="37" t="n">
        <v>24339172</v>
      </c>
      <c r="K55" s="38" t="n">
        <v>8.859999999999999</v>
      </c>
    </row>
    <row r="56">
      <c r="A56" s="35" t="inlineStr">
        <is>
          <t>CESC</t>
        </is>
      </c>
      <c r="C56" s="36" t="n">
        <v>180.27</v>
      </c>
      <c r="D56" s="36" t="n">
        <v>159.48</v>
      </c>
      <c r="E56" s="36" t="n">
        <v>160.4</v>
      </c>
      <c r="F56" s="36" t="n">
        <v>185.26</v>
      </c>
      <c r="G56" s="36" t="n">
        <v>182.97</v>
      </c>
      <c r="H56" s="36" t="n">
        <v>140.43</v>
      </c>
      <c r="I56" s="37" t="n">
        <v>1648243</v>
      </c>
      <c r="J56" s="37" t="n">
        <v>1762675</v>
      </c>
      <c r="K56" s="38" t="n">
        <v>14.77</v>
      </c>
    </row>
    <row r="57">
      <c r="A57" s="35" t="inlineStr">
        <is>
          <t>BIKAJI</t>
        </is>
      </c>
      <c r="C57" s="36" t="n">
        <v>684.9</v>
      </c>
      <c r="D57" s="36" t="n">
        <v>644.9400000000001</v>
      </c>
      <c r="E57" s="36" t="n">
        <v>689.6799999999999</v>
      </c>
      <c r="F57" s="36" t="n">
        <v>818.7</v>
      </c>
      <c r="G57" s="36" t="n">
        <v>704.6</v>
      </c>
      <c r="H57" s="36" t="n">
        <v>603.45</v>
      </c>
      <c r="I57" s="37" t="n">
        <v>136505</v>
      </c>
      <c r="J57" s="37" t="n">
        <v>122771</v>
      </c>
      <c r="K57" s="38" t="n">
        <v>-2.05</v>
      </c>
    </row>
    <row r="58">
      <c r="A58" s="35" t="inlineStr">
        <is>
          <t>ACI</t>
        </is>
      </c>
      <c r="C58" s="36" t="n">
        <v>591.05</v>
      </c>
      <c r="D58" s="36" t="n">
        <v>583.03</v>
      </c>
      <c r="E58" s="36" t="n">
        <v>596.4400000000001</v>
      </c>
      <c r="F58" s="36" t="n">
        <v>727.6</v>
      </c>
      <c r="G58" s="36" t="n">
        <v>630.85</v>
      </c>
      <c r="H58" s="36" t="n">
        <v>510.5</v>
      </c>
      <c r="I58" s="37" t="n">
        <v>135194</v>
      </c>
      <c r="J58" s="37" t="n">
        <v>134962</v>
      </c>
      <c r="K58" s="38" t="n">
        <v>15.68</v>
      </c>
    </row>
    <row r="59">
      <c r="A59" s="35" t="inlineStr">
        <is>
          <t>INDIAMART</t>
        </is>
      </c>
      <c r="C59" s="36" t="n">
        <v>2168.4</v>
      </c>
      <c r="D59" s="36" t="n">
        <v>2127.63</v>
      </c>
      <c r="E59" s="36" t="n">
        <v>2249.62</v>
      </c>
      <c r="F59" s="36" t="n">
        <v>2799</v>
      </c>
      <c r="G59" s="36" t="n">
        <v>2310.7</v>
      </c>
      <c r="H59" s="36" t="n">
        <v>1963.9</v>
      </c>
      <c r="I59" s="37" t="n">
        <v>132268</v>
      </c>
      <c r="J59" s="37" t="n">
        <v>108399</v>
      </c>
      <c r="K59" s="38" t="n">
        <v>2.55</v>
      </c>
    </row>
    <row r="60">
      <c r="A60" s="35" t="inlineStr">
        <is>
          <t>NTPC</t>
        </is>
      </c>
      <c r="C60" s="36" t="n">
        <v>405.4</v>
      </c>
      <c r="D60" s="36" t="n">
        <v>374.51</v>
      </c>
      <c r="E60" s="36" t="n">
        <v>351.46</v>
      </c>
      <c r="F60" s="36" t="n">
        <v>407.25</v>
      </c>
      <c r="G60" s="36" t="n">
        <v>407.25</v>
      </c>
      <c r="H60" s="36" t="n">
        <v>334.18</v>
      </c>
      <c r="I60" s="37" t="n">
        <v>14953758</v>
      </c>
      <c r="J60" s="37" t="n">
        <v>11559806</v>
      </c>
      <c r="K60" s="38" t="n">
        <v>17</v>
      </c>
    </row>
    <row r="61">
      <c r="A61" s="35" t="inlineStr">
        <is>
          <t>AJANTPHARM</t>
        </is>
      </c>
      <c r="C61" s="36" t="n">
        <v>2779.2</v>
      </c>
      <c r="D61" s="36" t="n">
        <v>2843.15</v>
      </c>
      <c r="E61" s="36" t="n">
        <v>2732.41</v>
      </c>
      <c r="F61" s="36" t="n">
        <v>3228</v>
      </c>
      <c r="G61" s="36" t="n">
        <v>3228</v>
      </c>
      <c r="H61" s="36" t="n">
        <v>2680.9</v>
      </c>
      <c r="I61" s="37" t="n">
        <v>88098</v>
      </c>
      <c r="J61" s="37" t="n">
        <v>88723</v>
      </c>
      <c r="K61" s="38" t="n">
        <v>1.78</v>
      </c>
    </row>
    <row r="62">
      <c r="A62" s="35" t="inlineStr">
        <is>
          <t>GRASIM</t>
        </is>
      </c>
      <c r="C62" s="36" t="n">
        <v>2776.6</v>
      </c>
      <c r="D62" s="36" t="n">
        <v>2726.62</v>
      </c>
      <c r="E62" s="36" t="n">
        <v>2763.44</v>
      </c>
      <c r="F62" s="36" t="n">
        <v>2979</v>
      </c>
      <c r="G62" s="36" t="n">
        <v>2979</v>
      </c>
      <c r="H62" s="36" t="n">
        <v>2531.1</v>
      </c>
      <c r="I62" s="37" t="n">
        <v>803379</v>
      </c>
      <c r="J62" s="37" t="n">
        <v>762775</v>
      </c>
      <c r="K62" s="38" t="n">
        <v>-0.6899999999999999</v>
      </c>
    </row>
    <row r="63">
      <c r="A63" s="35" t="inlineStr">
        <is>
          <t>HEROMOTOCO</t>
        </is>
      </c>
      <c r="C63" s="36" t="n">
        <v>5189</v>
      </c>
      <c r="D63" s="36" t="n">
        <v>5355.25</v>
      </c>
      <c r="E63" s="36" t="n">
        <v>5195.31</v>
      </c>
      <c r="F63" s="36" t="n">
        <v>6266.36</v>
      </c>
      <c r="G63" s="36" t="n">
        <v>5840</v>
      </c>
      <c r="H63" s="36" t="n">
        <v>5011.5</v>
      </c>
      <c r="I63" s="37" t="n">
        <v>546972</v>
      </c>
      <c r="J63" s="37" t="n">
        <v>489797</v>
      </c>
      <c r="K63" s="38" t="n">
        <v>-6.81</v>
      </c>
    </row>
    <row r="64">
      <c r="A64" s="35" t="inlineStr">
        <is>
          <t>UNITDSPR</t>
        </is>
      </c>
      <c r="C64" s="36" t="n">
        <v>1392.8</v>
      </c>
      <c r="D64" s="36" t="n">
        <v>1318.52</v>
      </c>
      <c r="E64" s="36" t="n">
        <v>1373.67</v>
      </c>
      <c r="F64" s="36" t="n">
        <v>1627.82</v>
      </c>
      <c r="G64" s="36" t="n">
        <v>1431.3</v>
      </c>
      <c r="H64" s="36" t="n">
        <v>1218.8</v>
      </c>
      <c r="I64" s="37" t="n">
        <v>1426042</v>
      </c>
      <c r="J64" s="37" t="n">
        <v>867349</v>
      </c>
      <c r="K64" s="38" t="n">
        <v>6.04</v>
      </c>
    </row>
    <row r="65">
      <c r="A65" s="35" t="inlineStr">
        <is>
          <t>JSWCEMENT</t>
        </is>
      </c>
    </row>
    <row r="66">
      <c r="A66" s="35" t="inlineStr">
        <is>
          <t>BEL</t>
        </is>
      </c>
      <c r="C66" s="36" t="n">
        <v>448.7</v>
      </c>
      <c r="D66" s="36" t="n">
        <v>435.21</v>
      </c>
      <c r="E66" s="36" t="n">
        <v>407.92</v>
      </c>
      <c r="F66" s="36" t="n">
        <v>473.45</v>
      </c>
      <c r="G66" s="36" t="n">
        <v>473.45</v>
      </c>
      <c r="H66" s="36" t="n">
        <v>400.65</v>
      </c>
      <c r="I66" s="37" t="n">
        <v>14642804</v>
      </c>
      <c r="J66" s="37" t="n">
        <v>15134997</v>
      </c>
      <c r="K66" s="38" t="n">
        <v>7.9</v>
      </c>
    </row>
    <row r="67">
      <c r="A67" s="35" t="inlineStr">
        <is>
          <t>TATACONSUM</t>
        </is>
      </c>
      <c r="C67" s="36" t="n">
        <v>1178.6</v>
      </c>
      <c r="D67" s="36" t="n">
        <v>1105.24</v>
      </c>
      <c r="E67" s="36" t="n">
        <v>1127.88</v>
      </c>
      <c r="F67" s="36" t="n">
        <v>1220.9</v>
      </c>
      <c r="G67" s="36" t="n">
        <v>1203.9</v>
      </c>
      <c r="H67" s="36" t="n">
        <v>1014.8</v>
      </c>
      <c r="I67" s="37" t="n">
        <v>1580158</v>
      </c>
      <c r="J67" s="37" t="n">
        <v>1287668</v>
      </c>
      <c r="K67" s="38" t="n">
        <v>0.61</v>
      </c>
    </row>
    <row r="68">
      <c r="A68" s="35" t="inlineStr">
        <is>
          <t>TI</t>
        </is>
      </c>
      <c r="C68" s="36" t="n">
        <v>476.55</v>
      </c>
      <c r="D68" s="36" t="n">
        <v>442.31</v>
      </c>
      <c r="E68" s="36" t="n">
        <v>431.46</v>
      </c>
      <c r="F68" s="36" t="n">
        <v>549.7</v>
      </c>
      <c r="G68" s="36" t="n">
        <v>489.9</v>
      </c>
      <c r="H68" s="36" t="n">
        <v>388.8</v>
      </c>
      <c r="I68" s="37" t="n">
        <v>565999</v>
      </c>
      <c r="J68" s="37" t="n">
        <v>534656</v>
      </c>
      <c r="K68" s="38" t="n">
        <v>13.65</v>
      </c>
    </row>
    <row r="69">
      <c r="A69" s="35" t="inlineStr">
        <is>
          <t>EMCURE</t>
        </is>
      </c>
      <c r="C69" s="36" t="n">
        <v>1597.9</v>
      </c>
      <c r="D69" s="36" t="n">
        <v>1540.52</v>
      </c>
      <c r="E69" s="36" t="n">
        <v>1416.45</v>
      </c>
      <c r="F69" s="36" t="n">
        <v>1688</v>
      </c>
      <c r="G69" s="36" t="n">
        <v>1688</v>
      </c>
      <c r="H69" s="36" t="n">
        <v>1415.8</v>
      </c>
      <c r="I69" s="37" t="n">
        <v>204469</v>
      </c>
      <c r="J69" s="37" t="n">
        <v>159247</v>
      </c>
      <c r="K69" s="38" t="n">
        <v>3.05</v>
      </c>
    </row>
    <row r="70">
      <c r="A70" s="35" t="inlineStr">
        <is>
          <t>CERA</t>
        </is>
      </c>
      <c r="C70" s="36" t="n">
        <v>5488.9</v>
      </c>
      <c r="D70" s="36" t="n">
        <v>5009.23</v>
      </c>
      <c r="E70" s="36" t="n">
        <v>5410.54</v>
      </c>
      <c r="F70" s="36" t="n">
        <v>7206.22</v>
      </c>
      <c r="G70" s="36" t="n">
        <v>5549</v>
      </c>
      <c r="H70" s="36" t="n">
        <v>4524.3</v>
      </c>
      <c r="I70" s="37" t="n">
        <v>13908</v>
      </c>
      <c r="J70" s="37" t="n">
        <v>13293</v>
      </c>
      <c r="K70" s="38" t="n">
        <v>8.17</v>
      </c>
    </row>
    <row r="71">
      <c r="A71" s="35" t="inlineStr">
        <is>
          <t>IOB</t>
        </is>
      </c>
      <c r="C71" s="36" t="n">
        <v>35.39</v>
      </c>
      <c r="D71" s="36" t="n">
        <v>34.34</v>
      </c>
      <c r="E71" s="36" t="n">
        <v>36.26</v>
      </c>
      <c r="F71" s="36" t="n">
        <v>42.8</v>
      </c>
      <c r="G71" s="36" t="n">
        <v>37.36</v>
      </c>
      <c r="H71" s="36" t="n">
        <v>31.38</v>
      </c>
      <c r="I71" s="37" t="n">
        <v>4932519</v>
      </c>
      <c r="J71" s="37" t="n">
        <v>5751495</v>
      </c>
      <c r="K71" s="38" t="n">
        <v>-1.99</v>
      </c>
    </row>
    <row r="72">
      <c r="A72" s="35" t="inlineStr">
        <is>
          <t>CIPLA</t>
        </is>
      </c>
      <c r="C72" s="36" t="n">
        <v>1236.3</v>
      </c>
      <c r="D72" s="36" t="n">
        <v>1283.21</v>
      </c>
      <c r="E72" s="36" t="n">
        <v>1412.16</v>
      </c>
      <c r="F72" s="36" t="n">
        <v>1673</v>
      </c>
      <c r="G72" s="36" t="n">
        <v>1449.8</v>
      </c>
      <c r="H72" s="36" t="n">
        <v>1192.4</v>
      </c>
      <c r="I72" s="37" t="n">
        <v>1778133</v>
      </c>
      <c r="J72" s="37" t="n">
        <v>1616868</v>
      </c>
      <c r="K72" s="38" t="n">
        <v>-13.82</v>
      </c>
    </row>
    <row r="73">
      <c r="A73" s="35" t="inlineStr">
        <is>
          <t>PATANJALI</t>
        </is>
      </c>
      <c r="C73" s="36" t="n">
        <v>472.1</v>
      </c>
      <c r="D73" s="36" t="n">
        <v>488.98</v>
      </c>
      <c r="E73" s="36" t="n">
        <v>542.33</v>
      </c>
      <c r="F73" s="36" t="n">
        <v>654.85</v>
      </c>
      <c r="G73" s="36" t="n">
        <v>545.9</v>
      </c>
      <c r="H73" s="36" t="n">
        <v>459.65</v>
      </c>
      <c r="I73" s="37" t="n">
        <v>1655402</v>
      </c>
      <c r="J73" s="37" t="n">
        <v>1891181</v>
      </c>
      <c r="K73" s="38" t="n">
        <v>-13.15</v>
      </c>
    </row>
    <row r="74">
      <c r="A74" s="35" t="inlineStr">
        <is>
          <t>V2RETAIL</t>
        </is>
      </c>
      <c r="C74" s="36" t="n">
        <v>205.52</v>
      </c>
      <c r="D74" s="36" t="n">
        <v>197.55</v>
      </c>
      <c r="E74" s="36" t="n">
        <v>200.84</v>
      </c>
      <c r="F74" s="36" t="n">
        <v>256.41</v>
      </c>
      <c r="G74" s="36" t="n">
        <v>226.98</v>
      </c>
      <c r="H74" s="36" t="n">
        <v>181.06</v>
      </c>
      <c r="I74" s="37" t="n">
        <v>1179189</v>
      </c>
      <c r="J74" s="37" t="n">
        <v>995440</v>
      </c>
      <c r="K74" s="38" t="n">
        <v>-3.55</v>
      </c>
    </row>
    <row r="75">
      <c r="A75" s="35" t="inlineStr">
        <is>
          <t>SAIL</t>
        </is>
      </c>
      <c r="C75" s="36" t="n">
        <v>176.23</v>
      </c>
      <c r="D75" s="36" t="n">
        <v>158.51</v>
      </c>
      <c r="E75" s="36" t="n">
        <v>143.31</v>
      </c>
      <c r="F75" s="36" t="n">
        <v>178.46</v>
      </c>
      <c r="G75" s="36" t="n">
        <v>178.46</v>
      </c>
      <c r="H75" s="36" t="n">
        <v>143.04</v>
      </c>
      <c r="I75" s="37" t="n">
        <v>25811397</v>
      </c>
      <c r="J75" s="37" t="n">
        <v>22102148</v>
      </c>
      <c r="K75" s="38" t="n">
        <v>15.61</v>
      </c>
    </row>
    <row r="76">
      <c r="A76" s="35" t="inlineStr">
        <is>
          <t>VGUARD</t>
        </is>
      </c>
      <c r="C76" s="36" t="n">
        <v>332.95</v>
      </c>
      <c r="D76" s="36" t="n">
        <v>323.96</v>
      </c>
      <c r="E76" s="36" t="n">
        <v>339.81</v>
      </c>
      <c r="F76" s="36" t="n">
        <v>408.17</v>
      </c>
      <c r="G76" s="36" t="n">
        <v>356.45</v>
      </c>
      <c r="H76" s="36" t="n">
        <v>300.35</v>
      </c>
      <c r="I76" s="37" t="n">
        <v>192013</v>
      </c>
      <c r="J76" s="37" t="n">
        <v>174536</v>
      </c>
      <c r="K76" s="38" t="n">
        <v>9.94</v>
      </c>
    </row>
    <row r="77">
      <c r="A77" s="35" t="inlineStr">
        <is>
          <t>ATUL</t>
        </is>
      </c>
      <c r="C77" s="36" t="n">
        <v>6666.5</v>
      </c>
      <c r="D77" s="36" t="n">
        <v>6360.2</v>
      </c>
      <c r="E77" s="36" t="n">
        <v>6319.53</v>
      </c>
      <c r="F77" s="36" t="n">
        <v>7762.06</v>
      </c>
      <c r="G77" s="36" t="n">
        <v>6903.5</v>
      </c>
      <c r="H77" s="36" t="n">
        <v>5664.5</v>
      </c>
      <c r="I77" s="37" t="n">
        <v>18910</v>
      </c>
      <c r="J77" s="37" t="n">
        <v>19792</v>
      </c>
      <c r="K77" s="38" t="n">
        <v>10.74</v>
      </c>
    </row>
    <row r="78">
      <c r="A78" s="35" t="inlineStr">
        <is>
          <t>TIPSMUSIC</t>
        </is>
      </c>
      <c r="C78" s="36" t="n">
        <v>599.6</v>
      </c>
      <c r="D78" s="36" t="n">
        <v>539.73</v>
      </c>
      <c r="E78" s="36" t="n">
        <v>553.85</v>
      </c>
      <c r="F78" s="36" t="n">
        <v>700.95</v>
      </c>
      <c r="G78" s="36" t="n">
        <v>609.45</v>
      </c>
      <c r="H78" s="36" t="n">
        <v>490.9</v>
      </c>
      <c r="I78" s="37" t="n">
        <v>137853</v>
      </c>
      <c r="J78" s="37" t="n">
        <v>130348</v>
      </c>
      <c r="K78" s="38" t="n">
        <v>16.54</v>
      </c>
    </row>
    <row r="79">
      <c r="A79" s="35" t="inlineStr">
        <is>
          <t>TITAN</t>
        </is>
      </c>
      <c r="C79" s="36" t="n">
        <v>4454.6</v>
      </c>
      <c r="D79" s="36" t="n">
        <v>4231.78</v>
      </c>
      <c r="E79" s="36" t="n">
        <v>3925.98</v>
      </c>
      <c r="F79" s="36" t="n">
        <v>4554</v>
      </c>
      <c r="G79" s="36" t="n">
        <v>4554</v>
      </c>
      <c r="H79" s="36" t="n">
        <v>3853.1</v>
      </c>
      <c r="I79" s="37" t="n">
        <v>1300547</v>
      </c>
      <c r="J79" s="37" t="n">
        <v>917279</v>
      </c>
      <c r="K79" s="38" t="n">
        <v>5.52</v>
      </c>
    </row>
    <row r="80">
      <c r="A80" s="35" t="inlineStr">
        <is>
          <t>AVL</t>
        </is>
      </c>
      <c r="C80" s="36" t="n">
        <v>508.35</v>
      </c>
      <c r="D80" s="36" t="n">
        <v>485.69</v>
      </c>
      <c r="E80" s="36" t="n">
        <v>481.91</v>
      </c>
      <c r="F80" s="36" t="n">
        <v>598.7</v>
      </c>
      <c r="G80" s="36" t="n">
        <v>534.85</v>
      </c>
      <c r="H80" s="36" t="n">
        <v>444.2</v>
      </c>
      <c r="I80" s="37" t="n">
        <v>192451</v>
      </c>
      <c r="J80" s="37" t="n">
        <v>158597</v>
      </c>
      <c r="K80" s="38" t="n">
        <v>4.22</v>
      </c>
    </row>
    <row r="81">
      <c r="A81" s="35" t="inlineStr">
        <is>
          <t>TATASTEEL</t>
        </is>
      </c>
      <c r="C81" s="36" t="n">
        <v>213.03</v>
      </c>
      <c r="D81" s="36" t="n">
        <v>199.29</v>
      </c>
      <c r="E81" s="36" t="n">
        <v>180.9</v>
      </c>
      <c r="F81" s="36" t="n">
        <v>216.45</v>
      </c>
      <c r="G81" s="36" t="n">
        <v>216.45</v>
      </c>
      <c r="H81" s="36" t="n">
        <v>183.51</v>
      </c>
      <c r="I81" s="37" t="n">
        <v>30858355</v>
      </c>
      <c r="J81" s="37" t="n">
        <v>28551376</v>
      </c>
      <c r="K81" s="38" t="n">
        <v>12.57</v>
      </c>
    </row>
    <row r="82">
      <c r="A82" s="35" t="inlineStr">
        <is>
          <t>RADICO</t>
        </is>
      </c>
      <c r="C82" s="36" t="n">
        <v>3243</v>
      </c>
      <c r="D82" s="36" t="n">
        <v>2852.01</v>
      </c>
      <c r="E82" s="36" t="n">
        <v>2860.95</v>
      </c>
      <c r="F82" s="36" t="n">
        <v>3591.9</v>
      </c>
      <c r="G82" s="36" t="n">
        <v>3436</v>
      </c>
      <c r="H82" s="36" t="n">
        <v>2541.2</v>
      </c>
      <c r="I82" s="37" t="n">
        <v>425148</v>
      </c>
      <c r="J82" s="37" t="n">
        <v>381745</v>
      </c>
      <c r="K82" s="38" t="n">
        <v>10.76</v>
      </c>
    </row>
    <row r="83">
      <c r="A83" s="35" t="inlineStr">
        <is>
          <t>FEDERALBNK</t>
        </is>
      </c>
      <c r="C83" s="36" t="n">
        <v>296.45</v>
      </c>
      <c r="D83" s="36" t="n">
        <v>278.67</v>
      </c>
      <c r="E83" s="36" t="n">
        <v>250.87</v>
      </c>
      <c r="F83" s="36" t="n">
        <v>302</v>
      </c>
      <c r="G83" s="36" t="n">
        <v>302</v>
      </c>
      <c r="H83" s="36" t="n">
        <v>246.85</v>
      </c>
      <c r="I83" s="37" t="n">
        <v>8640231</v>
      </c>
      <c r="J83" s="37" t="n">
        <v>8296508</v>
      </c>
      <c r="K83" s="38" t="n">
        <v>20.09</v>
      </c>
    </row>
    <row r="84">
      <c r="A84" s="35" t="inlineStr">
        <is>
          <t>SAREGAMA</t>
        </is>
      </c>
      <c r="C84" s="36" t="n">
        <v>344.15</v>
      </c>
      <c r="D84" s="36" t="n">
        <v>338.05</v>
      </c>
      <c r="E84" s="36" t="n">
        <v>396.76</v>
      </c>
      <c r="F84" s="36" t="n">
        <v>596.52</v>
      </c>
      <c r="G84" s="36" t="n">
        <v>370.9</v>
      </c>
      <c r="H84" s="36" t="n">
        <v>311.1</v>
      </c>
      <c r="I84" s="37" t="n">
        <v>325373</v>
      </c>
      <c r="J84" s="37" t="n">
        <v>300768</v>
      </c>
      <c r="K84" s="38" t="n">
        <v>-2.22</v>
      </c>
    </row>
    <row r="85">
      <c r="A85" s="35" t="inlineStr">
        <is>
          <t>INDGN</t>
        </is>
      </c>
      <c r="C85" s="36" t="n">
        <v>498.7</v>
      </c>
      <c r="D85" s="36" t="n">
        <v>476.35</v>
      </c>
      <c r="E85" s="36" t="n">
        <v>513</v>
      </c>
      <c r="F85" s="36" t="n">
        <v>630.79</v>
      </c>
      <c r="G85" s="36" t="n">
        <v>513.55</v>
      </c>
      <c r="H85" s="36" t="n">
        <v>423.5</v>
      </c>
      <c r="I85" s="37" t="n">
        <v>223596</v>
      </c>
      <c r="J85" s="37" t="n">
        <v>285069</v>
      </c>
      <c r="K85" s="38" t="n">
        <v>-1.56</v>
      </c>
    </row>
    <row r="86">
      <c r="A86" s="35" t="inlineStr">
        <is>
          <t>NAVA</t>
        </is>
      </c>
      <c r="C86" s="36" t="n">
        <v>697.75</v>
      </c>
      <c r="D86" s="36" t="n">
        <v>590.24</v>
      </c>
      <c r="E86" s="36" t="n">
        <v>570.77</v>
      </c>
      <c r="F86" s="36" t="n">
        <v>736.8</v>
      </c>
      <c r="G86" s="36" t="n">
        <v>736.8</v>
      </c>
      <c r="H86" s="36" t="n">
        <v>530.75</v>
      </c>
      <c r="I86" s="37" t="n">
        <v>367618</v>
      </c>
      <c r="J86" s="37" t="n">
        <v>283510</v>
      </c>
      <c r="K86" s="38" t="n">
        <v>22.58</v>
      </c>
    </row>
    <row r="87">
      <c r="A87" s="35" t="inlineStr">
        <is>
          <t>TATACAP</t>
        </is>
      </c>
    </row>
    <row r="88">
      <c r="A88" s="35" t="inlineStr">
        <is>
          <t>JSL</t>
        </is>
      </c>
      <c r="C88" s="36" t="n">
        <v>784.5</v>
      </c>
      <c r="D88" s="36" t="n">
        <v>758.28</v>
      </c>
      <c r="E88" s="36" t="n">
        <v>740.16</v>
      </c>
      <c r="F88" s="36" t="n">
        <v>882.91</v>
      </c>
      <c r="G88" s="36" t="n">
        <v>835.95</v>
      </c>
      <c r="H88" s="36" t="n">
        <v>695.7</v>
      </c>
      <c r="I88" s="37" t="n">
        <v>770504</v>
      </c>
      <c r="J88" s="37" t="n">
        <v>770504</v>
      </c>
      <c r="K88" s="38" t="n">
        <v>-1.09</v>
      </c>
    </row>
    <row r="89">
      <c r="A89" s="35" t="inlineStr">
        <is>
          <t>VIJAYA</t>
        </is>
      </c>
      <c r="C89" s="36" t="n">
        <v>1040.8</v>
      </c>
      <c r="D89" s="36" t="n">
        <v>969.27</v>
      </c>
      <c r="E89" s="36" t="n">
        <v>994.0700000000001</v>
      </c>
      <c r="F89" s="36" t="n">
        <v>1162.36</v>
      </c>
      <c r="G89" s="36" t="n">
        <v>1051.25</v>
      </c>
      <c r="H89" s="36" t="n">
        <v>861.4</v>
      </c>
      <c r="I89" s="37" t="n">
        <v>110340</v>
      </c>
      <c r="J89" s="37" t="n">
        <v>91462</v>
      </c>
      <c r="K89" s="38" t="n">
        <v>4.17</v>
      </c>
    </row>
    <row r="90">
      <c r="A90" s="35" t="inlineStr">
        <is>
          <t>NLCINDIA</t>
        </is>
      </c>
      <c r="C90" s="36" t="n">
        <v>301.15</v>
      </c>
      <c r="D90" s="36" t="n">
        <v>269.3</v>
      </c>
      <c r="E90" s="36" t="n">
        <v>253.58</v>
      </c>
      <c r="F90" s="36" t="n">
        <v>318.55</v>
      </c>
      <c r="G90" s="36" t="n">
        <v>318.55</v>
      </c>
      <c r="H90" s="36" t="n">
        <v>239.75</v>
      </c>
      <c r="I90" s="37" t="n">
        <v>2506526</v>
      </c>
      <c r="J90" s="37" t="n">
        <v>1727688</v>
      </c>
      <c r="K90" s="38" t="n">
        <v>17.41</v>
      </c>
    </row>
    <row r="91">
      <c r="A91" s="35" t="inlineStr">
        <is>
          <t>RBA</t>
        </is>
      </c>
      <c r="C91" s="36" t="n">
        <v>63.82</v>
      </c>
      <c r="D91" s="36" t="n">
        <v>62.54</v>
      </c>
      <c r="E91" s="36" t="n">
        <v>68.48999999999999</v>
      </c>
      <c r="F91" s="36" t="n">
        <v>89.5</v>
      </c>
      <c r="G91" s="36" t="n">
        <v>69.81999999999999</v>
      </c>
      <c r="H91" s="36" t="n">
        <v>57.26</v>
      </c>
      <c r="I91" s="37" t="n">
        <v>1403533</v>
      </c>
      <c r="J91" s="37" t="n">
        <v>2149181</v>
      </c>
      <c r="K91" s="38" t="n">
        <v>-7.61</v>
      </c>
    </row>
    <row r="92">
      <c r="A92" s="35" t="inlineStr">
        <is>
          <t>ICICIBANK</t>
        </is>
      </c>
      <c r="C92" s="36" t="n">
        <v>1367.6</v>
      </c>
      <c r="D92" s="36" t="n">
        <v>1322.82</v>
      </c>
      <c r="E92" s="36" t="n">
        <v>1366.53</v>
      </c>
      <c r="F92" s="36" t="n">
        <v>1488.51</v>
      </c>
      <c r="G92" s="36" t="n">
        <v>1443.9</v>
      </c>
      <c r="H92" s="36" t="n">
        <v>1205.9</v>
      </c>
      <c r="I92" s="37" t="n">
        <v>21551520</v>
      </c>
      <c r="J92" s="37" t="n">
        <v>17344394</v>
      </c>
      <c r="K92" s="38" t="n">
        <v>-3.58</v>
      </c>
    </row>
    <row r="93">
      <c r="A93" s="35" t="inlineStr">
        <is>
          <t>LICHSGFIN</t>
        </is>
      </c>
      <c r="C93" s="36" t="n">
        <v>559.05</v>
      </c>
      <c r="D93" s="36" t="n">
        <v>521.59</v>
      </c>
      <c r="E93" s="36" t="n">
        <v>544.3099999999999</v>
      </c>
      <c r="F93" s="36" t="n">
        <v>635.3099999999999</v>
      </c>
      <c r="G93" s="36" t="n">
        <v>568.55</v>
      </c>
      <c r="H93" s="36" t="n">
        <v>460.7</v>
      </c>
      <c r="I93" s="37" t="n">
        <v>1509312</v>
      </c>
      <c r="J93" s="37" t="n">
        <v>1509312</v>
      </c>
      <c r="K93" s="38" t="n">
        <v>4.45</v>
      </c>
    </row>
    <row r="94">
      <c r="A94" s="35" t="inlineStr">
        <is>
          <t>MANKIND</t>
        </is>
      </c>
      <c r="C94" s="36" t="n">
        <v>2235</v>
      </c>
      <c r="D94" s="36" t="n">
        <v>2109.92</v>
      </c>
      <c r="E94" s="36" t="n">
        <v>2255.07</v>
      </c>
      <c r="F94" s="36" t="n">
        <v>2715.43</v>
      </c>
      <c r="G94" s="36" t="n">
        <v>2284.9</v>
      </c>
      <c r="H94" s="36" t="n">
        <v>1927.4</v>
      </c>
      <c r="I94" s="37" t="n">
        <v>567022</v>
      </c>
      <c r="J94" s="37" t="n">
        <v>431208</v>
      </c>
      <c r="K94" s="38" t="n">
        <v>-0.42</v>
      </c>
    </row>
    <row r="95">
      <c r="A95" s="35" t="inlineStr">
        <is>
          <t>BHARTIHEXA</t>
        </is>
      </c>
      <c r="C95" s="36" t="n">
        <v>1550.1</v>
      </c>
      <c r="D95" s="36" t="n">
        <v>1578.53</v>
      </c>
      <c r="E95" s="36" t="n">
        <v>1665.53</v>
      </c>
      <c r="F95" s="36" t="n">
        <v>2041.65</v>
      </c>
      <c r="G95" s="36" t="n">
        <v>1743.3</v>
      </c>
      <c r="H95" s="36" t="n">
        <v>1465.6</v>
      </c>
      <c r="I95" s="37" t="n">
        <v>197740</v>
      </c>
      <c r="J95" s="37" t="n">
        <v>140666</v>
      </c>
      <c r="K95" s="38" t="n">
        <v>-5.47</v>
      </c>
    </row>
    <row r="96">
      <c r="A96" s="35" t="inlineStr">
        <is>
          <t>CORONA</t>
        </is>
      </c>
    </row>
    <row r="97">
      <c r="A97" s="35" t="inlineStr">
        <is>
          <t>TEGA</t>
        </is>
      </c>
      <c r="C97" s="36" t="n">
        <v>1724.5</v>
      </c>
      <c r="D97" s="36" t="n">
        <v>1732.61</v>
      </c>
      <c r="E97" s="36" t="n">
        <v>1759.35</v>
      </c>
      <c r="F97" s="36" t="n">
        <v>2125</v>
      </c>
      <c r="G97" s="36" t="n">
        <v>1901.6</v>
      </c>
      <c r="H97" s="36" t="n">
        <v>1585.5</v>
      </c>
      <c r="I97" s="37" t="n">
        <v>55576</v>
      </c>
      <c r="J97" s="37" t="n">
        <v>76080</v>
      </c>
      <c r="K97" s="38" t="n">
        <v>-8.039999999999999</v>
      </c>
    </row>
    <row r="98">
      <c r="A98" s="35" t="inlineStr">
        <is>
          <t>GLENMARK</t>
        </is>
      </c>
      <c r="C98" s="36" t="n">
        <v>2240</v>
      </c>
      <c r="D98" s="36" t="n">
        <v>2130.73</v>
      </c>
      <c r="E98" s="36" t="n">
        <v>1962.79</v>
      </c>
      <c r="F98" s="36" t="n">
        <v>2297.9</v>
      </c>
      <c r="G98" s="36" t="n">
        <v>2297.9</v>
      </c>
      <c r="H98" s="36" t="n">
        <v>1920.4</v>
      </c>
      <c r="I98" s="37" t="n">
        <v>544557</v>
      </c>
      <c r="J98" s="37" t="n">
        <v>465494</v>
      </c>
      <c r="K98" s="38" t="n">
        <v>11.37</v>
      </c>
    </row>
    <row r="99">
      <c r="A99" s="35" t="inlineStr">
        <is>
          <t>BLACKBUCK</t>
        </is>
      </c>
      <c r="C99" s="36" t="n">
        <v>622.05</v>
      </c>
      <c r="D99" s="36" t="n">
        <v>595.8</v>
      </c>
      <c r="E99" s="36" t="n">
        <v>581.04</v>
      </c>
      <c r="F99" s="36" t="n">
        <v>748</v>
      </c>
      <c r="G99" s="36" t="n">
        <v>671</v>
      </c>
      <c r="H99" s="36" t="n">
        <v>536</v>
      </c>
      <c r="I99" s="37" t="n">
        <v>492702</v>
      </c>
      <c r="J99" s="37" t="n">
        <v>550343</v>
      </c>
      <c r="K99" s="38" t="n">
        <v>-5.43</v>
      </c>
    </row>
    <row r="100">
      <c r="A100" s="35" t="inlineStr">
        <is>
          <t>SBILIFE</t>
        </is>
      </c>
      <c r="C100" s="36" t="n">
        <v>1884.8</v>
      </c>
      <c r="D100" s="36" t="n">
        <v>1937.05</v>
      </c>
      <c r="E100" s="36" t="n">
        <v>1920.31</v>
      </c>
      <c r="F100" s="36" t="n">
        <v>2129.04</v>
      </c>
      <c r="G100" s="36" t="n">
        <v>2129.04</v>
      </c>
      <c r="H100" s="36" t="n">
        <v>1774</v>
      </c>
      <c r="I100" s="37" t="n">
        <v>1167758</v>
      </c>
      <c r="J100" s="37" t="n">
        <v>1009225</v>
      </c>
      <c r="K100" s="38" t="n">
        <v>-8.77</v>
      </c>
    </row>
    <row r="101">
      <c r="A101" s="35" t="inlineStr">
        <is>
          <t>JSFB</t>
        </is>
      </c>
      <c r="C101" s="36" t="n">
        <v>451.45</v>
      </c>
      <c r="D101" s="36" t="n">
        <v>384.64</v>
      </c>
      <c r="E101" s="36" t="n">
        <v>424.32</v>
      </c>
      <c r="F101" s="36" t="n">
        <v>552.5</v>
      </c>
      <c r="G101" s="36" t="n">
        <v>463.2</v>
      </c>
      <c r="H101" s="36" t="n">
        <v>341.85</v>
      </c>
      <c r="I101" s="37" t="n">
        <v>259864</v>
      </c>
      <c r="J101" s="37" t="n">
        <v>319259</v>
      </c>
      <c r="K101" s="38" t="n">
        <v>12.64</v>
      </c>
    </row>
    <row r="102">
      <c r="A102" s="35" t="inlineStr">
        <is>
          <t>METROPOLIS</t>
        </is>
      </c>
      <c r="C102" s="36" t="n">
        <v>476.65</v>
      </c>
      <c r="D102" s="36" t="n">
        <v>462.79</v>
      </c>
      <c r="E102" s="36" t="n">
        <v>471.05</v>
      </c>
      <c r="F102" s="36" t="n">
        <v>564.58</v>
      </c>
      <c r="G102" s="36" t="n">
        <v>511</v>
      </c>
      <c r="H102" s="36" t="n">
        <v>421.75</v>
      </c>
      <c r="I102" s="37" t="n">
        <v>201956</v>
      </c>
      <c r="J102" s="37" t="n">
        <v>142192</v>
      </c>
      <c r="K102" s="38" t="n">
        <v>1.17</v>
      </c>
    </row>
    <row r="103">
      <c r="A103" s="35" t="inlineStr">
        <is>
          <t>TVSMOTOR</t>
        </is>
      </c>
      <c r="C103" s="36" t="n">
        <v>3660.7</v>
      </c>
      <c r="D103" s="36" t="n">
        <v>3642.31</v>
      </c>
      <c r="E103" s="36" t="n">
        <v>3463.44</v>
      </c>
      <c r="F103" s="36" t="n">
        <v>3956.17</v>
      </c>
      <c r="G103" s="36" t="n">
        <v>3956.17</v>
      </c>
      <c r="H103" s="36" t="n">
        <v>3312.92</v>
      </c>
      <c r="I103" s="37" t="n">
        <v>796908</v>
      </c>
      <c r="J103" s="37" t="n">
        <v>816771</v>
      </c>
      <c r="K103" s="38" t="n">
        <v>-0.46</v>
      </c>
    </row>
    <row r="104">
      <c r="A104" s="35" t="inlineStr">
        <is>
          <t>GLAND</t>
        </is>
      </c>
      <c r="C104" s="36" t="n">
        <v>1800.6</v>
      </c>
      <c r="D104" s="36" t="n">
        <v>1736.79</v>
      </c>
      <c r="E104" s="36" t="n">
        <v>1741.98</v>
      </c>
      <c r="F104" s="36" t="n">
        <v>2111.33</v>
      </c>
      <c r="G104" s="36" t="n">
        <v>1984.9</v>
      </c>
      <c r="H104" s="36" t="n">
        <v>1596.8</v>
      </c>
      <c r="I104" s="37" t="n">
        <v>83880</v>
      </c>
      <c r="J104" s="37" t="n">
        <v>82573</v>
      </c>
      <c r="K104" s="38" t="n">
        <v>4.73</v>
      </c>
    </row>
    <row r="105">
      <c r="A105" s="35" t="inlineStr">
        <is>
          <t>PIDILITIND</t>
        </is>
      </c>
      <c r="C105" s="36" t="n">
        <v>1419</v>
      </c>
      <c r="D105" s="36" t="n">
        <v>1387.94</v>
      </c>
      <c r="E105" s="36" t="n">
        <v>1452.02</v>
      </c>
      <c r="F105" s="36" t="n">
        <v>1574.95</v>
      </c>
      <c r="G105" s="36" t="n">
        <v>1525</v>
      </c>
      <c r="H105" s="36" t="n">
        <v>1273.6</v>
      </c>
      <c r="I105" s="37" t="n">
        <v>898444</v>
      </c>
      <c r="J105" s="37" t="n">
        <v>722566</v>
      </c>
      <c r="K105" s="38" t="n">
        <v>-5.1</v>
      </c>
    </row>
    <row r="106">
      <c r="A106" s="35" t="inlineStr">
        <is>
          <t>ORKLAINDIA</t>
        </is>
      </c>
    </row>
    <row r="107">
      <c r="A107" s="35" t="inlineStr">
        <is>
          <t>INDIANB</t>
        </is>
      </c>
      <c r="C107" s="36" t="n">
        <v>925.35</v>
      </c>
      <c r="D107" s="36" t="n">
        <v>906.78</v>
      </c>
      <c r="E107" s="36" t="n">
        <v>812.42</v>
      </c>
      <c r="F107" s="36" t="n">
        <v>1000.9</v>
      </c>
      <c r="G107" s="36" t="n">
        <v>1000.9</v>
      </c>
      <c r="H107" s="36" t="n">
        <v>834.8</v>
      </c>
      <c r="I107" s="37" t="n">
        <v>2024925</v>
      </c>
      <c r="J107" s="37" t="n">
        <v>1896842</v>
      </c>
      <c r="K107" s="38" t="n">
        <v>9.33</v>
      </c>
    </row>
    <row r="108">
      <c r="A108" s="35" t="inlineStr">
        <is>
          <t>VEDL</t>
        </is>
      </c>
      <c r="C108" s="36" t="n">
        <v>757</v>
      </c>
      <c r="D108" s="36" t="n">
        <v>696.35</v>
      </c>
      <c r="E108" s="36" t="n">
        <v>579.58</v>
      </c>
      <c r="F108" s="36" t="n">
        <v>795</v>
      </c>
      <c r="G108" s="36" t="n">
        <v>795</v>
      </c>
      <c r="H108" s="36" t="n">
        <v>635.14</v>
      </c>
      <c r="I108" s="37" t="n">
        <v>15515507</v>
      </c>
      <c r="J108" s="37" t="n">
        <v>15151305</v>
      </c>
      <c r="K108" s="38" t="n">
        <v>13.89</v>
      </c>
    </row>
    <row r="109">
      <c r="A109" s="35" t="inlineStr">
        <is>
          <t>FLUOROCHEM</t>
        </is>
      </c>
      <c r="C109" s="36" t="n">
        <v>3273.4</v>
      </c>
      <c r="D109" s="36" t="n">
        <v>3292.93</v>
      </c>
      <c r="E109" s="36" t="n">
        <v>3464.74</v>
      </c>
      <c r="F109" s="36" t="n">
        <v>4046.8</v>
      </c>
      <c r="G109" s="36" t="n">
        <v>3600</v>
      </c>
      <c r="H109" s="36" t="n">
        <v>2980.4</v>
      </c>
      <c r="I109" s="37" t="n">
        <v>45033</v>
      </c>
      <c r="J109" s="37" t="n">
        <v>61112</v>
      </c>
      <c r="K109" s="38" t="n">
        <v>-3.66</v>
      </c>
    </row>
    <row r="110">
      <c r="A110" s="35" t="inlineStr">
        <is>
          <t>SHYAMMETL</t>
        </is>
      </c>
      <c r="C110" s="36" t="n">
        <v>812.55</v>
      </c>
      <c r="D110" s="36" t="n">
        <v>822.85</v>
      </c>
      <c r="E110" s="36" t="n">
        <v>848.8200000000001</v>
      </c>
      <c r="F110" s="36" t="n">
        <v>998.67</v>
      </c>
      <c r="G110" s="36" t="n">
        <v>912.8</v>
      </c>
      <c r="H110" s="36" t="n">
        <v>761.45</v>
      </c>
      <c r="I110" s="37" t="n">
        <v>225185</v>
      </c>
      <c r="J110" s="37" t="n">
        <v>151714</v>
      </c>
      <c r="K110" s="38" t="n">
        <v>-2.89</v>
      </c>
    </row>
    <row r="111">
      <c r="A111" s="35" t="inlineStr">
        <is>
          <t>EXIDEIND</t>
        </is>
      </c>
      <c r="C111" s="36" t="n">
        <v>354.55</v>
      </c>
      <c r="D111" s="36" t="n">
        <v>322.89</v>
      </c>
      <c r="E111" s="36" t="n">
        <v>352.29</v>
      </c>
      <c r="F111" s="36" t="n">
        <v>431</v>
      </c>
      <c r="G111" s="36" t="n">
        <v>360.45</v>
      </c>
      <c r="H111" s="36" t="n">
        <v>287.9</v>
      </c>
      <c r="I111" s="37" t="n">
        <v>1791841</v>
      </c>
      <c r="J111" s="37" t="n">
        <v>1488086</v>
      </c>
      <c r="K111" s="38" t="n">
        <v>2.66</v>
      </c>
    </row>
    <row r="112">
      <c r="A112" s="35" t="inlineStr">
        <is>
          <t>ERIS</t>
        </is>
      </c>
      <c r="C112" s="36" t="n">
        <v>1352.8</v>
      </c>
      <c r="D112" s="36" t="n">
        <v>1379.08</v>
      </c>
      <c r="E112" s="36" t="n">
        <v>1487.82</v>
      </c>
      <c r="F112" s="36" t="n">
        <v>1910</v>
      </c>
      <c r="G112" s="36" t="n">
        <v>1529</v>
      </c>
      <c r="H112" s="36" t="n">
        <v>1271</v>
      </c>
      <c r="I112" s="37" t="n">
        <v>79989</v>
      </c>
      <c r="J112" s="37" t="n">
        <v>56908</v>
      </c>
      <c r="K112" s="38" t="n">
        <v>-8.42</v>
      </c>
    </row>
    <row r="113">
      <c r="A113" s="35" t="inlineStr">
        <is>
          <t>MAXHEALTH</t>
        </is>
      </c>
      <c r="C113" s="36" t="n">
        <v>1005.35</v>
      </c>
      <c r="D113" s="36" t="n">
        <v>1003.62</v>
      </c>
      <c r="E113" s="36" t="n">
        <v>1074.02</v>
      </c>
      <c r="F113" s="36" t="n">
        <v>1314.3</v>
      </c>
      <c r="G113" s="36" t="n">
        <v>1112.55</v>
      </c>
      <c r="H113" s="36" t="n">
        <v>931.6</v>
      </c>
      <c r="I113" s="37" t="n">
        <v>2719592</v>
      </c>
      <c r="J113" s="37" t="n">
        <v>2759016</v>
      </c>
      <c r="K113" s="38" t="n">
        <v>-2.73</v>
      </c>
    </row>
    <row r="114">
      <c r="A114" s="35" t="inlineStr">
        <is>
          <t>AGARWALEYE</t>
        </is>
      </c>
      <c r="C114" s="36" t="n">
        <v>461.15</v>
      </c>
      <c r="D114" s="36" t="n">
        <v>443.73</v>
      </c>
      <c r="E114" s="36" t="n">
        <v>451.74</v>
      </c>
      <c r="F114" s="36" t="n">
        <v>568</v>
      </c>
      <c r="G114" s="36" t="n">
        <v>508.75</v>
      </c>
      <c r="H114" s="36" t="n">
        <v>406.55</v>
      </c>
      <c r="I114" s="37" t="n">
        <v>87632</v>
      </c>
      <c r="J114" s="37" t="n">
        <v>106183</v>
      </c>
      <c r="K114" s="38" t="n">
        <v>-7.79</v>
      </c>
    </row>
    <row r="115">
      <c r="A115" s="35" t="inlineStr">
        <is>
          <t>NH</t>
        </is>
      </c>
      <c r="C115" s="36" t="n">
        <v>1811.3</v>
      </c>
      <c r="D115" s="36" t="n">
        <v>1754.5</v>
      </c>
      <c r="E115" s="36" t="n">
        <v>1802.97</v>
      </c>
      <c r="F115" s="36" t="n">
        <v>2364.63</v>
      </c>
      <c r="G115" s="36" t="n">
        <v>1950</v>
      </c>
      <c r="H115" s="36" t="n">
        <v>1605.3</v>
      </c>
      <c r="I115" s="37" t="n">
        <v>266200</v>
      </c>
      <c r="J115" s="37" t="n">
        <v>273270</v>
      </c>
      <c r="K115" s="38" t="n">
        <v>-6.93</v>
      </c>
    </row>
    <row r="116">
      <c r="A116" s="35" t="inlineStr">
        <is>
          <t>ONGC</t>
        </is>
      </c>
      <c r="C116" s="36" t="n">
        <v>283.65</v>
      </c>
      <c r="D116" s="36" t="n">
        <v>273.05</v>
      </c>
      <c r="E116" s="36" t="n">
        <v>251.2</v>
      </c>
      <c r="F116" s="36" t="n">
        <v>293</v>
      </c>
      <c r="G116" s="36" t="n">
        <v>293</v>
      </c>
      <c r="H116" s="36" t="n">
        <v>234.86</v>
      </c>
      <c r="I116" s="37" t="n">
        <v>19436124</v>
      </c>
      <c r="J116" s="37" t="n">
        <v>18411729</v>
      </c>
      <c r="K116" s="38" t="n">
        <v>16.96</v>
      </c>
    </row>
    <row r="117">
      <c r="A117" s="35" t="inlineStr">
        <is>
          <t>DIACABS</t>
        </is>
      </c>
      <c r="C117" s="36" t="n">
        <v>159.81</v>
      </c>
      <c r="D117" s="36" t="n">
        <v>136.27</v>
      </c>
      <c r="E117" s="36" t="n">
        <v>133.88</v>
      </c>
      <c r="F117" s="36" t="n">
        <v>183.5</v>
      </c>
      <c r="G117" s="36" t="n">
        <v>165.7</v>
      </c>
      <c r="H117" s="36" t="n">
        <v>117.94</v>
      </c>
      <c r="I117" s="37" t="n">
        <v>1682397</v>
      </c>
      <c r="J117" s="37" t="n">
        <v>1459263</v>
      </c>
      <c r="K117" s="38" t="n">
        <v>22.74</v>
      </c>
    </row>
    <row r="118">
      <c r="A118" s="35" t="inlineStr">
        <is>
          <t>GLAXO</t>
        </is>
      </c>
      <c r="C118" s="36" t="n">
        <v>2465.6</v>
      </c>
      <c r="D118" s="36" t="n">
        <v>2431.83</v>
      </c>
      <c r="E118" s="36" t="n">
        <v>2591.42</v>
      </c>
      <c r="F118" s="36" t="n">
        <v>3515.7</v>
      </c>
      <c r="G118" s="36" t="n">
        <v>2719.8</v>
      </c>
      <c r="H118" s="36" t="n">
        <v>2259.5</v>
      </c>
      <c r="I118" s="37" t="n">
        <v>56237</v>
      </c>
      <c r="J118" s="37" t="n">
        <v>56237</v>
      </c>
      <c r="K118" s="38" t="n">
        <v>2.96</v>
      </c>
    </row>
    <row r="119">
      <c r="A119" s="35" t="inlineStr">
        <is>
          <t>MARKSANS</t>
        </is>
      </c>
      <c r="C119" s="36" t="n">
        <v>179.56</v>
      </c>
      <c r="D119" s="36" t="n">
        <v>173.5</v>
      </c>
      <c r="E119" s="36" t="n">
        <v>186.14</v>
      </c>
      <c r="F119" s="36" t="n">
        <v>269.75</v>
      </c>
      <c r="G119" s="36" t="n">
        <v>191.74</v>
      </c>
      <c r="H119" s="36" t="n">
        <v>156.89</v>
      </c>
      <c r="I119" s="37" t="n">
        <v>614756</v>
      </c>
      <c r="J119" s="37" t="n">
        <v>606441</v>
      </c>
      <c r="K119" s="38" t="n">
        <v>4.12</v>
      </c>
    </row>
    <row r="120">
      <c r="A120" s="35" t="inlineStr">
        <is>
          <t>CAMS</t>
        </is>
      </c>
      <c r="C120" s="36" t="n">
        <v>755.6</v>
      </c>
      <c r="D120" s="36" t="n">
        <v>697.14</v>
      </c>
      <c r="E120" s="36" t="n">
        <v>732.42</v>
      </c>
      <c r="F120" s="36" t="n">
        <v>860.9400000000001</v>
      </c>
      <c r="G120" s="36" t="n">
        <v>759.9</v>
      </c>
      <c r="H120" s="36" t="n">
        <v>622.45</v>
      </c>
      <c r="I120" s="37" t="n">
        <v>1218177</v>
      </c>
      <c r="J120" s="37" t="n">
        <v>1164463</v>
      </c>
      <c r="K120" s="38" t="n">
        <v>5.3</v>
      </c>
    </row>
    <row r="121">
      <c r="A121" s="35" t="inlineStr">
        <is>
          <t>OIL</t>
        </is>
      </c>
      <c r="C121" s="36" t="n">
        <v>469.75</v>
      </c>
      <c r="D121" s="36" t="n">
        <v>467</v>
      </c>
      <c r="E121" s="36" t="n">
        <v>438.01</v>
      </c>
      <c r="F121" s="36" t="n">
        <v>516.11</v>
      </c>
      <c r="G121" s="36" t="n">
        <v>516.11</v>
      </c>
      <c r="H121" s="36" t="n">
        <v>422.54</v>
      </c>
      <c r="I121" s="37" t="n">
        <v>4996363</v>
      </c>
      <c r="J121" s="37" t="n">
        <v>4296456</v>
      </c>
      <c r="K121" s="38" t="n">
        <v>4.13</v>
      </c>
    </row>
    <row r="122">
      <c r="A122" s="35" t="inlineStr">
        <is>
          <t>CARBORUNIV</t>
        </is>
      </c>
      <c r="C122" s="36" t="n">
        <v>941.4</v>
      </c>
      <c r="D122" s="36" t="n">
        <v>839.54</v>
      </c>
      <c r="E122" s="36" t="n">
        <v>874.65</v>
      </c>
      <c r="F122" s="36" t="n">
        <v>1045.27</v>
      </c>
      <c r="G122" s="36" t="n">
        <v>959</v>
      </c>
      <c r="H122" s="36" t="n">
        <v>748.35</v>
      </c>
      <c r="I122" s="37" t="n">
        <v>148605</v>
      </c>
      <c r="J122" s="37" t="n">
        <v>129107</v>
      </c>
      <c r="K122" s="38" t="n">
        <v>16.38</v>
      </c>
    </row>
    <row r="123">
      <c r="A123" s="35" t="inlineStr">
        <is>
          <t>HINDUNILVR</t>
        </is>
      </c>
      <c r="C123" s="36" t="n">
        <v>2368.8</v>
      </c>
      <c r="D123" s="36" t="n">
        <v>2218.26</v>
      </c>
      <c r="E123" s="36" t="n">
        <v>2325.75</v>
      </c>
      <c r="F123" s="36" t="n">
        <v>2728.55</v>
      </c>
      <c r="G123" s="36" t="n">
        <v>2479.6</v>
      </c>
      <c r="H123" s="36" t="n">
        <v>2052.2</v>
      </c>
      <c r="I123" s="37" t="n">
        <v>2144484</v>
      </c>
      <c r="J123" s="37" t="n">
        <v>1745964</v>
      </c>
      <c r="K123" s="38" t="n">
        <v>0.65</v>
      </c>
    </row>
    <row r="124">
      <c r="A124" s="35" t="inlineStr">
        <is>
          <t>CANFINHOME</t>
        </is>
      </c>
      <c r="C124" s="36" t="n">
        <v>912.3</v>
      </c>
      <c r="D124" s="36" t="n">
        <v>858.3</v>
      </c>
      <c r="E124" s="36" t="n">
        <v>839.5700000000001</v>
      </c>
      <c r="F124" s="36" t="n">
        <v>971.5</v>
      </c>
      <c r="G124" s="36" t="n">
        <v>963.8</v>
      </c>
      <c r="H124" s="36" t="n">
        <v>792.05</v>
      </c>
      <c r="I124" s="37" t="n">
        <v>140522</v>
      </c>
      <c r="J124" s="37" t="n">
        <v>142674</v>
      </c>
      <c r="K124" s="38" t="n">
        <v>-0.5600000000000001</v>
      </c>
    </row>
    <row r="125">
      <c r="A125" s="35" t="inlineStr">
        <is>
          <t>NYKAA</t>
        </is>
      </c>
      <c r="C125" s="36" t="n">
        <v>259.94</v>
      </c>
      <c r="D125" s="36" t="n">
        <v>254.31</v>
      </c>
      <c r="E125" s="36" t="n">
        <v>243.73</v>
      </c>
      <c r="F125" s="36" t="n">
        <v>285.6</v>
      </c>
      <c r="G125" s="36" t="n">
        <v>285.6</v>
      </c>
      <c r="H125" s="36" t="n">
        <v>234.7</v>
      </c>
      <c r="I125" s="37" t="n">
        <v>4176546</v>
      </c>
      <c r="J125" s="37" t="n">
        <v>4174364</v>
      </c>
      <c r="K125" s="38" t="n">
        <v>2</v>
      </c>
    </row>
    <row r="126">
      <c r="A126" s="35" t="inlineStr">
        <is>
          <t>JSWENERGY</t>
        </is>
      </c>
      <c r="C126" s="36" t="n">
        <v>560.55</v>
      </c>
      <c r="D126" s="36" t="n">
        <v>501.55</v>
      </c>
      <c r="E126" s="36" t="n">
        <v>498.01</v>
      </c>
      <c r="F126" s="36" t="n">
        <v>562.8</v>
      </c>
      <c r="G126" s="36" t="n">
        <v>562.8</v>
      </c>
      <c r="H126" s="36" t="n">
        <v>440.05</v>
      </c>
      <c r="I126" s="37" t="n">
        <v>3486905</v>
      </c>
      <c r="J126" s="37" t="n">
        <v>2507740</v>
      </c>
      <c r="K126" s="38" t="n">
        <v>13.32</v>
      </c>
    </row>
    <row r="127">
      <c r="A127" s="35" t="inlineStr">
        <is>
          <t>GMDCLTD</t>
        </is>
      </c>
      <c r="C127" s="36" t="n">
        <v>691.35</v>
      </c>
      <c r="D127" s="36" t="n">
        <v>597.73</v>
      </c>
      <c r="E127" s="36" t="n">
        <v>528.59</v>
      </c>
      <c r="F127" s="36" t="n">
        <v>771.9</v>
      </c>
      <c r="G127" s="36" t="n">
        <v>771.9</v>
      </c>
      <c r="H127" s="36" t="n">
        <v>518.8</v>
      </c>
      <c r="I127" s="37" t="n">
        <v>3569629</v>
      </c>
      <c r="J127" s="37" t="n">
        <v>2801215</v>
      </c>
      <c r="K127" s="38" t="n">
        <v>20.79</v>
      </c>
    </row>
    <row r="128">
      <c r="A128" s="35" t="inlineStr">
        <is>
          <t>TENNIND</t>
        </is>
      </c>
    </row>
    <row r="129">
      <c r="A129" s="35" t="inlineStr">
        <is>
          <t>LAURUSLABS</t>
        </is>
      </c>
      <c r="C129" s="36" t="n">
        <v>1096.1</v>
      </c>
      <c r="D129" s="36" t="n">
        <v>1047.64</v>
      </c>
      <c r="E129" s="36" t="n">
        <v>950.46</v>
      </c>
      <c r="F129" s="36" t="n">
        <v>1144.85</v>
      </c>
      <c r="G129" s="36" t="n">
        <v>1144.85</v>
      </c>
      <c r="H129" s="36" t="n">
        <v>944.9</v>
      </c>
      <c r="I129" s="37" t="n">
        <v>1521765</v>
      </c>
      <c r="J129" s="37" t="n">
        <v>1562842</v>
      </c>
      <c r="K129" s="38" t="n">
        <v>0.51</v>
      </c>
    </row>
    <row r="130">
      <c r="A130" s="35" t="inlineStr">
        <is>
          <t>ADANIPORTS</t>
        </is>
      </c>
      <c r="C130" s="36" t="n">
        <v>1588.6</v>
      </c>
      <c r="D130" s="36" t="n">
        <v>1460.8</v>
      </c>
      <c r="E130" s="36" t="n">
        <v>1427.3</v>
      </c>
      <c r="F130" s="36" t="n">
        <v>1611.9</v>
      </c>
      <c r="G130" s="36" t="n">
        <v>1611.9</v>
      </c>
      <c r="H130" s="36" t="n">
        <v>1303.6</v>
      </c>
      <c r="I130" s="37" t="n">
        <v>3210456</v>
      </c>
      <c r="J130" s="37" t="n">
        <v>2706284</v>
      </c>
      <c r="K130" s="38" t="n">
        <v>11.09</v>
      </c>
    </row>
    <row r="131">
      <c r="A131" s="35" t="inlineStr">
        <is>
          <t>LGEINDIA</t>
        </is>
      </c>
    </row>
    <row r="132">
      <c r="A132" s="35" t="inlineStr">
        <is>
          <t>NCC</t>
        </is>
      </c>
      <c r="C132" s="36" t="n">
        <v>163.98</v>
      </c>
      <c r="D132" s="36" t="n">
        <v>150.17</v>
      </c>
      <c r="E132" s="36" t="n">
        <v>173.59</v>
      </c>
      <c r="F132" s="36" t="n">
        <v>239.76</v>
      </c>
      <c r="G132" s="36" t="n">
        <v>166.82</v>
      </c>
      <c r="H132" s="36" t="n">
        <v>130.94</v>
      </c>
      <c r="I132" s="37" t="n">
        <v>3331768</v>
      </c>
      <c r="J132" s="37" t="n">
        <v>2749247</v>
      </c>
      <c r="K132" s="38" t="n">
        <v>9.34</v>
      </c>
    </row>
    <row r="133">
      <c r="A133" s="35" t="inlineStr">
        <is>
          <t>GMRAIRPORT</t>
        </is>
      </c>
      <c r="C133" s="36" t="n">
        <v>97.39</v>
      </c>
      <c r="D133" s="36" t="n">
        <v>94.84</v>
      </c>
      <c r="E133" s="36" t="n">
        <v>94.43000000000001</v>
      </c>
      <c r="F133" s="36" t="n">
        <v>110.36</v>
      </c>
      <c r="G133" s="36" t="n">
        <v>103.03</v>
      </c>
      <c r="H133" s="36" t="n">
        <v>84.75</v>
      </c>
      <c r="I133" s="37" t="n">
        <v>14013744</v>
      </c>
      <c r="J133" s="37" t="n">
        <v>12568247</v>
      </c>
      <c r="K133" s="38" t="n">
        <v>-2.32</v>
      </c>
    </row>
    <row r="134">
      <c r="A134" s="35" t="inlineStr">
        <is>
          <t>PIIND</t>
        </is>
      </c>
      <c r="C134" s="36" t="n">
        <v>3057.3</v>
      </c>
      <c r="D134" s="36" t="n">
        <v>3011.89</v>
      </c>
      <c r="E134" s="36" t="n">
        <v>3321.71</v>
      </c>
      <c r="F134" s="36" t="n">
        <v>4312.31</v>
      </c>
      <c r="G134" s="36" t="n">
        <v>3394.42</v>
      </c>
      <c r="H134" s="36" t="n">
        <v>2718.8</v>
      </c>
      <c r="I134" s="37" t="n">
        <v>244047</v>
      </c>
      <c r="J134" s="37" t="n">
        <v>224146</v>
      </c>
      <c r="K134" s="38" t="n">
        <v>-6.85</v>
      </c>
    </row>
    <row r="135">
      <c r="A135" s="35" t="inlineStr">
        <is>
          <t>AXISBANK</t>
        </is>
      </c>
      <c r="C135" s="36" t="n">
        <v>1379.6</v>
      </c>
      <c r="D135" s="36" t="n">
        <v>1297.54</v>
      </c>
      <c r="E135" s="36" t="n">
        <v>1250.68</v>
      </c>
      <c r="F135" s="36" t="n">
        <v>1418.3</v>
      </c>
      <c r="G135" s="36" t="n">
        <v>1418.3</v>
      </c>
      <c r="H135" s="36" t="n">
        <v>1161.3</v>
      </c>
      <c r="I135" s="37" t="n">
        <v>7518686</v>
      </c>
      <c r="J135" s="37" t="n">
        <v>6595695</v>
      </c>
      <c r="K135" s="38" t="n">
        <v>6.22</v>
      </c>
    </row>
    <row r="136">
      <c r="A136" s="35" t="inlineStr">
        <is>
          <t>IGIL</t>
        </is>
      </c>
      <c r="C136" s="36" t="n">
        <v>362.35</v>
      </c>
      <c r="D136" s="36" t="n">
        <v>333.95</v>
      </c>
      <c r="E136" s="36" t="n">
        <v>335.95</v>
      </c>
      <c r="F136" s="36" t="n">
        <v>435.36</v>
      </c>
      <c r="G136" s="36" t="n">
        <v>384.95</v>
      </c>
      <c r="H136" s="36" t="n">
        <v>288.77</v>
      </c>
      <c r="I136" s="37" t="n">
        <v>445063</v>
      </c>
      <c r="J136" s="37" t="n">
        <v>572117</v>
      </c>
      <c r="K136" s="38" t="n">
        <v>16.68</v>
      </c>
    </row>
    <row r="137">
      <c r="A137" s="35" t="inlineStr">
        <is>
          <t>SUMICHEM</t>
        </is>
      </c>
      <c r="C137" s="36" t="n">
        <v>444.25</v>
      </c>
      <c r="D137" s="36" t="n">
        <v>411.91</v>
      </c>
      <c r="E137" s="36" t="n">
        <v>459.16</v>
      </c>
      <c r="F137" s="36" t="n">
        <v>665</v>
      </c>
      <c r="G137" s="36" t="n">
        <v>453.5</v>
      </c>
      <c r="H137" s="36" t="n">
        <v>364.45</v>
      </c>
      <c r="I137" s="37" t="n">
        <v>276206</v>
      </c>
      <c r="J137" s="37" t="n">
        <v>264328</v>
      </c>
      <c r="K137" s="38" t="n">
        <v>3.27</v>
      </c>
    </row>
    <row r="138">
      <c r="A138" s="35" t="inlineStr">
        <is>
          <t>NESCO</t>
        </is>
      </c>
      <c r="C138" s="36" t="n">
        <v>1200.8</v>
      </c>
      <c r="D138" s="36" t="n">
        <v>1126.53</v>
      </c>
      <c r="E138" s="36" t="n">
        <v>1169.06</v>
      </c>
      <c r="F138" s="36" t="n">
        <v>1638.9</v>
      </c>
      <c r="G138" s="36" t="n">
        <v>1245</v>
      </c>
      <c r="H138" s="36" t="n">
        <v>1014</v>
      </c>
      <c r="I138" s="37" t="n">
        <v>49481</v>
      </c>
      <c r="J138" s="37" t="n">
        <v>49141</v>
      </c>
      <c r="K138" s="38" t="n">
        <v>3.24</v>
      </c>
    </row>
    <row r="139">
      <c r="A139" s="35" t="inlineStr">
        <is>
          <t>SUPREMEIND</t>
        </is>
      </c>
      <c r="C139" s="36" t="n">
        <v>3691.4</v>
      </c>
      <c r="D139" s="36" t="n">
        <v>3765.62</v>
      </c>
      <c r="E139" s="36" t="n">
        <v>3800.22</v>
      </c>
      <c r="F139" s="36" t="n">
        <v>4699.79</v>
      </c>
      <c r="G139" s="36" t="n">
        <v>4074.8</v>
      </c>
      <c r="H139" s="36" t="n">
        <v>3348.7</v>
      </c>
      <c r="I139" s="37" t="n">
        <v>264233</v>
      </c>
      <c r="J139" s="37" t="n">
        <v>260210</v>
      </c>
      <c r="K139" s="38" t="n">
        <v>5.92</v>
      </c>
    </row>
    <row r="140">
      <c r="A140" s="35" t="inlineStr">
        <is>
          <t>POLICYBZR</t>
        </is>
      </c>
      <c r="C140" s="36" t="n">
        <v>1625.8</v>
      </c>
      <c r="D140" s="36" t="n">
        <v>1533.03</v>
      </c>
      <c r="E140" s="36" t="n">
        <v>1650.25</v>
      </c>
      <c r="F140" s="36" t="n">
        <v>1978</v>
      </c>
      <c r="G140" s="36" t="n">
        <v>1722</v>
      </c>
      <c r="H140" s="36" t="n">
        <v>1426.9</v>
      </c>
      <c r="I140" s="37" t="n">
        <v>1610123</v>
      </c>
      <c r="J140" s="37" t="n">
        <v>1610123</v>
      </c>
      <c r="K140" s="38" t="n">
        <v>-0.76</v>
      </c>
    </row>
    <row r="141">
      <c r="A141" s="35" t="inlineStr">
        <is>
          <t>WHIRLPOOL</t>
        </is>
      </c>
      <c r="C141" s="36" t="n">
        <v>932.2</v>
      </c>
      <c r="D141" s="36" t="n">
        <v>866.26</v>
      </c>
      <c r="E141" s="36" t="n">
        <v>1020.19</v>
      </c>
      <c r="F141" s="36" t="n">
        <v>1468.14</v>
      </c>
      <c r="G141" s="36" t="n">
        <v>945.6</v>
      </c>
      <c r="H141" s="36" t="n">
        <v>773.8</v>
      </c>
      <c r="I141" s="37" t="n">
        <v>280872</v>
      </c>
      <c r="J141" s="37" t="n">
        <v>323756</v>
      </c>
      <c r="K141" s="38" t="n">
        <v>16.15</v>
      </c>
    </row>
    <row r="142">
      <c r="A142" s="35" t="inlineStr">
        <is>
          <t>GILLETTE</t>
        </is>
      </c>
      <c r="C142" s="36" t="n">
        <v>7929.5</v>
      </c>
      <c r="D142" s="36" t="n">
        <v>7945.83</v>
      </c>
      <c r="E142" s="36" t="n">
        <v>8417.98</v>
      </c>
      <c r="F142" s="36" t="n">
        <v>11214.86</v>
      </c>
      <c r="G142" s="36" t="n">
        <v>8887.5</v>
      </c>
      <c r="H142" s="36" t="n">
        <v>7253.5</v>
      </c>
      <c r="I142" s="37" t="n">
        <v>28824</v>
      </c>
      <c r="J142" s="37" t="n">
        <v>22629</v>
      </c>
      <c r="K142" s="38" t="n">
        <v>0.6899999999999999</v>
      </c>
    </row>
    <row r="143">
      <c r="A143" s="35" t="inlineStr">
        <is>
          <t>RRKABEL</t>
        </is>
      </c>
      <c r="C143" s="36" t="n">
        <v>1463.3</v>
      </c>
      <c r="D143" s="36" t="n">
        <v>1412.34</v>
      </c>
      <c r="E143" s="36" t="n">
        <v>1349.84</v>
      </c>
      <c r="F143" s="36" t="n">
        <v>1578.2</v>
      </c>
      <c r="G143" s="36" t="n">
        <v>1578.2</v>
      </c>
      <c r="H143" s="36" t="n">
        <v>1293.4</v>
      </c>
      <c r="I143" s="37" t="n">
        <v>141754</v>
      </c>
      <c r="J143" s="37" t="n">
        <v>178063</v>
      </c>
      <c r="K143" s="38" t="n">
        <v>-2.6</v>
      </c>
    </row>
    <row r="144">
      <c r="A144" s="35" t="inlineStr">
        <is>
          <t>ZENTEC</t>
        </is>
      </c>
      <c r="C144" s="36" t="n">
        <v>1762.4</v>
      </c>
      <c r="D144" s="36" t="n">
        <v>1445.08</v>
      </c>
      <c r="E144" s="36" t="n">
        <v>1444.87</v>
      </c>
      <c r="F144" s="36" t="n">
        <v>2264.81</v>
      </c>
      <c r="G144" s="36" t="n">
        <v>1825</v>
      </c>
      <c r="H144" s="36" t="n">
        <v>1228.1</v>
      </c>
      <c r="I144" s="37" t="n">
        <v>539896</v>
      </c>
      <c r="J144" s="37" t="n">
        <v>421029</v>
      </c>
      <c r="K144" s="38" t="n">
        <v>43.51</v>
      </c>
    </row>
    <row r="145">
      <c r="A145" s="35" t="inlineStr">
        <is>
          <t>PVRINOX</t>
        </is>
      </c>
      <c r="C145" s="36" t="n">
        <v>990.3</v>
      </c>
      <c r="D145" s="36" t="n">
        <v>982.14</v>
      </c>
      <c r="E145" s="36" t="n">
        <v>1022.45</v>
      </c>
      <c r="F145" s="36" t="n">
        <v>1249.7</v>
      </c>
      <c r="G145" s="36" t="n">
        <v>1113.75</v>
      </c>
      <c r="H145" s="36" t="n">
        <v>918.6</v>
      </c>
      <c r="I145" s="37" t="n">
        <v>361536</v>
      </c>
      <c r="J145" s="37" t="n">
        <v>346195</v>
      </c>
      <c r="K145" s="38" t="n">
        <v>-5.03</v>
      </c>
    </row>
    <row r="146">
      <c r="A146" s="35" t="inlineStr">
        <is>
          <t>SAMMAANCAP</t>
        </is>
      </c>
      <c r="C146" s="36" t="n">
        <v>146.75</v>
      </c>
      <c r="D146" s="36" t="n">
        <v>147.79</v>
      </c>
      <c r="E146" s="36" t="n">
        <v>144.71</v>
      </c>
      <c r="F146" s="36" t="n">
        <v>192.95</v>
      </c>
      <c r="G146" s="36" t="n">
        <v>162</v>
      </c>
      <c r="H146" s="36" t="n">
        <v>130</v>
      </c>
      <c r="I146" s="37" t="n">
        <v>13872898</v>
      </c>
      <c r="J146" s="37" t="n">
        <v>8317301</v>
      </c>
      <c r="K146" s="38" t="n">
        <v>2.64</v>
      </c>
    </row>
    <row r="147">
      <c r="A147" s="35" t="inlineStr">
        <is>
          <t>PAGEIND</t>
        </is>
      </c>
      <c r="C147" s="36" t="n">
        <v>37855</v>
      </c>
      <c r="D147" s="36" t="n">
        <v>34345.15</v>
      </c>
      <c r="E147" s="36" t="n">
        <v>37691.02</v>
      </c>
      <c r="F147" s="36" t="n">
        <v>50075.73</v>
      </c>
      <c r="G147" s="36" t="n">
        <v>38500</v>
      </c>
      <c r="H147" s="36" t="n">
        <v>30200</v>
      </c>
      <c r="I147" s="37" t="n">
        <v>29444</v>
      </c>
      <c r="J147" s="37" t="n">
        <v>21570</v>
      </c>
      <c r="K147" s="38" t="n">
        <v>9.66</v>
      </c>
    </row>
    <row r="148">
      <c r="A148" s="35" t="inlineStr">
        <is>
          <t>BHEL</t>
        </is>
      </c>
      <c r="C148" s="36" t="n">
        <v>333.64</v>
      </c>
      <c r="D148" s="36" t="n">
        <v>274.35</v>
      </c>
      <c r="E148" s="36" t="n">
        <v>260.36</v>
      </c>
      <c r="F148" s="36" t="n">
        <v>336.8</v>
      </c>
      <c r="G148" s="36" t="n">
        <v>336.8</v>
      </c>
      <c r="H148" s="36" t="n">
        <v>242.5</v>
      </c>
      <c r="I148" s="37" t="n">
        <v>14913436</v>
      </c>
      <c r="J148" s="37" t="n">
        <v>10432190</v>
      </c>
      <c r="K148" s="38" t="n">
        <v>24.75</v>
      </c>
    </row>
    <row r="149">
      <c r="A149" s="35" t="inlineStr">
        <is>
          <t>ZFCVINDIA</t>
        </is>
      </c>
      <c r="C149" s="36" t="n">
        <v>15184</v>
      </c>
      <c r="D149" s="36" t="n">
        <v>14359.78</v>
      </c>
      <c r="E149" s="36" t="n">
        <v>13963.13</v>
      </c>
      <c r="F149" s="36" t="n">
        <v>16665</v>
      </c>
      <c r="G149" s="36" t="n">
        <v>16665</v>
      </c>
      <c r="H149" s="36" t="n">
        <v>13191</v>
      </c>
      <c r="I149" s="37" t="n">
        <v>19371</v>
      </c>
      <c r="J149" s="37" t="n">
        <v>13186</v>
      </c>
      <c r="K149" s="38" t="n">
        <v>8.24</v>
      </c>
    </row>
    <row r="150">
      <c r="A150" s="35" t="inlineStr">
        <is>
          <t>ASTRAMICRO</t>
        </is>
      </c>
      <c r="C150" s="36" t="n">
        <v>1129.75</v>
      </c>
      <c r="D150" s="36" t="n">
        <v>983.92</v>
      </c>
      <c r="E150" s="36" t="n">
        <v>969.21</v>
      </c>
      <c r="F150" s="36" t="n">
        <v>1193.28</v>
      </c>
      <c r="G150" s="36" t="n">
        <v>1135</v>
      </c>
      <c r="H150" s="36" t="n">
        <v>855.7</v>
      </c>
      <c r="I150" s="37" t="n">
        <v>474301</v>
      </c>
      <c r="J150" s="37" t="n">
        <v>285508</v>
      </c>
      <c r="K150" s="38" t="n">
        <v>17.05</v>
      </c>
    </row>
    <row r="151">
      <c r="A151" s="35" t="inlineStr">
        <is>
          <t>UTIAMC</t>
        </is>
      </c>
      <c r="C151" s="36" t="n">
        <v>1064.1</v>
      </c>
      <c r="D151" s="36" t="n">
        <v>1003.68</v>
      </c>
      <c r="E151" s="36" t="n">
        <v>1101.14</v>
      </c>
      <c r="F151" s="36" t="n">
        <v>1445.98</v>
      </c>
      <c r="G151" s="36" t="n">
        <v>1119.8</v>
      </c>
      <c r="H151" s="36" t="n">
        <v>906.65</v>
      </c>
      <c r="I151" s="37" t="n">
        <v>169084</v>
      </c>
      <c r="J151" s="37" t="n">
        <v>85430</v>
      </c>
      <c r="K151" s="38" t="n">
        <v>-1.12</v>
      </c>
    </row>
    <row r="152">
      <c r="A152" s="35" t="inlineStr">
        <is>
          <t>EIDPARRY</t>
        </is>
      </c>
      <c r="C152" s="36" t="n">
        <v>872.5</v>
      </c>
      <c r="D152" s="36" t="n">
        <v>856.26</v>
      </c>
      <c r="E152" s="36" t="n">
        <v>938.13</v>
      </c>
      <c r="F152" s="36" t="n">
        <v>1246.8</v>
      </c>
      <c r="G152" s="36" t="n">
        <v>953.7</v>
      </c>
      <c r="H152" s="36" t="n">
        <v>765.85</v>
      </c>
      <c r="I152" s="37" t="n">
        <v>221577</v>
      </c>
      <c r="J152" s="37" t="n">
        <v>198103</v>
      </c>
      <c r="K152" s="38" t="n">
        <v>-7.48</v>
      </c>
    </row>
    <row r="153">
      <c r="A153" s="35" t="inlineStr">
        <is>
          <t>KOTAKBANK</t>
        </is>
      </c>
      <c r="C153" s="36" t="n">
        <v>376.85</v>
      </c>
      <c r="D153" s="36" t="n">
        <v>387.63</v>
      </c>
      <c r="E153" s="36" t="n">
        <v>410.59</v>
      </c>
      <c r="F153" s="36" t="n">
        <v>453.2</v>
      </c>
      <c r="G153" s="36" t="n">
        <v>434.9</v>
      </c>
      <c r="H153" s="36" t="n">
        <v>353.4</v>
      </c>
      <c r="I153" s="37" t="n">
        <v>19100372</v>
      </c>
      <c r="J153" s="37" t="n">
        <v>17806739</v>
      </c>
      <c r="K153" s="38" t="n">
        <v>-10.49</v>
      </c>
    </row>
    <row r="154">
      <c r="A154" s="35" t="inlineStr">
        <is>
          <t>OBEROIRLTY</t>
        </is>
      </c>
      <c r="C154" s="36" t="n">
        <v>1733.6</v>
      </c>
      <c r="D154" s="36" t="n">
        <v>1573.2</v>
      </c>
      <c r="E154" s="36" t="n">
        <v>1614.31</v>
      </c>
      <c r="F154" s="36" t="n">
        <v>1997.65</v>
      </c>
      <c r="G154" s="36" t="n">
        <v>1754</v>
      </c>
      <c r="H154" s="36" t="n">
        <v>1411.5</v>
      </c>
      <c r="I154" s="37" t="n">
        <v>758939</v>
      </c>
      <c r="J154" s="37" t="n">
        <v>569223</v>
      </c>
      <c r="K154" s="38" t="n">
        <v>5.31</v>
      </c>
    </row>
    <row r="155">
      <c r="A155" s="35" t="inlineStr">
        <is>
          <t>KIRLPNU</t>
        </is>
      </c>
      <c r="C155" s="36" t="n">
        <v>1354.9</v>
      </c>
      <c r="D155" s="36" t="n">
        <v>1157.77</v>
      </c>
      <c r="E155" s="36" t="n">
        <v>1151.82</v>
      </c>
      <c r="F155" s="36" t="n">
        <v>1545.26</v>
      </c>
      <c r="G155" s="36" t="n">
        <v>1374.3</v>
      </c>
      <c r="H155" s="36" t="n">
        <v>1040</v>
      </c>
      <c r="I155" s="37" t="n">
        <v>59669</v>
      </c>
      <c r="J155" s="37" t="n">
        <v>66630</v>
      </c>
      <c r="K155" s="38" t="n">
        <v>27.06</v>
      </c>
    </row>
    <row r="156">
      <c r="A156" s="35" t="inlineStr">
        <is>
          <t>APLAPOLLO</t>
        </is>
      </c>
      <c r="C156" s="36" t="n">
        <v>2121.9</v>
      </c>
      <c r="D156" s="36" t="n">
        <v>2034.48</v>
      </c>
      <c r="E156" s="36" t="n">
        <v>1892.55</v>
      </c>
      <c r="F156" s="36" t="n">
        <v>2301.4</v>
      </c>
      <c r="G156" s="36" t="n">
        <v>2301.4</v>
      </c>
      <c r="H156" s="36" t="n">
        <v>1878.6</v>
      </c>
      <c r="I156" s="37" t="n">
        <v>586170</v>
      </c>
      <c r="J156" s="37" t="n">
        <v>629971</v>
      </c>
      <c r="K156" s="38" t="n">
        <v>9.68</v>
      </c>
    </row>
    <row r="157">
      <c r="A157" s="35" t="inlineStr">
        <is>
          <t>MRF</t>
        </is>
      </c>
      <c r="C157" s="36" t="n">
        <v>137040</v>
      </c>
      <c r="D157" s="36" t="n">
        <v>137145.9</v>
      </c>
      <c r="E157" s="36" t="n">
        <v>142451.14</v>
      </c>
      <c r="F157" s="36" t="n">
        <v>163593.54</v>
      </c>
      <c r="G157" s="36" t="n">
        <v>152446.98</v>
      </c>
      <c r="H157" s="36" t="n">
        <v>124975</v>
      </c>
      <c r="I157" s="37" t="n">
        <v>7661</v>
      </c>
      <c r="J157" s="37" t="n">
        <v>7166</v>
      </c>
      <c r="K157" s="38" t="n">
        <v>-7.22</v>
      </c>
    </row>
    <row r="158">
      <c r="A158" s="35" t="inlineStr">
        <is>
          <t>JINDALSTEL</t>
        </is>
      </c>
      <c r="C158" s="36" t="n">
        <v>1278.6</v>
      </c>
      <c r="D158" s="36" t="n">
        <v>1179.77</v>
      </c>
      <c r="E158" s="36" t="n">
        <v>1081.65</v>
      </c>
      <c r="F158" s="36" t="n">
        <v>1306.2</v>
      </c>
      <c r="G158" s="36" t="n">
        <v>1306.2</v>
      </c>
      <c r="H158" s="36" t="n">
        <v>1039.8</v>
      </c>
      <c r="I158" s="37" t="n">
        <v>1573122</v>
      </c>
      <c r="J158" s="37" t="n">
        <v>1460280</v>
      </c>
      <c r="K158" s="38" t="n">
        <v>22.86</v>
      </c>
    </row>
    <row r="159">
      <c r="A159" s="35" t="inlineStr">
        <is>
          <t>TIMKEN</t>
        </is>
      </c>
      <c r="C159" s="36" t="n">
        <v>3633</v>
      </c>
      <c r="D159" s="36" t="n">
        <v>3327.13</v>
      </c>
      <c r="E159" s="36" t="n">
        <v>3117.05</v>
      </c>
      <c r="F159" s="36" t="n">
        <v>3653</v>
      </c>
      <c r="G159" s="36" t="n">
        <v>3653</v>
      </c>
      <c r="H159" s="36" t="n">
        <v>2941.6</v>
      </c>
      <c r="I159" s="37" t="n">
        <v>42407</v>
      </c>
      <c r="J159" s="37" t="n">
        <v>36337</v>
      </c>
      <c r="K159" s="38" t="n">
        <v>19.51</v>
      </c>
    </row>
    <row r="160">
      <c r="A160" s="35" t="inlineStr">
        <is>
          <t>MEDANTA</t>
        </is>
      </c>
      <c r="C160" s="36" t="n">
        <v>1111.85</v>
      </c>
      <c r="D160" s="36" t="n">
        <v>1080.68</v>
      </c>
      <c r="E160" s="36" t="n">
        <v>1168.97</v>
      </c>
      <c r="F160" s="36" t="n">
        <v>1455.98</v>
      </c>
      <c r="G160" s="36" t="n">
        <v>1189.7</v>
      </c>
      <c r="H160" s="36" t="n">
        <v>961.1</v>
      </c>
      <c r="I160" s="37" t="n">
        <v>210705</v>
      </c>
      <c r="J160" s="37" t="n">
        <v>140750</v>
      </c>
      <c r="K160" s="38" t="n">
        <v>-4.37</v>
      </c>
    </row>
    <row r="161">
      <c r="A161" s="35" t="inlineStr">
        <is>
          <t>AUBANK</t>
        </is>
      </c>
      <c r="C161" s="36" t="n">
        <v>1043.2</v>
      </c>
      <c r="D161" s="36" t="n">
        <v>951.87</v>
      </c>
      <c r="E161" s="36" t="n">
        <v>889.37</v>
      </c>
      <c r="F161" s="36" t="n">
        <v>1054.4</v>
      </c>
      <c r="G161" s="36" t="n">
        <v>1054.4</v>
      </c>
      <c r="H161" s="36" t="n">
        <v>842.7</v>
      </c>
      <c r="I161" s="37" t="n">
        <v>2124903</v>
      </c>
      <c r="J161" s="37" t="n">
        <v>2050955</v>
      </c>
      <c r="K161" s="38" t="n">
        <v>6.85</v>
      </c>
    </row>
    <row r="162">
      <c r="A162" s="35" t="inlineStr">
        <is>
          <t>AARTIDRUGS</t>
        </is>
      </c>
      <c r="C162" s="36" t="n">
        <v>366.95</v>
      </c>
      <c r="D162" s="36" t="n">
        <v>362.06</v>
      </c>
      <c r="E162" s="36" t="n">
        <v>400.4</v>
      </c>
      <c r="F162" s="36" t="n">
        <v>561.04</v>
      </c>
      <c r="G162" s="36" t="n">
        <v>419.95</v>
      </c>
      <c r="H162" s="36" t="n">
        <v>319.75</v>
      </c>
      <c r="I162" s="37" t="n">
        <v>132552</v>
      </c>
      <c r="J162" s="37" t="n">
        <v>111033</v>
      </c>
      <c r="K162" s="38" t="n">
        <v>-5.61</v>
      </c>
    </row>
    <row r="163">
      <c r="A163" s="35" t="inlineStr">
        <is>
          <t>DIXON</t>
        </is>
      </c>
      <c r="C163" s="36" t="n">
        <v>11267</v>
      </c>
      <c r="D163" s="36" t="n">
        <v>10864.08</v>
      </c>
      <c r="E163" s="36" t="n">
        <v>13069.96</v>
      </c>
      <c r="F163" s="36" t="n">
        <v>18471</v>
      </c>
      <c r="G163" s="36" t="n">
        <v>11847</v>
      </c>
      <c r="H163" s="36" t="n">
        <v>9673</v>
      </c>
      <c r="I163" s="37" t="n">
        <v>657395</v>
      </c>
      <c r="J163" s="37" t="n">
        <v>632179</v>
      </c>
      <c r="K163" s="38" t="n">
        <v>1.48</v>
      </c>
    </row>
    <row r="164">
      <c r="A164" s="35" t="inlineStr">
        <is>
          <t>INDIASHLTR</t>
        </is>
      </c>
      <c r="C164" s="36" t="n">
        <v>811.45</v>
      </c>
      <c r="D164" s="36" t="n">
        <v>761.38</v>
      </c>
      <c r="E164" s="36" t="n">
        <v>811.9</v>
      </c>
      <c r="F164" s="36" t="n">
        <v>1011.75</v>
      </c>
      <c r="G164" s="36" t="n">
        <v>828.85</v>
      </c>
      <c r="H164" s="36" t="n">
        <v>667.5</v>
      </c>
      <c r="I164" s="37" t="n">
        <v>133017</v>
      </c>
      <c r="J164" s="37" t="n">
        <v>141216</v>
      </c>
      <c r="K164" s="38" t="n">
        <v>3.55</v>
      </c>
    </row>
    <row r="165">
      <c r="A165" s="35" t="inlineStr">
        <is>
          <t>GRANULES</t>
        </is>
      </c>
      <c r="C165" s="36" t="n">
        <v>672.75</v>
      </c>
      <c r="D165" s="36" t="n">
        <v>611.23</v>
      </c>
      <c r="E165" s="36" t="n">
        <v>562.1799999999999</v>
      </c>
      <c r="F165" s="36" t="n">
        <v>689.9</v>
      </c>
      <c r="G165" s="36" t="n">
        <v>689.9</v>
      </c>
      <c r="H165" s="36" t="n">
        <v>537.55</v>
      </c>
      <c r="I165" s="37" t="n">
        <v>1075020</v>
      </c>
      <c r="J165" s="37" t="n">
        <v>775187</v>
      </c>
      <c r="K165" s="38" t="n">
        <v>13.87</v>
      </c>
    </row>
    <row r="166">
      <c r="A166" s="35" t="inlineStr">
        <is>
          <t>PICCADIL</t>
        </is>
      </c>
    </row>
    <row r="167">
      <c r="A167" s="35" t="inlineStr">
        <is>
          <t>DBL</t>
        </is>
      </c>
      <c r="C167" s="36" t="n">
        <v>457.3</v>
      </c>
      <c r="D167" s="36" t="n">
        <v>436.68</v>
      </c>
      <c r="E167" s="36" t="n">
        <v>456.22</v>
      </c>
      <c r="F167" s="36" t="n">
        <v>585</v>
      </c>
      <c r="G167" s="36" t="n">
        <v>479.95</v>
      </c>
      <c r="H167" s="36" t="n">
        <v>386.15</v>
      </c>
      <c r="I167" s="37" t="n">
        <v>183999</v>
      </c>
      <c r="J167" s="37" t="n">
        <v>192150</v>
      </c>
      <c r="K167" s="38" t="n">
        <v>-2.87</v>
      </c>
    </row>
    <row r="168">
      <c r="A168" s="35" t="inlineStr">
        <is>
          <t>REDTAPE</t>
        </is>
      </c>
      <c r="C168" s="36" t="n">
        <v>123.55</v>
      </c>
      <c r="D168" s="36" t="n">
        <v>120.16</v>
      </c>
      <c r="E168" s="36" t="n">
        <v>126.81</v>
      </c>
      <c r="F168" s="36" t="n">
        <v>163.5</v>
      </c>
      <c r="G168" s="36" t="n">
        <v>138.7</v>
      </c>
      <c r="H168" s="36" t="n">
        <v>109.76</v>
      </c>
      <c r="I168" s="37" t="n">
        <v>279156</v>
      </c>
      <c r="J168" s="37" t="n">
        <v>348036</v>
      </c>
      <c r="K168" s="38" t="n">
        <v>-4.31</v>
      </c>
    </row>
    <row r="169">
      <c r="A169" s="35" t="inlineStr">
        <is>
          <t>HINDALCO</t>
        </is>
      </c>
      <c r="C169" s="36" t="n">
        <v>1039.9</v>
      </c>
      <c r="D169" s="36" t="n">
        <v>945.4</v>
      </c>
      <c r="E169" s="36" t="n">
        <v>845.22</v>
      </c>
      <c r="F169" s="36" t="n">
        <v>1048.7</v>
      </c>
      <c r="G169" s="36" t="n">
        <v>1048.7</v>
      </c>
      <c r="H169" s="36" t="n">
        <v>840.25</v>
      </c>
      <c r="I169" s="37" t="n">
        <v>6013190</v>
      </c>
      <c r="J169" s="37" t="n">
        <v>5590031</v>
      </c>
      <c r="K169" s="38" t="n">
        <v>8.85</v>
      </c>
    </row>
    <row r="170">
      <c r="A170" s="35" t="inlineStr">
        <is>
          <t>IEX</t>
        </is>
      </c>
      <c r="C170" s="36" t="n">
        <v>125.78</v>
      </c>
      <c r="D170" s="36" t="n">
        <v>126.18</v>
      </c>
      <c r="E170" s="36" t="n">
        <v>141</v>
      </c>
      <c r="F170" s="36" t="n">
        <v>212.84</v>
      </c>
      <c r="G170" s="36" t="n">
        <v>140.91</v>
      </c>
      <c r="H170" s="36" t="n">
        <v>114.75</v>
      </c>
      <c r="I170" s="37" t="n">
        <v>5914574</v>
      </c>
      <c r="J170" s="37" t="n">
        <v>6289575</v>
      </c>
      <c r="K170" s="38" t="n">
        <v>-8.67</v>
      </c>
    </row>
    <row r="171">
      <c r="A171" s="35" t="inlineStr">
        <is>
          <t>CGCL</t>
        </is>
      </c>
      <c r="C171" s="36" t="n">
        <v>187.21</v>
      </c>
      <c r="D171" s="36" t="n">
        <v>174.84</v>
      </c>
      <c r="E171" s="36" t="n">
        <v>177.3</v>
      </c>
      <c r="F171" s="36" t="n">
        <v>214</v>
      </c>
      <c r="G171" s="36" t="n">
        <v>189.02</v>
      </c>
      <c r="H171" s="36" t="n">
        <v>151.97</v>
      </c>
      <c r="I171" s="37" t="n">
        <v>1503867</v>
      </c>
      <c r="J171" s="37" t="n">
        <v>972050</v>
      </c>
      <c r="K171" s="38" t="n">
        <v>3.66</v>
      </c>
    </row>
    <row r="172">
      <c r="A172" s="35" t="inlineStr">
        <is>
          <t>JKCEMENT</t>
        </is>
      </c>
      <c r="C172" s="36" t="n">
        <v>5977</v>
      </c>
      <c r="D172" s="36" t="n">
        <v>5478.82</v>
      </c>
      <c r="E172" s="36" t="n">
        <v>5696.6</v>
      </c>
      <c r="F172" s="36" t="n">
        <v>7565.5</v>
      </c>
      <c r="G172" s="36" t="n">
        <v>6105</v>
      </c>
      <c r="H172" s="36" t="n">
        <v>4878.5</v>
      </c>
      <c r="I172" s="37" t="n">
        <v>76945</v>
      </c>
      <c r="J172" s="37" t="n">
        <v>75070</v>
      </c>
      <c r="K172" s="38" t="n">
        <v>4.64</v>
      </c>
    </row>
    <row r="173">
      <c r="A173" s="35" t="inlineStr">
        <is>
          <t>ASKAUTOLTD</t>
        </is>
      </c>
      <c r="C173" s="36" t="n">
        <v>442.8</v>
      </c>
      <c r="D173" s="36" t="n">
        <v>433.22</v>
      </c>
      <c r="E173" s="36" t="n">
        <v>452.49</v>
      </c>
      <c r="F173" s="36" t="n">
        <v>578.5</v>
      </c>
      <c r="G173" s="36" t="n">
        <v>469.65</v>
      </c>
      <c r="H173" s="36" t="n">
        <v>380.1</v>
      </c>
      <c r="I173" s="37" t="n">
        <v>173023</v>
      </c>
      <c r="J173" s="37" t="n">
        <v>126364</v>
      </c>
      <c r="K173" s="38" t="n">
        <v>-4.92</v>
      </c>
    </row>
    <row r="174">
      <c r="A174" s="35" t="inlineStr">
        <is>
          <t>KPIL</t>
        </is>
      </c>
      <c r="C174" s="36" t="n">
        <v>1266</v>
      </c>
      <c r="D174" s="36" t="n">
        <v>1146.54</v>
      </c>
      <c r="E174" s="36" t="n">
        <v>1146.5</v>
      </c>
      <c r="F174" s="36" t="n">
        <v>1335.6</v>
      </c>
      <c r="G174" s="36" t="n">
        <v>1273.1</v>
      </c>
      <c r="H174" s="36" t="n">
        <v>1018.1</v>
      </c>
      <c r="I174" s="37" t="n">
        <v>148323</v>
      </c>
      <c r="J174" s="37" t="n">
        <v>143892</v>
      </c>
      <c r="K174" s="38" t="n">
        <v>12.26</v>
      </c>
    </row>
    <row r="175">
      <c r="A175" s="35" t="inlineStr">
        <is>
          <t>JKPAPER</t>
        </is>
      </c>
      <c r="C175" s="36" t="n">
        <v>384.3</v>
      </c>
      <c r="D175" s="36" t="n">
        <v>346.25</v>
      </c>
      <c r="E175" s="36" t="n">
        <v>352.53</v>
      </c>
      <c r="F175" s="36" t="n">
        <v>444.8</v>
      </c>
      <c r="G175" s="36" t="n">
        <v>388</v>
      </c>
      <c r="H175" s="36" t="n">
        <v>306.4</v>
      </c>
      <c r="I175" s="37" t="n">
        <v>254011</v>
      </c>
      <c r="J175" s="37" t="n">
        <v>228694</v>
      </c>
      <c r="K175" s="38" t="n">
        <v>10.83</v>
      </c>
    </row>
    <row r="176">
      <c r="A176" s="35" t="inlineStr">
        <is>
          <t>ENDURANCE</t>
        </is>
      </c>
      <c r="C176" s="36" t="n">
        <v>2399.1</v>
      </c>
      <c r="D176" s="36" t="n">
        <v>2408.33</v>
      </c>
      <c r="E176" s="36" t="n">
        <v>2488.13</v>
      </c>
      <c r="F176" s="36" t="n">
        <v>3079.9</v>
      </c>
      <c r="G176" s="36" t="n">
        <v>2704.2</v>
      </c>
      <c r="H176" s="36" t="n">
        <v>2201.2</v>
      </c>
      <c r="I176" s="37" t="n">
        <v>73617</v>
      </c>
      <c r="J176" s="37" t="n">
        <v>73617</v>
      </c>
      <c r="K176" s="38" t="n">
        <v>-4.81</v>
      </c>
    </row>
    <row r="177">
      <c r="A177" s="35" t="inlineStr">
        <is>
          <t>SHREECEM</t>
        </is>
      </c>
      <c r="C177" s="36" t="n">
        <v>25735</v>
      </c>
      <c r="D177" s="36" t="n">
        <v>24953.11</v>
      </c>
      <c r="E177" s="36" t="n">
        <v>27044</v>
      </c>
      <c r="F177" s="36" t="n">
        <v>32398.19</v>
      </c>
      <c r="G177" s="36" t="n">
        <v>27980</v>
      </c>
      <c r="H177" s="36" t="n">
        <v>22725</v>
      </c>
      <c r="I177" s="37" t="n">
        <v>31556</v>
      </c>
      <c r="J177" s="37" t="n">
        <v>29852</v>
      </c>
      <c r="K177" s="38" t="n">
        <v>-6.59</v>
      </c>
    </row>
    <row r="178">
      <c r="A178" s="35" t="inlineStr">
        <is>
          <t>HAVELLS</t>
        </is>
      </c>
      <c r="C178" s="36" t="n">
        <v>1348.7</v>
      </c>
      <c r="D178" s="36" t="n">
        <v>1313.13</v>
      </c>
      <c r="E178" s="36" t="n">
        <v>1415.77</v>
      </c>
      <c r="F178" s="36" t="n">
        <v>1621.78</v>
      </c>
      <c r="G178" s="36" t="n">
        <v>1450.06</v>
      </c>
      <c r="H178" s="36" t="n">
        <v>1180.6</v>
      </c>
      <c r="I178" s="37" t="n">
        <v>954294</v>
      </c>
      <c r="J178" s="37" t="n">
        <v>823663</v>
      </c>
      <c r="K178" s="38" t="n">
        <v>-5.86</v>
      </c>
    </row>
    <row r="179">
      <c r="A179" s="35" t="inlineStr">
        <is>
          <t>KFINTECH</t>
        </is>
      </c>
      <c r="C179" s="36" t="n">
        <v>990</v>
      </c>
      <c r="D179" s="36" t="n">
        <v>954.3</v>
      </c>
      <c r="E179" s="36" t="n">
        <v>1046.34</v>
      </c>
      <c r="F179" s="36" t="n">
        <v>1379.27</v>
      </c>
      <c r="G179" s="36" t="n">
        <v>1077.7</v>
      </c>
      <c r="H179" s="36" t="n">
        <v>876.55</v>
      </c>
      <c r="I179" s="37" t="n">
        <v>965199</v>
      </c>
      <c r="J179" s="37" t="n">
        <v>803219</v>
      </c>
      <c r="K179" s="38" t="n">
        <v>-7.29</v>
      </c>
    </row>
    <row r="180">
      <c r="A180" s="35" t="inlineStr">
        <is>
          <t>FORTIS</t>
        </is>
      </c>
      <c r="C180" s="36" t="n">
        <v>923.1</v>
      </c>
      <c r="D180" s="36" t="n">
        <v>867.65</v>
      </c>
      <c r="E180" s="36" t="n">
        <v>869.58</v>
      </c>
      <c r="F180" s="36" t="n">
        <v>1104.3</v>
      </c>
      <c r="G180" s="36" t="n">
        <v>977.4</v>
      </c>
      <c r="H180" s="36" t="n">
        <v>788.75</v>
      </c>
      <c r="I180" s="37" t="n">
        <v>1750556</v>
      </c>
      <c r="J180" s="37" t="n">
        <v>1580046</v>
      </c>
      <c r="K180" s="38" t="n">
        <v>1.45</v>
      </c>
    </row>
    <row r="181">
      <c r="A181" s="35" t="inlineStr">
        <is>
          <t>TATAPOWER</t>
        </is>
      </c>
      <c r="C181" s="36" t="n">
        <v>436.05</v>
      </c>
      <c r="D181" s="36" t="n">
        <v>394.35</v>
      </c>
      <c r="E181" s="36" t="n">
        <v>387.53</v>
      </c>
      <c r="F181" s="36" t="n">
        <v>440.8</v>
      </c>
      <c r="G181" s="36" t="n">
        <v>440.8</v>
      </c>
      <c r="H181" s="36" t="n">
        <v>345.25</v>
      </c>
      <c r="I181" s="37" t="n">
        <v>9014937</v>
      </c>
      <c r="J181" s="37" t="n">
        <v>5707031</v>
      </c>
      <c r="K181" s="38" t="n">
        <v>18.69</v>
      </c>
    </row>
    <row r="182">
      <c r="A182" s="35" t="inlineStr">
        <is>
          <t>SUNTV</t>
        </is>
      </c>
      <c r="C182" s="36" t="n">
        <v>652.45</v>
      </c>
      <c r="D182" s="36" t="n">
        <v>596.77</v>
      </c>
      <c r="E182" s="36" t="n">
        <v>580.58</v>
      </c>
      <c r="F182" s="36" t="n">
        <v>660.7</v>
      </c>
      <c r="G182" s="36" t="n">
        <v>660.7</v>
      </c>
      <c r="H182" s="36" t="n">
        <v>526.6</v>
      </c>
      <c r="I182" s="37" t="n">
        <v>301129</v>
      </c>
      <c r="J182" s="37" t="n">
        <v>218951</v>
      </c>
      <c r="K182" s="38" t="n">
        <v>18.62</v>
      </c>
    </row>
    <row r="183">
      <c r="A183" s="35" t="inlineStr">
        <is>
          <t>GAEL</t>
        </is>
      </c>
      <c r="C183" s="36" t="n">
        <v>154.95</v>
      </c>
      <c r="D183" s="36" t="n">
        <v>140.55</v>
      </c>
      <c r="E183" s="36" t="n">
        <v>127.09</v>
      </c>
      <c r="F183" s="36" t="n">
        <v>159.57</v>
      </c>
      <c r="G183" s="36" t="n">
        <v>159.57</v>
      </c>
      <c r="H183" s="36" t="n">
        <v>126.86</v>
      </c>
      <c r="I183" s="37" t="n">
        <v>814215</v>
      </c>
      <c r="J183" s="37" t="n">
        <v>791740</v>
      </c>
      <c r="K183" s="38" t="n">
        <v>10.53</v>
      </c>
    </row>
    <row r="184">
      <c r="A184" s="35" t="inlineStr">
        <is>
          <t>DCMSHRIRAM</t>
        </is>
      </c>
      <c r="C184" s="36" t="n">
        <v>1204.1</v>
      </c>
      <c r="D184" s="36" t="n">
        <v>1123.82</v>
      </c>
      <c r="E184" s="36" t="n">
        <v>1149.94</v>
      </c>
      <c r="F184" s="36" t="n">
        <v>1489.48</v>
      </c>
      <c r="G184" s="36" t="n">
        <v>1262.7</v>
      </c>
      <c r="H184" s="36" t="n">
        <v>964</v>
      </c>
      <c r="I184" s="37" t="n">
        <v>55874</v>
      </c>
      <c r="J184" s="37" t="n">
        <v>46151</v>
      </c>
      <c r="K184" s="38" t="n">
        <v>2.45</v>
      </c>
    </row>
    <row r="185">
      <c r="A185" s="35" t="inlineStr">
        <is>
          <t>ACE</t>
        </is>
      </c>
      <c r="C185" s="36" t="n">
        <v>934.4</v>
      </c>
      <c r="D185" s="36" t="n">
        <v>871.9</v>
      </c>
      <c r="E185" s="36" t="n">
        <v>971.8099999999999</v>
      </c>
      <c r="F185" s="36" t="n">
        <v>1386.04</v>
      </c>
      <c r="G185" s="36" t="n">
        <v>954.8</v>
      </c>
      <c r="H185" s="36" t="n">
        <v>748.95</v>
      </c>
      <c r="I185" s="37" t="n">
        <v>246908</v>
      </c>
      <c r="J185" s="37" t="n">
        <v>211355</v>
      </c>
      <c r="K185" s="38" t="n">
        <v>6.84</v>
      </c>
    </row>
    <row r="186">
      <c r="A186" s="35" t="inlineStr">
        <is>
          <t>INDIAGLYCO</t>
        </is>
      </c>
      <c r="C186" s="36" t="n">
        <v>977.05</v>
      </c>
      <c r="D186" s="36" t="n">
        <v>912.71</v>
      </c>
      <c r="E186" s="36" t="n">
        <v>907.16</v>
      </c>
      <c r="F186" s="36" t="n">
        <v>1211.54</v>
      </c>
      <c r="G186" s="36" t="n">
        <v>995.0599999999999</v>
      </c>
      <c r="H186" s="36" t="n">
        <v>801.78</v>
      </c>
      <c r="I186" s="37" t="n">
        <v>132605</v>
      </c>
      <c r="J186" s="37" t="n">
        <v>118018</v>
      </c>
      <c r="K186" s="38" t="n">
        <v>2.72</v>
      </c>
    </row>
    <row r="187">
      <c r="A187" s="35" t="inlineStr">
        <is>
          <t>SCHAEFFLER</t>
        </is>
      </c>
      <c r="C187" s="36" t="n">
        <v>4288.8</v>
      </c>
      <c r="D187" s="36" t="n">
        <v>3961.89</v>
      </c>
      <c r="E187" s="36" t="n">
        <v>3891.14</v>
      </c>
      <c r="F187" s="36" t="n">
        <v>4467.7</v>
      </c>
      <c r="G187" s="36" t="n">
        <v>4467.7</v>
      </c>
      <c r="H187" s="36" t="n">
        <v>3563.3</v>
      </c>
      <c r="I187" s="37" t="n">
        <v>90816</v>
      </c>
      <c r="J187" s="37" t="n">
        <v>70689</v>
      </c>
      <c r="K187" s="38" t="n">
        <v>12.47</v>
      </c>
    </row>
    <row r="188">
      <c r="A188" s="35" t="inlineStr">
        <is>
          <t>ADVENZYMES</t>
        </is>
      </c>
      <c r="C188" s="36" t="n">
        <v>299.15</v>
      </c>
      <c r="D188" s="36" t="n">
        <v>290.46</v>
      </c>
      <c r="E188" s="36" t="n">
        <v>299.52</v>
      </c>
      <c r="F188" s="36" t="n">
        <v>366.25</v>
      </c>
      <c r="G188" s="36" t="n">
        <v>319.2</v>
      </c>
      <c r="H188" s="36" t="n">
        <v>255.3</v>
      </c>
      <c r="I188" s="37" t="n">
        <v>140302</v>
      </c>
      <c r="J188" s="37" t="n">
        <v>140302</v>
      </c>
      <c r="K188" s="38" t="n">
        <v>6.01</v>
      </c>
    </row>
    <row r="189">
      <c r="A189" s="35" t="inlineStr">
        <is>
          <t>AUROPHARMA</t>
        </is>
      </c>
      <c r="C189" s="36" t="n">
        <v>1421.2</v>
      </c>
      <c r="D189" s="36" t="n">
        <v>1287.8</v>
      </c>
      <c r="E189" s="36" t="n">
        <v>1208.97</v>
      </c>
      <c r="F189" s="36" t="n">
        <v>1425.1</v>
      </c>
      <c r="G189" s="36" t="n">
        <v>1425.1</v>
      </c>
      <c r="H189" s="36" t="n">
        <v>1121.7</v>
      </c>
      <c r="I189" s="37" t="n">
        <v>1703323</v>
      </c>
      <c r="J189" s="37" t="n">
        <v>1519668</v>
      </c>
      <c r="K189" s="38" t="n">
        <v>21.71</v>
      </c>
    </row>
    <row r="190">
      <c r="A190" s="35" t="inlineStr">
        <is>
          <t>TORNTPOWER</t>
        </is>
      </c>
      <c r="C190" s="36" t="n">
        <v>1657.4</v>
      </c>
      <c r="D190" s="36" t="n">
        <v>1451.92</v>
      </c>
      <c r="E190" s="36" t="n">
        <v>1391.55</v>
      </c>
      <c r="F190" s="36" t="n">
        <v>1663.7</v>
      </c>
      <c r="G190" s="36" t="n">
        <v>1663.7</v>
      </c>
      <c r="H190" s="36" t="n">
        <v>1257.67</v>
      </c>
      <c r="I190" s="37" t="n">
        <v>564876</v>
      </c>
      <c r="J190" s="37" t="n">
        <v>546934</v>
      </c>
      <c r="K190" s="38" t="n">
        <v>24.49</v>
      </c>
    </row>
    <row r="191">
      <c r="A191" s="35" t="inlineStr">
        <is>
          <t>UNOMINDA</t>
        </is>
      </c>
      <c r="C191" s="36" t="n">
        <v>1151.3</v>
      </c>
      <c r="D191" s="36" t="n">
        <v>1117.07</v>
      </c>
      <c r="E191" s="36" t="n">
        <v>1145.71</v>
      </c>
      <c r="F191" s="36" t="n">
        <v>1380.99</v>
      </c>
      <c r="G191" s="36" t="n">
        <v>1255</v>
      </c>
      <c r="H191" s="36" t="n">
        <v>1013.2</v>
      </c>
      <c r="I191" s="37" t="n">
        <v>1001393</v>
      </c>
      <c r="J191" s="37" t="n">
        <v>985741</v>
      </c>
      <c r="K191" s="38" t="n">
        <v>-3.38</v>
      </c>
    </row>
    <row r="192">
      <c r="A192" s="35" t="inlineStr">
        <is>
          <t>CROMPTON</t>
        </is>
      </c>
      <c r="C192" s="36" t="n">
        <v>261.37</v>
      </c>
      <c r="D192" s="36" t="n">
        <v>248.63</v>
      </c>
      <c r="E192" s="36" t="n">
        <v>273.66</v>
      </c>
      <c r="F192" s="36" t="n">
        <v>359.55</v>
      </c>
      <c r="G192" s="36" t="n">
        <v>274.77</v>
      </c>
      <c r="H192" s="36" t="n">
        <v>221.45</v>
      </c>
      <c r="I192" s="37" t="n">
        <v>2440115</v>
      </c>
      <c r="J192" s="37" t="n">
        <v>2658747</v>
      </c>
      <c r="K192" s="38" t="n">
        <v>2.62</v>
      </c>
    </row>
    <row r="193">
      <c r="A193" s="35" t="inlineStr">
        <is>
          <t>ABCAPITAL</t>
        </is>
      </c>
      <c r="C193" s="36" t="n">
        <v>350.7</v>
      </c>
      <c r="D193" s="36" t="n">
        <v>331.19</v>
      </c>
      <c r="E193" s="36" t="n">
        <v>311.71</v>
      </c>
      <c r="F193" s="36" t="n">
        <v>369.3</v>
      </c>
      <c r="G193" s="36" t="n">
        <v>366.1</v>
      </c>
      <c r="H193" s="36" t="n">
        <v>292.25</v>
      </c>
      <c r="I193" s="37" t="n">
        <v>4145767</v>
      </c>
      <c r="J193" s="37" t="n">
        <v>4912005</v>
      </c>
      <c r="K193" s="38" t="n">
        <v>-2.2</v>
      </c>
    </row>
    <row r="194">
      <c r="A194" s="35" t="inlineStr">
        <is>
          <t>AIAENG</t>
        </is>
      </c>
      <c r="C194" s="36" t="n">
        <v>4058.6</v>
      </c>
      <c r="D194" s="36" t="n">
        <v>3777.73</v>
      </c>
      <c r="E194" s="36" t="n">
        <v>3608.81</v>
      </c>
      <c r="F194" s="36" t="n">
        <v>4206.1</v>
      </c>
      <c r="G194" s="36" t="n">
        <v>4206.1</v>
      </c>
      <c r="H194" s="36" t="n">
        <v>3315.9</v>
      </c>
      <c r="I194" s="37" t="n">
        <v>61143</v>
      </c>
      <c r="J194" s="37" t="n">
        <v>47310</v>
      </c>
      <c r="K194" s="38" t="n">
        <v>3.93</v>
      </c>
    </row>
    <row r="195">
      <c r="A195" s="35" t="inlineStr">
        <is>
          <t>HEG</t>
        </is>
      </c>
      <c r="C195" s="36" t="n">
        <v>661.6</v>
      </c>
      <c r="D195" s="36" t="n">
        <v>560.62</v>
      </c>
      <c r="E195" s="36" t="n">
        <v>535.89</v>
      </c>
      <c r="F195" s="36" t="n">
        <v>678</v>
      </c>
      <c r="G195" s="36" t="n">
        <v>678</v>
      </c>
      <c r="H195" s="36" t="n">
        <v>477.25</v>
      </c>
      <c r="I195" s="37" t="n">
        <v>1488718</v>
      </c>
      <c r="J195" s="37" t="n">
        <v>1336161</v>
      </c>
      <c r="K195" s="38" t="n">
        <v>17.1</v>
      </c>
    </row>
    <row r="196">
      <c r="A196" s="35" t="inlineStr">
        <is>
          <t>UNIONBANK</t>
        </is>
      </c>
      <c r="C196" s="36" t="n">
        <v>194.05</v>
      </c>
      <c r="D196" s="36" t="n">
        <v>180.75</v>
      </c>
      <c r="E196" s="36" t="n">
        <v>161.22</v>
      </c>
      <c r="F196" s="36" t="n">
        <v>205.49</v>
      </c>
      <c r="G196" s="36" t="n">
        <v>205.49</v>
      </c>
      <c r="H196" s="36" t="n">
        <v>164.2</v>
      </c>
      <c r="I196" s="37" t="n">
        <v>14715599</v>
      </c>
      <c r="J196" s="37" t="n">
        <v>15467264</v>
      </c>
      <c r="K196" s="38" t="n">
        <v>8.24</v>
      </c>
    </row>
    <row r="197">
      <c r="A197" s="35" t="inlineStr">
        <is>
          <t>NAM-INDIA</t>
        </is>
      </c>
      <c r="C197" s="36" t="n">
        <v>1060.1</v>
      </c>
      <c r="D197" s="36" t="n">
        <v>906.01</v>
      </c>
      <c r="E197" s="36" t="n">
        <v>848.8200000000001</v>
      </c>
      <c r="F197" s="36" t="n">
        <v>1064.45</v>
      </c>
      <c r="G197" s="36" t="n">
        <v>1064.45</v>
      </c>
      <c r="H197" s="36" t="n">
        <v>798.95</v>
      </c>
      <c r="I197" s="37" t="n">
        <v>1132529</v>
      </c>
      <c r="J197" s="37" t="n">
        <v>787813</v>
      </c>
      <c r="K197" s="38" t="n">
        <v>22.69</v>
      </c>
    </row>
    <row r="198">
      <c r="A198" s="35" t="inlineStr">
        <is>
          <t>BLUEDART</t>
        </is>
      </c>
      <c r="C198" s="36" t="n">
        <v>5478.3</v>
      </c>
      <c r="D198" s="36" t="n">
        <v>5293.07</v>
      </c>
      <c r="E198" s="36" t="n">
        <v>5669.66</v>
      </c>
      <c r="F198" s="36" t="n">
        <v>7193.83</v>
      </c>
      <c r="G198" s="36" t="n">
        <v>5929</v>
      </c>
      <c r="H198" s="36" t="n">
        <v>4747</v>
      </c>
      <c r="I198" s="37" t="n">
        <v>17181</v>
      </c>
      <c r="J198" s="37" t="n">
        <v>13089</v>
      </c>
      <c r="K198" s="38" t="n">
        <v>0.82</v>
      </c>
    </row>
    <row r="199">
      <c r="A199" s="35" t="inlineStr">
        <is>
          <t>POWERGRID</t>
        </is>
      </c>
      <c r="C199" s="36" t="n">
        <v>319.75</v>
      </c>
      <c r="D199" s="36" t="n">
        <v>296.99</v>
      </c>
      <c r="E199" s="36" t="n">
        <v>284.93</v>
      </c>
      <c r="F199" s="36" t="n">
        <v>323.05</v>
      </c>
      <c r="G199" s="36" t="n">
        <v>323.05</v>
      </c>
      <c r="H199" s="36" t="n">
        <v>251.23</v>
      </c>
      <c r="I199" s="37" t="n">
        <v>16423641</v>
      </c>
      <c r="J199" s="37" t="n">
        <v>15681799</v>
      </c>
      <c r="K199" s="38" t="n">
        <v>25.16</v>
      </c>
    </row>
    <row r="200">
      <c r="A200" s="35" t="inlineStr">
        <is>
          <t>KPRMILL</t>
        </is>
      </c>
      <c r="C200" s="36" t="n">
        <v>925.8</v>
      </c>
      <c r="D200" s="36" t="n">
        <v>881.86</v>
      </c>
      <c r="E200" s="36" t="n">
        <v>957.6</v>
      </c>
      <c r="F200" s="36" t="n">
        <v>1382.25</v>
      </c>
      <c r="G200" s="36" t="n">
        <v>1027.93</v>
      </c>
      <c r="H200" s="36" t="n">
        <v>810.59</v>
      </c>
      <c r="I200" s="37" t="n">
        <v>264193</v>
      </c>
      <c r="J200" s="37" t="n">
        <v>348401</v>
      </c>
      <c r="K200" s="38" t="n">
        <v>8.08</v>
      </c>
    </row>
    <row r="201">
      <c r="A201" s="35" t="inlineStr">
        <is>
          <t>SKIPPER</t>
        </is>
      </c>
      <c r="C201" s="36" t="n">
        <v>471.85</v>
      </c>
      <c r="D201" s="36" t="n">
        <v>383.4</v>
      </c>
      <c r="E201" s="36" t="n">
        <v>427.26</v>
      </c>
      <c r="F201" s="36" t="n">
        <v>587.89</v>
      </c>
      <c r="G201" s="36" t="n">
        <v>492</v>
      </c>
      <c r="H201" s="36" t="n">
        <v>330.4</v>
      </c>
      <c r="I201" s="37" t="n">
        <v>324226</v>
      </c>
      <c r="J201" s="37" t="n">
        <v>313032</v>
      </c>
      <c r="K201" s="38" t="n">
        <v>19.46</v>
      </c>
    </row>
    <row r="202">
      <c r="A202" s="35" t="inlineStr">
        <is>
          <t>CRAFTSMAN</t>
        </is>
      </c>
      <c r="C202" s="36" t="n">
        <v>7684.5</v>
      </c>
      <c r="D202" s="36" t="n">
        <v>7334.49</v>
      </c>
      <c r="E202" s="36" t="n">
        <v>6882.39</v>
      </c>
      <c r="F202" s="36" t="n">
        <v>8220</v>
      </c>
      <c r="G202" s="36" t="n">
        <v>8220</v>
      </c>
      <c r="H202" s="36" t="n">
        <v>6546.5</v>
      </c>
      <c r="I202" s="37" t="n">
        <v>24671</v>
      </c>
      <c r="J202" s="37" t="n">
        <v>28254</v>
      </c>
      <c r="K202" s="38" t="n">
        <v>-0.03</v>
      </c>
    </row>
    <row r="203">
      <c r="A203" s="35" t="inlineStr">
        <is>
          <t>TRIVENI</t>
        </is>
      </c>
      <c r="C203" s="36" t="n">
        <v>411.4</v>
      </c>
      <c r="D203" s="36" t="n">
        <v>379.29</v>
      </c>
      <c r="E203" s="36" t="n">
        <v>373.56</v>
      </c>
      <c r="F203" s="36" t="n">
        <v>462.91</v>
      </c>
      <c r="G203" s="36" t="n">
        <v>419.6</v>
      </c>
      <c r="H203" s="36" t="n">
        <v>326.73</v>
      </c>
      <c r="I203" s="37" t="n">
        <v>486694</v>
      </c>
      <c r="J203" s="37" t="n">
        <v>320962</v>
      </c>
      <c r="K203" s="38" t="n">
        <v>21.52</v>
      </c>
    </row>
    <row r="204">
      <c r="A204" s="35" t="inlineStr">
        <is>
          <t>STYRENIX</t>
        </is>
      </c>
      <c r="C204" s="36" t="n">
        <v>2272.3</v>
      </c>
      <c r="D204" s="36" t="n">
        <v>2002.4</v>
      </c>
      <c r="E204" s="36" t="n">
        <v>2218.53</v>
      </c>
      <c r="F204" s="36" t="n">
        <v>3415.91</v>
      </c>
      <c r="G204" s="36" t="n">
        <v>2286</v>
      </c>
      <c r="H204" s="36" t="n">
        <v>1798</v>
      </c>
      <c r="I204" s="37" t="n">
        <v>38166</v>
      </c>
      <c r="J204" s="37" t="n">
        <v>24187</v>
      </c>
      <c r="K204" s="38" t="n">
        <v>20.17</v>
      </c>
    </row>
    <row r="205">
      <c r="A205" s="35" t="inlineStr">
        <is>
          <t>WELENT</t>
        </is>
      </c>
      <c r="C205" s="36" t="n">
        <v>510.5</v>
      </c>
      <c r="D205" s="36" t="n">
        <v>467.63</v>
      </c>
      <c r="E205" s="36" t="n">
        <v>490.14</v>
      </c>
      <c r="F205" s="36" t="n">
        <v>580</v>
      </c>
      <c r="G205" s="36" t="n">
        <v>522.6</v>
      </c>
      <c r="H205" s="36" t="n">
        <v>415.75</v>
      </c>
      <c r="I205" s="37" t="n">
        <v>170335</v>
      </c>
      <c r="J205" s="37" t="n">
        <v>104055</v>
      </c>
      <c r="K205" s="38" t="n">
        <v>11.72</v>
      </c>
    </row>
    <row r="206">
      <c r="A206" s="35" t="inlineStr">
        <is>
          <t>IGL</t>
        </is>
      </c>
      <c r="C206" s="36" t="n">
        <v>169.08</v>
      </c>
      <c r="D206" s="36" t="n">
        <v>163</v>
      </c>
      <c r="E206" s="36" t="n">
        <v>180.3</v>
      </c>
      <c r="F206" s="36" t="n">
        <v>223.11</v>
      </c>
      <c r="G206" s="36" t="n">
        <v>179.69</v>
      </c>
      <c r="H206" s="36" t="n">
        <v>145.62</v>
      </c>
      <c r="I206" s="37" t="n">
        <v>3670818</v>
      </c>
      <c r="J206" s="37" t="n">
        <v>2400507</v>
      </c>
      <c r="K206" s="38" t="n">
        <v>-4.99</v>
      </c>
    </row>
    <row r="207">
      <c r="A207" s="35" t="inlineStr">
        <is>
          <t>CMSINFO</t>
        </is>
      </c>
      <c r="C207" s="36" t="n">
        <v>317.8</v>
      </c>
      <c r="D207" s="36" t="n">
        <v>303.99</v>
      </c>
      <c r="E207" s="36" t="n">
        <v>354.12</v>
      </c>
      <c r="F207" s="36" t="n">
        <v>536.49</v>
      </c>
      <c r="G207" s="36" t="n">
        <v>334</v>
      </c>
      <c r="H207" s="36" t="n">
        <v>265.6</v>
      </c>
      <c r="I207" s="37" t="n">
        <v>561954</v>
      </c>
      <c r="J207" s="37" t="n">
        <v>455078</v>
      </c>
      <c r="K207" s="38" t="n">
        <v>-3.08</v>
      </c>
    </row>
    <row r="208">
      <c r="A208" s="35" t="inlineStr">
        <is>
          <t>MAZDOCK</t>
        </is>
      </c>
      <c r="C208" s="36" t="n">
        <v>2703.9</v>
      </c>
      <c r="D208" s="36" t="n">
        <v>2420.81</v>
      </c>
      <c r="E208" s="36" t="n">
        <v>2580.34</v>
      </c>
      <c r="F208" s="36" t="n">
        <v>3751.65</v>
      </c>
      <c r="G208" s="36" t="n">
        <v>2714.9</v>
      </c>
      <c r="H208" s="36" t="n">
        <v>2065.2</v>
      </c>
      <c r="I208" s="37" t="n">
        <v>1958538</v>
      </c>
      <c r="J208" s="37" t="n">
        <v>1448602</v>
      </c>
      <c r="K208" s="38" t="n">
        <v>9.779999999999999</v>
      </c>
    </row>
    <row r="209">
      <c r="A209" s="35" t="inlineStr">
        <is>
          <t>PRICOLLTD</t>
        </is>
      </c>
      <c r="C209" s="36" t="n">
        <v>612.35</v>
      </c>
      <c r="D209" s="36" t="n">
        <v>571.38</v>
      </c>
      <c r="E209" s="36" t="n">
        <v>550.09</v>
      </c>
      <c r="F209" s="36" t="n">
        <v>694.2</v>
      </c>
      <c r="G209" s="36" t="n">
        <v>644.95</v>
      </c>
      <c r="H209" s="36" t="n">
        <v>510.9</v>
      </c>
      <c r="I209" s="37" t="n">
        <v>238961</v>
      </c>
      <c r="J209" s="37" t="n">
        <v>333224</v>
      </c>
      <c r="K209" s="38" t="n">
        <v>-2.06</v>
      </c>
    </row>
    <row r="210">
      <c r="A210" s="35" t="inlineStr">
        <is>
          <t>UBL</t>
        </is>
      </c>
      <c r="C210" s="36" t="n">
        <v>1500</v>
      </c>
      <c r="D210" s="36" t="n">
        <v>1552.29</v>
      </c>
      <c r="E210" s="36" t="n">
        <v>1704.22</v>
      </c>
      <c r="F210" s="36" t="n">
        <v>2233.5</v>
      </c>
      <c r="G210" s="36" t="n">
        <v>1779.1</v>
      </c>
      <c r="H210" s="36" t="n">
        <v>1423.6</v>
      </c>
      <c r="I210" s="37" t="n">
        <v>214866</v>
      </c>
      <c r="J210" s="37" t="n">
        <v>98455</v>
      </c>
      <c r="K210" s="38" t="n">
        <v>-1.29</v>
      </c>
    </row>
    <row r="211">
      <c r="A211" s="35" t="inlineStr">
        <is>
          <t>CCL</t>
        </is>
      </c>
      <c r="C211" s="36" t="n">
        <v>1121.6</v>
      </c>
      <c r="D211" s="36" t="n">
        <v>1052.1</v>
      </c>
      <c r="E211" s="36" t="n">
        <v>944.02</v>
      </c>
      <c r="F211" s="36" t="n">
        <v>1183.1</v>
      </c>
      <c r="G211" s="36" t="n">
        <v>1183.1</v>
      </c>
      <c r="H211" s="36" t="n">
        <v>923.16</v>
      </c>
      <c r="I211" s="37" t="n">
        <v>265948</v>
      </c>
      <c r="J211" s="37" t="n">
        <v>220761</v>
      </c>
      <c r="K211" s="38" t="n">
        <v>17.22</v>
      </c>
    </row>
    <row r="212">
      <c r="A212" s="35" t="inlineStr">
        <is>
          <t>DELHIVERY</t>
        </is>
      </c>
      <c r="C212" s="36" t="n">
        <v>462.7</v>
      </c>
      <c r="D212" s="36" t="n">
        <v>436.44</v>
      </c>
      <c r="E212" s="36" t="n">
        <v>417.16</v>
      </c>
      <c r="F212" s="36" t="n">
        <v>490</v>
      </c>
      <c r="G212" s="36" t="n">
        <v>478.4</v>
      </c>
      <c r="H212" s="36" t="n">
        <v>378.5</v>
      </c>
      <c r="I212" s="37" t="n">
        <v>3268452</v>
      </c>
      <c r="J212" s="37" t="n">
        <v>2025637</v>
      </c>
      <c r="K212" s="38" t="n">
        <v>14.63</v>
      </c>
    </row>
    <row r="213">
      <c r="A213" s="35" t="inlineStr">
        <is>
          <t>LICI</t>
        </is>
      </c>
      <c r="C213" s="36" t="n">
        <v>820.5</v>
      </c>
      <c r="D213" s="36" t="n">
        <v>811.25</v>
      </c>
      <c r="E213" s="36" t="n">
        <v>843.21</v>
      </c>
      <c r="F213" s="36" t="n">
        <v>967.1799999999999</v>
      </c>
      <c r="G213" s="36" t="n">
        <v>908</v>
      </c>
      <c r="H213" s="36" t="n">
        <v>725.65</v>
      </c>
      <c r="I213" s="37" t="n">
        <v>1461768</v>
      </c>
      <c r="J213" s="37" t="n">
        <v>1107801</v>
      </c>
      <c r="K213" s="38" t="n">
        <v>-0.75</v>
      </c>
    </row>
    <row r="214">
      <c r="A214" s="35" t="inlineStr">
        <is>
          <t>CONCOR</t>
        </is>
      </c>
      <c r="C214" s="36" t="n">
        <v>515.7</v>
      </c>
      <c r="D214" s="36" t="n">
        <v>480.61</v>
      </c>
      <c r="E214" s="36" t="n">
        <v>510.06</v>
      </c>
      <c r="F214" s="36" t="n">
        <v>641.23</v>
      </c>
      <c r="G214" s="36" t="n">
        <v>535.35</v>
      </c>
      <c r="H214" s="36" t="n">
        <v>423.75</v>
      </c>
      <c r="I214" s="37" t="n">
        <v>1517788</v>
      </c>
      <c r="J214" s="37" t="n">
        <v>1490001</v>
      </c>
      <c r="K214" s="38" t="n">
        <v>-0.06</v>
      </c>
    </row>
    <row r="215">
      <c r="A215" s="35" t="inlineStr">
        <is>
          <t>PFC</t>
        </is>
      </c>
      <c r="C215" s="36" t="n">
        <v>470.3</v>
      </c>
      <c r="D215" s="36" t="n">
        <v>414.74</v>
      </c>
      <c r="E215" s="36" t="n">
        <v>393.08</v>
      </c>
      <c r="F215" s="36" t="n">
        <v>479</v>
      </c>
      <c r="G215" s="36" t="n">
        <v>479</v>
      </c>
      <c r="H215" s="36" t="n">
        <v>351.37</v>
      </c>
      <c r="I215" s="37" t="n">
        <v>10255394</v>
      </c>
      <c r="J215" s="37" t="n">
        <v>8965276</v>
      </c>
      <c r="K215" s="38" t="n">
        <v>28.74</v>
      </c>
    </row>
    <row r="216">
      <c r="A216" s="35" t="inlineStr">
        <is>
          <t>RENUKA</t>
        </is>
      </c>
      <c r="C216" s="36" t="n">
        <v>28.58</v>
      </c>
      <c r="D216" s="36" t="n">
        <v>26.18</v>
      </c>
      <c r="E216" s="36" t="n">
        <v>27.26</v>
      </c>
      <c r="F216" s="36" t="n">
        <v>35.85</v>
      </c>
      <c r="G216" s="36" t="n">
        <v>28.93</v>
      </c>
      <c r="H216" s="36" t="n">
        <v>23.05</v>
      </c>
      <c r="I216" s="37" t="n">
        <v>8805775</v>
      </c>
      <c r="J216" s="37" t="n">
        <v>4570208</v>
      </c>
      <c r="K216" s="38" t="n">
        <v>13.37</v>
      </c>
    </row>
    <row r="217">
      <c r="A217" s="35" t="inlineStr">
        <is>
          <t>AEGISLOG</t>
        </is>
      </c>
      <c r="C217" s="36" t="n">
        <v>713.5</v>
      </c>
      <c r="D217" s="36" t="n">
        <v>659.55</v>
      </c>
      <c r="E217" s="36" t="n">
        <v>713.02</v>
      </c>
      <c r="F217" s="36" t="n">
        <v>944.6</v>
      </c>
      <c r="G217" s="36" t="n">
        <v>767.5</v>
      </c>
      <c r="H217" s="36" t="n">
        <v>587.95</v>
      </c>
      <c r="I217" s="37" t="n">
        <v>568917</v>
      </c>
      <c r="J217" s="37" t="n">
        <v>487772</v>
      </c>
      <c r="K217" s="38" t="n">
        <v>-1.48</v>
      </c>
    </row>
    <row r="218">
      <c r="A218" s="35" t="inlineStr">
        <is>
          <t>MINDACORP</t>
        </is>
      </c>
      <c r="C218" s="36" t="n">
        <v>541.45</v>
      </c>
      <c r="D218" s="36" t="n">
        <v>531.97</v>
      </c>
      <c r="E218" s="36" t="n">
        <v>543.88</v>
      </c>
      <c r="F218" s="36" t="n">
        <v>619.3200000000001</v>
      </c>
      <c r="G218" s="36" t="n">
        <v>606.88</v>
      </c>
      <c r="H218" s="36" t="n">
        <v>480.85</v>
      </c>
      <c r="I218" s="37" t="n">
        <v>263470</v>
      </c>
      <c r="J218" s="37" t="n">
        <v>201480</v>
      </c>
      <c r="K218" s="38" t="n">
        <v>-4.75</v>
      </c>
    </row>
    <row r="219">
      <c r="A219" s="35" t="inlineStr">
        <is>
          <t>PPLPHARMA</t>
        </is>
      </c>
      <c r="C219" s="36" t="n">
        <v>153.81</v>
      </c>
      <c r="D219" s="36" t="n">
        <v>150.78</v>
      </c>
      <c r="E219" s="36" t="n">
        <v>173.89</v>
      </c>
      <c r="F219" s="36" t="n">
        <v>225.85</v>
      </c>
      <c r="G219" s="36" t="n">
        <v>169.54</v>
      </c>
      <c r="H219" s="36" t="n">
        <v>133.27</v>
      </c>
      <c r="I219" s="37" t="n">
        <v>2825387</v>
      </c>
      <c r="J219" s="37" t="n">
        <v>2689734</v>
      </c>
      <c r="K219" s="38" t="n">
        <v>-8.460000000000001</v>
      </c>
    </row>
    <row r="220">
      <c r="A220" s="35" t="inlineStr">
        <is>
          <t>ALIVUS</t>
        </is>
      </c>
      <c r="C220" s="36" t="n">
        <v>1056.85</v>
      </c>
      <c r="D220" s="36" t="n">
        <v>979.09</v>
      </c>
      <c r="E220" s="36" t="n">
        <v>957.6799999999999</v>
      </c>
      <c r="F220" s="36" t="n">
        <v>1218.62</v>
      </c>
      <c r="G220" s="36" t="n">
        <v>1089.45</v>
      </c>
      <c r="H220" s="36" t="n">
        <v>861.3</v>
      </c>
      <c r="I220" s="37" t="n">
        <v>96087</v>
      </c>
      <c r="J220" s="37" t="n">
        <v>70699</v>
      </c>
      <c r="K220" s="38" t="n">
        <v>20.55</v>
      </c>
    </row>
    <row r="221">
      <c r="A221" s="35" t="inlineStr">
        <is>
          <t>RKFORGE</t>
        </is>
      </c>
      <c r="C221" s="36" t="n">
        <v>556.95</v>
      </c>
      <c r="D221" s="36" t="n">
        <v>530.88</v>
      </c>
      <c r="E221" s="36" t="n">
        <v>551.04</v>
      </c>
      <c r="F221" s="36" t="n">
        <v>691.5</v>
      </c>
      <c r="G221" s="36" t="n">
        <v>583.9</v>
      </c>
      <c r="H221" s="36" t="n">
        <v>462.7</v>
      </c>
      <c r="I221" s="37" t="n">
        <v>360093</v>
      </c>
      <c r="J221" s="37" t="n">
        <v>328198</v>
      </c>
      <c r="K221" s="38" t="n">
        <v>10.41</v>
      </c>
    </row>
    <row r="222">
      <c r="A222" s="35" t="inlineStr">
        <is>
          <t>DOMS</t>
        </is>
      </c>
      <c r="C222" s="36" t="n">
        <v>2419.1</v>
      </c>
      <c r="D222" s="36" t="n">
        <v>2339.18</v>
      </c>
      <c r="E222" s="36" t="n">
        <v>2456.53</v>
      </c>
      <c r="F222" s="36" t="n">
        <v>2891.49</v>
      </c>
      <c r="G222" s="36" t="n">
        <v>2755</v>
      </c>
      <c r="H222" s="36" t="n">
        <v>2055.8</v>
      </c>
      <c r="I222" s="37" t="n">
        <v>48618</v>
      </c>
      <c r="J222" s="37" t="n">
        <v>44873</v>
      </c>
      <c r="K222" s="38" t="n">
        <v>-3.9</v>
      </c>
    </row>
    <row r="223">
      <c r="A223" s="35" t="inlineStr">
        <is>
          <t>HCG</t>
        </is>
      </c>
      <c r="C223" s="36" t="n">
        <v>578.3</v>
      </c>
      <c r="D223" s="36" t="n">
        <v>570.6</v>
      </c>
      <c r="E223" s="36" t="n">
        <v>612.26</v>
      </c>
      <c r="F223" s="36" t="n">
        <v>804.65</v>
      </c>
      <c r="G223" s="36" t="n">
        <v>671.7</v>
      </c>
      <c r="H223" s="36" t="n">
        <v>521.75</v>
      </c>
      <c r="I223" s="37" t="n">
        <v>169223</v>
      </c>
      <c r="J223" s="37" t="n">
        <v>164725</v>
      </c>
      <c r="K223" s="38" t="n">
        <v>-11.17</v>
      </c>
    </row>
    <row r="224">
      <c r="A224" s="35" t="inlineStr">
        <is>
          <t>INDHOTEL</t>
        </is>
      </c>
      <c r="C224" s="36" t="n">
        <v>659.7</v>
      </c>
      <c r="D224" s="36" t="n">
        <v>644.34</v>
      </c>
      <c r="E224" s="36" t="n">
        <v>700.42</v>
      </c>
      <c r="F224" s="36" t="n">
        <v>819.24</v>
      </c>
      <c r="G224" s="36" t="n">
        <v>713.9</v>
      </c>
      <c r="H224" s="36" t="n">
        <v>570.95</v>
      </c>
      <c r="I224" s="37" t="n">
        <v>2887317</v>
      </c>
      <c r="J224" s="37" t="n">
        <v>2887317</v>
      </c>
      <c r="K224" s="38" t="n">
        <v>-4.32</v>
      </c>
    </row>
    <row r="225">
      <c r="A225" s="35" t="inlineStr">
        <is>
          <t>SJVN</t>
        </is>
      </c>
      <c r="C225" s="36" t="n">
        <v>80.84999999999999</v>
      </c>
      <c r="D225" s="36" t="n">
        <v>72.47</v>
      </c>
      <c r="E225" s="36" t="n">
        <v>79.83</v>
      </c>
      <c r="F225" s="36" t="n">
        <v>105.51</v>
      </c>
      <c r="G225" s="36" t="n">
        <v>81.45</v>
      </c>
      <c r="H225" s="36" t="n">
        <v>63.35</v>
      </c>
      <c r="I225" s="37" t="n">
        <v>6658685</v>
      </c>
      <c r="J225" s="37" t="n">
        <v>5171109</v>
      </c>
      <c r="K225" s="38" t="n">
        <v>4.32</v>
      </c>
    </row>
    <row r="226">
      <c r="A226" s="35" t="inlineStr">
        <is>
          <t>EMIL</t>
        </is>
      </c>
      <c r="C226" s="36" t="n">
        <v>108.99</v>
      </c>
      <c r="D226" s="36" t="n">
        <v>98.94</v>
      </c>
      <c r="E226" s="36" t="n">
        <v>114.1</v>
      </c>
      <c r="F226" s="36" t="n">
        <v>168.5</v>
      </c>
      <c r="G226" s="36" t="n">
        <v>111.85</v>
      </c>
      <c r="H226" s="36" t="n">
        <v>85.58</v>
      </c>
      <c r="I226" s="37" t="n">
        <v>603416</v>
      </c>
      <c r="J226" s="37" t="n">
        <v>486953</v>
      </c>
      <c r="K226" s="38" t="n">
        <v>13.58</v>
      </c>
    </row>
    <row r="227">
      <c r="A227" s="35" t="inlineStr">
        <is>
          <t>MAHSCOOTER</t>
        </is>
      </c>
      <c r="C227" s="36" t="n">
        <v>13063</v>
      </c>
      <c r="D227" s="36" t="n">
        <v>12920.07</v>
      </c>
      <c r="E227" s="36" t="n">
        <v>13679.99</v>
      </c>
      <c r="F227" s="36" t="n">
        <v>18371.18</v>
      </c>
      <c r="G227" s="36" t="n">
        <v>14585</v>
      </c>
      <c r="H227" s="36" t="n">
        <v>11109</v>
      </c>
      <c r="I227" s="37" t="n">
        <v>4825</v>
      </c>
      <c r="J227" s="37" t="n">
        <v>3602</v>
      </c>
      <c r="K227" s="38" t="n">
        <v>-8.65</v>
      </c>
    </row>
    <row r="228">
      <c r="A228" s="35" t="inlineStr">
        <is>
          <t>JIOFIN</t>
        </is>
      </c>
      <c r="C228" s="36" t="n">
        <v>238.51</v>
      </c>
      <c r="D228" s="36" t="n">
        <v>247.05</v>
      </c>
      <c r="E228" s="36" t="n">
        <v>273.31</v>
      </c>
      <c r="F228" s="36" t="n">
        <v>338.07</v>
      </c>
      <c r="G228" s="36" t="n">
        <v>291</v>
      </c>
      <c r="H228" s="36" t="n">
        <v>224.1</v>
      </c>
      <c r="I228" s="37" t="n">
        <v>19911970</v>
      </c>
      <c r="J228" s="37" t="n">
        <v>15021100</v>
      </c>
      <c r="K228" s="38" t="n">
        <v>-16.19</v>
      </c>
    </row>
    <row r="229">
      <c r="A229" s="35" t="inlineStr">
        <is>
          <t>EICHERMOT</t>
        </is>
      </c>
      <c r="C229" s="36" t="n">
        <v>7230</v>
      </c>
      <c r="D229" s="36" t="n">
        <v>7178.32</v>
      </c>
      <c r="E229" s="36" t="n">
        <v>6852.08</v>
      </c>
      <c r="F229" s="36" t="n">
        <v>8230</v>
      </c>
      <c r="G229" s="36" t="n">
        <v>8230</v>
      </c>
      <c r="H229" s="36" t="n">
        <v>6586</v>
      </c>
      <c r="I229" s="37" t="n">
        <v>660432</v>
      </c>
      <c r="J229" s="37" t="n">
        <v>557181</v>
      </c>
      <c r="K229" s="38" t="n">
        <v>-1.74</v>
      </c>
    </row>
    <row r="230">
      <c r="A230" s="35" t="inlineStr">
        <is>
          <t>CUPID</t>
        </is>
      </c>
      <c r="C230" s="36" t="n">
        <v>112.94</v>
      </c>
      <c r="D230" s="36" t="n">
        <v>88.18000000000001</v>
      </c>
      <c r="E230" s="36" t="n">
        <v>66.45999999999999</v>
      </c>
      <c r="F230" s="36" t="n">
        <v>113</v>
      </c>
      <c r="G230" s="36" t="n">
        <v>113</v>
      </c>
      <c r="H230" s="36" t="n">
        <v>75.31999999999999</v>
      </c>
      <c r="I230" s="37" t="n">
        <v>15497743</v>
      </c>
      <c r="J230" s="37" t="n">
        <v>20446450</v>
      </c>
      <c r="K230" s="38" t="n">
        <v>21.48</v>
      </c>
    </row>
    <row r="231">
      <c r="A231" s="35" t="inlineStr">
        <is>
          <t>ENTERO</t>
        </is>
      </c>
      <c r="C231" s="36" t="n">
        <v>1263.9</v>
      </c>
      <c r="D231" s="36" t="n">
        <v>1160.81</v>
      </c>
      <c r="E231" s="36" t="n">
        <v>1153.5</v>
      </c>
      <c r="F231" s="36" t="n">
        <v>1510.8</v>
      </c>
      <c r="G231" s="36" t="n">
        <v>1303.2</v>
      </c>
      <c r="H231" s="36" t="n">
        <v>1001.2</v>
      </c>
      <c r="I231" s="37" t="n">
        <v>86885</v>
      </c>
      <c r="J231" s="37" t="n">
        <v>75586</v>
      </c>
      <c r="K231" s="38" t="n">
        <v>4.34</v>
      </c>
    </row>
    <row r="232">
      <c r="A232" s="35" t="inlineStr">
        <is>
          <t>GAIL</t>
        </is>
      </c>
      <c r="C232" s="36" t="n">
        <v>166.12</v>
      </c>
      <c r="D232" s="36" t="n">
        <v>154.47</v>
      </c>
      <c r="E232" s="36" t="n">
        <v>164.93</v>
      </c>
      <c r="F232" s="36" t="n">
        <v>195.53</v>
      </c>
      <c r="G232" s="36" t="n">
        <v>171.46</v>
      </c>
      <c r="H232" s="36" t="n">
        <v>135.4</v>
      </c>
      <c r="I232" s="37" t="n">
        <v>15145719</v>
      </c>
      <c r="J232" s="37" t="n">
        <v>14633439</v>
      </c>
      <c r="K232" s="38" t="n">
        <v>3.71</v>
      </c>
    </row>
    <row r="233">
      <c r="A233" s="35" t="inlineStr">
        <is>
          <t>RECLTD</t>
        </is>
      </c>
      <c r="C233" s="36" t="n">
        <v>383.35</v>
      </c>
      <c r="D233" s="36" t="n">
        <v>346.75</v>
      </c>
      <c r="E233" s="36" t="n">
        <v>358.25</v>
      </c>
      <c r="F233" s="36" t="n">
        <v>418.68</v>
      </c>
      <c r="G233" s="36" t="n">
        <v>387.45</v>
      </c>
      <c r="H233" s="36" t="n">
        <v>305.1</v>
      </c>
      <c r="I233" s="37" t="n">
        <v>8232651</v>
      </c>
      <c r="J233" s="37" t="n">
        <v>8374408</v>
      </c>
      <c r="K233" s="38" t="n">
        <v>5.92</v>
      </c>
    </row>
    <row r="234">
      <c r="A234" s="35" t="inlineStr">
        <is>
          <t>KAYNES</t>
        </is>
      </c>
      <c r="C234" s="36" t="n">
        <v>4458.9</v>
      </c>
      <c r="D234" s="36" t="n">
        <v>3900.76</v>
      </c>
      <c r="E234" s="36" t="n">
        <v>4782.11</v>
      </c>
      <c r="F234" s="36" t="n">
        <v>7705</v>
      </c>
      <c r="G234" s="36" t="n">
        <v>4476.2</v>
      </c>
      <c r="H234" s="36" t="n">
        <v>3333</v>
      </c>
      <c r="I234" s="37" t="n">
        <v>1589023</v>
      </c>
      <c r="J234" s="37" t="n">
        <v>1352262</v>
      </c>
      <c r="K234" s="38" t="n">
        <v>21.15</v>
      </c>
    </row>
    <row r="235">
      <c r="A235" s="35" t="inlineStr">
        <is>
          <t>IREDA</t>
        </is>
      </c>
      <c r="C235" s="36" t="n">
        <v>140.45</v>
      </c>
      <c r="D235" s="36" t="n">
        <v>123.64</v>
      </c>
      <c r="E235" s="36" t="n">
        <v>137.62</v>
      </c>
      <c r="F235" s="36" t="n">
        <v>185.6</v>
      </c>
      <c r="G235" s="36" t="n">
        <v>142.85</v>
      </c>
      <c r="H235" s="36" t="n">
        <v>108.41</v>
      </c>
      <c r="I235" s="37" t="n">
        <v>9861633</v>
      </c>
      <c r="J235" s="37" t="n">
        <v>9088719</v>
      </c>
      <c r="K235" s="38" t="n">
        <v>2.24</v>
      </c>
    </row>
    <row r="236">
      <c r="A236" s="35" t="inlineStr">
        <is>
          <t>APLLTD</t>
        </is>
      </c>
      <c r="C236" s="36" t="n">
        <v>764.6</v>
      </c>
      <c r="D236" s="36" t="n">
        <v>732.89</v>
      </c>
      <c r="E236" s="36" t="n">
        <v>821.8200000000001</v>
      </c>
      <c r="F236" s="36" t="n">
        <v>1095.72</v>
      </c>
      <c r="G236" s="36" t="n">
        <v>827.45</v>
      </c>
      <c r="H236" s="36" t="n">
        <v>646.55</v>
      </c>
      <c r="I236" s="37" t="n">
        <v>70757</v>
      </c>
      <c r="J236" s="37" t="n">
        <v>50462</v>
      </c>
      <c r="K236" s="38" t="n">
        <v>-3.2</v>
      </c>
    </row>
    <row r="237">
      <c r="A237" s="35" t="inlineStr">
        <is>
          <t>M&amp;M</t>
        </is>
      </c>
      <c r="C237" s="36" t="n">
        <v>3149.7</v>
      </c>
      <c r="D237" s="36" t="n">
        <v>3253.99</v>
      </c>
      <c r="E237" s="36" t="n">
        <v>3352.25</v>
      </c>
      <c r="F237" s="36" t="n">
        <v>3839.9</v>
      </c>
      <c r="G237" s="36" t="n">
        <v>3787</v>
      </c>
      <c r="H237" s="36" t="n">
        <v>2931.1</v>
      </c>
      <c r="I237" s="37" t="n">
        <v>3155168</v>
      </c>
      <c r="J237" s="37" t="n">
        <v>2801451</v>
      </c>
      <c r="K237" s="38" t="n">
        <v>-13.7</v>
      </c>
    </row>
    <row r="238">
      <c r="A238" s="35" t="inlineStr">
        <is>
          <t>ULTRACEMCO</t>
        </is>
      </c>
      <c r="C238" s="36" t="n">
        <v>12193</v>
      </c>
      <c r="D238" s="36" t="n">
        <v>11710.72</v>
      </c>
      <c r="E238" s="36" t="n">
        <v>11957.61</v>
      </c>
      <c r="F238" s="36" t="n">
        <v>13110</v>
      </c>
      <c r="G238" s="36" t="n">
        <v>13110</v>
      </c>
      <c r="H238" s="36" t="n">
        <v>10362</v>
      </c>
      <c r="I238" s="37" t="n">
        <v>335624</v>
      </c>
      <c r="J238" s="37" t="n">
        <v>296585</v>
      </c>
      <c r="K238" s="38" t="n">
        <v>-0.51</v>
      </c>
    </row>
    <row r="239">
      <c r="A239" s="35" t="inlineStr">
        <is>
          <t>VIYASH</t>
        </is>
      </c>
    </row>
    <row r="240">
      <c r="A240" s="35" t="inlineStr">
        <is>
          <t>PTC</t>
        </is>
      </c>
      <c r="C240" s="36" t="n">
        <v>186.52</v>
      </c>
      <c r="D240" s="36" t="n">
        <v>168.52</v>
      </c>
      <c r="E240" s="36" t="n">
        <v>166.19</v>
      </c>
      <c r="F240" s="36" t="n">
        <v>197.75</v>
      </c>
      <c r="G240" s="36" t="n">
        <v>197.75</v>
      </c>
      <c r="H240" s="36" t="n">
        <v>150.13</v>
      </c>
      <c r="I240" s="37" t="n">
        <v>1351346</v>
      </c>
      <c r="J240" s="37" t="n">
        <v>1181252</v>
      </c>
      <c r="K240" s="38" t="n">
        <v>18.08</v>
      </c>
    </row>
    <row r="241">
      <c r="A241" s="35" t="inlineStr">
        <is>
          <t>BAJAJHFL</t>
        </is>
      </c>
      <c r="C241" s="36" t="n">
        <v>91.51000000000001</v>
      </c>
      <c r="D241" s="36" t="n">
        <v>86.2</v>
      </c>
      <c r="E241" s="36" t="n">
        <v>98.83</v>
      </c>
      <c r="F241" s="36" t="n">
        <v>128.7</v>
      </c>
      <c r="G241" s="36" t="n">
        <v>94.77</v>
      </c>
      <c r="H241" s="36" t="n">
        <v>73.09</v>
      </c>
      <c r="I241" s="37" t="n">
        <v>7735656</v>
      </c>
      <c r="J241" s="37" t="n">
        <v>5518443</v>
      </c>
      <c r="K241" s="38" t="n">
        <v>-2.12</v>
      </c>
    </row>
    <row r="242">
      <c r="A242" s="35" t="inlineStr">
        <is>
          <t>MANAPPURAM</t>
        </is>
      </c>
      <c r="C242" s="36" t="n">
        <v>295.05</v>
      </c>
      <c r="D242" s="36" t="n">
        <v>273.73</v>
      </c>
      <c r="E242" s="36" t="n">
        <v>274.57</v>
      </c>
      <c r="F242" s="36" t="n">
        <v>321.05</v>
      </c>
      <c r="G242" s="36" t="n">
        <v>317.31</v>
      </c>
      <c r="H242" s="36" t="n">
        <v>251.1</v>
      </c>
      <c r="I242" s="37" t="n">
        <v>4161706</v>
      </c>
      <c r="J242" s="37" t="n">
        <v>4916102</v>
      </c>
      <c r="K242" s="38" t="n">
        <v>-4.35</v>
      </c>
    </row>
    <row r="243">
      <c r="A243" s="35" t="inlineStr">
        <is>
          <t>CEATLTD</t>
        </is>
      </c>
      <c r="C243" s="36" t="n">
        <v>3788.7</v>
      </c>
      <c r="D243" s="36" t="n">
        <v>3617.39</v>
      </c>
      <c r="E243" s="36" t="n">
        <v>3610.51</v>
      </c>
      <c r="F243" s="36" t="n">
        <v>4438</v>
      </c>
      <c r="G243" s="36" t="n">
        <v>4128.3</v>
      </c>
      <c r="H243" s="36" t="n">
        <v>3242.5</v>
      </c>
      <c r="I243" s="37" t="n">
        <v>88617</v>
      </c>
      <c r="J243" s="37" t="n">
        <v>98983</v>
      </c>
      <c r="K243" s="38" t="n">
        <v>-1.06</v>
      </c>
    </row>
    <row r="244">
      <c r="A244" s="35" t="inlineStr">
        <is>
          <t>SBIN</t>
        </is>
      </c>
      <c r="C244" s="36" t="n">
        <v>1103.3</v>
      </c>
      <c r="D244" s="36" t="n">
        <v>1075.81</v>
      </c>
      <c r="E244" s="36" t="n">
        <v>985.21</v>
      </c>
      <c r="F244" s="36" t="n">
        <v>1234.7</v>
      </c>
      <c r="G244" s="36" t="n">
        <v>1234.7</v>
      </c>
      <c r="H244" s="36" t="n">
        <v>979.4</v>
      </c>
      <c r="I244" s="37" t="n">
        <v>17763348</v>
      </c>
      <c r="J244" s="37" t="n">
        <v>16129381</v>
      </c>
      <c r="K244" s="38" t="n">
        <v>7.29</v>
      </c>
    </row>
    <row r="245">
      <c r="A245" s="35" t="inlineStr">
        <is>
          <t>CIEINDIA</t>
        </is>
      </c>
      <c r="C245" s="36" t="n">
        <v>471.7</v>
      </c>
      <c r="D245" s="36" t="n">
        <v>454.11</v>
      </c>
      <c r="E245" s="36" t="n">
        <v>428.92</v>
      </c>
      <c r="F245" s="36" t="n">
        <v>518.55</v>
      </c>
      <c r="G245" s="36" t="n">
        <v>518.55</v>
      </c>
      <c r="H245" s="36" t="n">
        <v>389.85</v>
      </c>
      <c r="I245" s="37" t="n">
        <v>285647</v>
      </c>
      <c r="J245" s="37" t="n">
        <v>260329</v>
      </c>
      <c r="K245" s="38" t="n">
        <v>17.65</v>
      </c>
    </row>
    <row r="246">
      <c r="A246" s="35" t="inlineStr">
        <is>
          <t>BAJAJFINSV</t>
        </is>
      </c>
      <c r="C246" s="36" t="n">
        <v>1842.9</v>
      </c>
      <c r="D246" s="36" t="n">
        <v>1841.65</v>
      </c>
      <c r="E246" s="36" t="n">
        <v>1958.6</v>
      </c>
      <c r="F246" s="36" t="n">
        <v>2195</v>
      </c>
      <c r="G246" s="36" t="n">
        <v>2074.9</v>
      </c>
      <c r="H246" s="36" t="n">
        <v>1631.8</v>
      </c>
      <c r="I246" s="37" t="n">
        <v>1510841</v>
      </c>
      <c r="J246" s="37" t="n">
        <v>1177279</v>
      </c>
      <c r="K246" s="38" t="n">
        <v>-7.9</v>
      </c>
    </row>
    <row r="247">
      <c r="A247" s="35" t="inlineStr">
        <is>
          <t>LTF</t>
        </is>
      </c>
      <c r="C247" s="36" t="n">
        <v>294.04</v>
      </c>
      <c r="D247" s="36" t="n">
        <v>275.83</v>
      </c>
      <c r="E247" s="36" t="n">
        <v>260.45</v>
      </c>
      <c r="F247" s="36" t="n">
        <v>329.45</v>
      </c>
      <c r="G247" s="36" t="n">
        <v>310.5</v>
      </c>
      <c r="H247" s="36" t="n">
        <v>240.2</v>
      </c>
      <c r="I247" s="37" t="n">
        <v>5424731</v>
      </c>
      <c r="J247" s="37" t="n">
        <v>5174550</v>
      </c>
      <c r="K247" s="38" t="n">
        <v>-0.59</v>
      </c>
    </row>
    <row r="248">
      <c r="A248" s="35" t="inlineStr">
        <is>
          <t>PTCIL</t>
        </is>
      </c>
      <c r="C248" s="36" t="n">
        <v>15864</v>
      </c>
      <c r="D248" s="36" t="n">
        <v>16675.83</v>
      </c>
      <c r="E248" s="36" t="n">
        <v>16486.89</v>
      </c>
      <c r="F248" s="36" t="n">
        <v>19387</v>
      </c>
      <c r="G248" s="36" t="n">
        <v>18850</v>
      </c>
      <c r="H248" s="36" t="n">
        <v>14726</v>
      </c>
      <c r="I248" s="37" t="n">
        <v>19859</v>
      </c>
      <c r="J248" s="37" t="n">
        <v>15705</v>
      </c>
      <c r="K248" s="38" t="n">
        <v>-12.06</v>
      </c>
    </row>
    <row r="249">
      <c r="A249" s="35" t="inlineStr">
        <is>
          <t>SOLARINDS</t>
        </is>
      </c>
      <c r="C249" s="36" t="n">
        <v>15272</v>
      </c>
      <c r="D249" s="36" t="n">
        <v>13801.5</v>
      </c>
      <c r="E249" s="36" t="n">
        <v>13703.89</v>
      </c>
      <c r="F249" s="36" t="n">
        <v>17809.34</v>
      </c>
      <c r="G249" s="36" t="n">
        <v>15576</v>
      </c>
      <c r="H249" s="36" t="n">
        <v>12076</v>
      </c>
      <c r="I249" s="37" t="n">
        <v>156790</v>
      </c>
      <c r="J249" s="37" t="n">
        <v>145658</v>
      </c>
      <c r="K249" s="38" t="n">
        <v>20.29</v>
      </c>
    </row>
    <row r="250">
      <c r="A250" s="35" t="inlineStr">
        <is>
          <t>MAHABANK</t>
        </is>
      </c>
      <c r="C250" s="36" t="n">
        <v>79.76000000000001</v>
      </c>
      <c r="D250" s="36" t="n">
        <v>68.02</v>
      </c>
      <c r="E250" s="36" t="n">
        <v>61.17</v>
      </c>
      <c r="F250" s="36" t="n">
        <v>82.15000000000001</v>
      </c>
      <c r="G250" s="36" t="n">
        <v>82.15000000000001</v>
      </c>
      <c r="H250" s="36" t="n">
        <v>61.33</v>
      </c>
      <c r="I250" s="37" t="n">
        <v>18424709</v>
      </c>
      <c r="J250" s="37" t="n">
        <v>18486325</v>
      </c>
      <c r="K250" s="38" t="n">
        <v>22.87</v>
      </c>
    </row>
    <row r="251">
      <c r="A251" s="35" t="inlineStr">
        <is>
          <t>ITI</t>
        </is>
      </c>
      <c r="C251" s="36" t="n">
        <v>304.23</v>
      </c>
      <c r="D251" s="36" t="n">
        <v>278.35</v>
      </c>
      <c r="E251" s="36" t="n">
        <v>290.18</v>
      </c>
      <c r="F251" s="36" t="n">
        <v>372.85</v>
      </c>
      <c r="G251" s="36" t="n">
        <v>319.9</v>
      </c>
      <c r="H251" s="36" t="n">
        <v>239.05</v>
      </c>
      <c r="I251" s="37" t="n">
        <v>982278</v>
      </c>
      <c r="J251" s="37" t="n">
        <v>500345</v>
      </c>
      <c r="K251" s="38" t="n">
        <v>1.06</v>
      </c>
    </row>
    <row r="252">
      <c r="A252" s="35" t="inlineStr">
        <is>
          <t>JMFINANCIL</t>
        </is>
      </c>
      <c r="C252" s="36" t="n">
        <v>133.83</v>
      </c>
      <c r="D252" s="36" t="n">
        <v>129.45</v>
      </c>
      <c r="E252" s="36" t="n">
        <v>137.32</v>
      </c>
      <c r="F252" s="36" t="n">
        <v>197.86</v>
      </c>
      <c r="G252" s="36" t="n">
        <v>144.9</v>
      </c>
      <c r="H252" s="36" t="n">
        <v>113.61</v>
      </c>
      <c r="I252" s="37" t="n">
        <v>2554906</v>
      </c>
      <c r="J252" s="37" t="n">
        <v>2739305</v>
      </c>
      <c r="K252" s="38" t="n">
        <v>-3.69</v>
      </c>
    </row>
    <row r="253">
      <c r="A253" s="35" t="inlineStr">
        <is>
          <t>PHOENIXLTD</t>
        </is>
      </c>
      <c r="C253" s="36" t="n">
        <v>1809.4</v>
      </c>
      <c r="D253" s="36" t="n">
        <v>1680.46</v>
      </c>
      <c r="E253" s="36" t="n">
        <v>1672.99</v>
      </c>
      <c r="F253" s="36" t="n">
        <v>1993</v>
      </c>
      <c r="G253" s="36" t="n">
        <v>1925.8</v>
      </c>
      <c r="H253" s="36" t="n">
        <v>1477.4</v>
      </c>
      <c r="I253" s="37" t="n">
        <v>675596</v>
      </c>
      <c r="J253" s="37" t="n">
        <v>465679</v>
      </c>
      <c r="K253" s="38" t="n">
        <v>-4.5</v>
      </c>
    </row>
    <row r="254">
      <c r="A254" s="35" t="inlineStr">
        <is>
          <t>GABRIEL</t>
        </is>
      </c>
      <c r="C254" s="36" t="n">
        <v>1031.85</v>
      </c>
      <c r="D254" s="36" t="n">
        <v>936.7</v>
      </c>
      <c r="E254" s="36" t="n">
        <v>949.66</v>
      </c>
      <c r="F254" s="36" t="n">
        <v>1385.5</v>
      </c>
      <c r="G254" s="36" t="n">
        <v>1064.2</v>
      </c>
      <c r="H254" s="36" t="n">
        <v>823.1</v>
      </c>
      <c r="I254" s="37" t="n">
        <v>293461</v>
      </c>
      <c r="J254" s="37" t="n">
        <v>283941</v>
      </c>
      <c r="K254" s="38" t="n">
        <v>10.63</v>
      </c>
    </row>
    <row r="255">
      <c r="A255" s="35" t="inlineStr">
        <is>
          <t>MSUMI</t>
        </is>
      </c>
      <c r="C255" s="36" t="n">
        <v>41.29</v>
      </c>
      <c r="D255" s="36" t="n">
        <v>40.37</v>
      </c>
      <c r="E255" s="36" t="n">
        <v>42.34</v>
      </c>
      <c r="F255" s="36" t="n">
        <v>53.59</v>
      </c>
      <c r="G255" s="36" t="n">
        <v>46.74</v>
      </c>
      <c r="H255" s="36" t="n">
        <v>35.89</v>
      </c>
      <c r="I255" s="37" t="n">
        <v>10993170</v>
      </c>
      <c r="J255" s="37" t="n">
        <v>7062416</v>
      </c>
      <c r="K255" s="38" t="n">
        <v>-10.38</v>
      </c>
    </row>
    <row r="256">
      <c r="A256" s="35" t="inlineStr">
        <is>
          <t>IONEXCHANG</t>
        </is>
      </c>
      <c r="C256" s="36" t="n">
        <v>409.75</v>
      </c>
      <c r="D256" s="36" t="n">
        <v>366.37</v>
      </c>
      <c r="E256" s="36" t="n">
        <v>398.92</v>
      </c>
      <c r="F256" s="36" t="n">
        <v>578.7</v>
      </c>
      <c r="G256" s="36" t="n">
        <v>413.1</v>
      </c>
      <c r="H256" s="36" t="n">
        <v>317.25</v>
      </c>
      <c r="I256" s="37" t="n">
        <v>259524</v>
      </c>
      <c r="J256" s="37" t="n">
        <v>217167</v>
      </c>
      <c r="K256" s="38" t="n">
        <v>17.12</v>
      </c>
    </row>
    <row r="257">
      <c r="A257" s="35" t="inlineStr">
        <is>
          <t>AWL</t>
        </is>
      </c>
      <c r="C257" s="36" t="n">
        <v>199.6</v>
      </c>
      <c r="D257" s="36" t="n">
        <v>190.84</v>
      </c>
      <c r="E257" s="36" t="n">
        <v>227.35</v>
      </c>
      <c r="F257" s="36" t="n">
        <v>287</v>
      </c>
      <c r="G257" s="36" t="n">
        <v>220.63</v>
      </c>
      <c r="H257" s="36" t="n">
        <v>172.3</v>
      </c>
      <c r="I257" s="37" t="n">
        <v>3780000</v>
      </c>
      <c r="J257" s="37" t="n">
        <v>2105247</v>
      </c>
      <c r="K257" s="38" t="n">
        <v>-8.4</v>
      </c>
    </row>
    <row r="258">
      <c r="A258" s="35" t="inlineStr">
        <is>
          <t>SUZLON</t>
        </is>
      </c>
      <c r="C258" s="36" t="n">
        <v>54.57</v>
      </c>
      <c r="D258" s="36" t="n">
        <v>45.78</v>
      </c>
      <c r="E258" s="36" t="n">
        <v>51.24</v>
      </c>
      <c r="F258" s="36" t="n">
        <v>74.3</v>
      </c>
      <c r="G258" s="36" t="n">
        <v>54.7</v>
      </c>
      <c r="H258" s="36" t="n">
        <v>39.56</v>
      </c>
      <c r="I258" s="37" t="n">
        <v>76079784</v>
      </c>
      <c r="J258" s="37" t="n">
        <v>65440981</v>
      </c>
      <c r="K258" s="38" t="n">
        <v>11.34</v>
      </c>
    </row>
    <row r="259">
      <c r="A259" s="35" t="inlineStr">
        <is>
          <t>GODREJCP</t>
        </is>
      </c>
      <c r="C259" s="36" t="n">
        <v>1139.55</v>
      </c>
      <c r="D259" s="36" t="n">
        <v>1100.16</v>
      </c>
      <c r="E259" s="36" t="n">
        <v>1157.81</v>
      </c>
      <c r="F259" s="36" t="n">
        <v>1297.65</v>
      </c>
      <c r="G259" s="36" t="n">
        <v>1258.93</v>
      </c>
      <c r="H259" s="36" t="n">
        <v>984.8</v>
      </c>
      <c r="I259" s="37" t="n">
        <v>1683089</v>
      </c>
      <c r="J259" s="37" t="n">
        <v>1236054</v>
      </c>
      <c r="K259" s="38" t="n">
        <v>-6.72</v>
      </c>
    </row>
    <row r="260">
      <c r="A260" s="35" t="inlineStr">
        <is>
          <t>SHRIRAMFIN</t>
        </is>
      </c>
      <c r="C260" s="36" t="n">
        <v>1044.55</v>
      </c>
      <c r="D260" s="36" t="n">
        <v>991.79</v>
      </c>
      <c r="E260" s="36" t="n">
        <v>866.09</v>
      </c>
      <c r="F260" s="36" t="n">
        <v>1108</v>
      </c>
      <c r="G260" s="36" t="n">
        <v>1108</v>
      </c>
      <c r="H260" s="36" t="n">
        <v>872.1</v>
      </c>
      <c r="I260" s="37" t="n">
        <v>8048521</v>
      </c>
      <c r="J260" s="37" t="n">
        <v>6653822</v>
      </c>
      <c r="K260" s="38" t="n">
        <v>6.47</v>
      </c>
    </row>
    <row r="261">
      <c r="A261" s="35" t="inlineStr">
        <is>
          <t>HAPPSTMNDS</t>
        </is>
      </c>
      <c r="C261" s="36" t="n">
        <v>377.2</v>
      </c>
      <c r="D261" s="36" t="n">
        <v>389.99</v>
      </c>
      <c r="E261" s="36" t="n">
        <v>464.39</v>
      </c>
      <c r="F261" s="36" t="n">
        <v>667.53</v>
      </c>
      <c r="G261" s="36" t="n">
        <v>454.3</v>
      </c>
      <c r="H261" s="36" t="n">
        <v>337.5</v>
      </c>
      <c r="I261" s="37" t="n">
        <v>1177475</v>
      </c>
      <c r="J261" s="37" t="n">
        <v>654461</v>
      </c>
      <c r="K261" s="38" t="n">
        <v>-11.85</v>
      </c>
    </row>
    <row r="262">
      <c r="A262" s="35" t="inlineStr">
        <is>
          <t>SIEMENS</t>
        </is>
      </c>
      <c r="C262" s="36" t="n">
        <v>3844.3</v>
      </c>
      <c r="D262" s="36" t="n">
        <v>3272.72</v>
      </c>
      <c r="E262" s="36" t="n">
        <v>3161.77</v>
      </c>
      <c r="F262" s="36" t="n">
        <v>3885</v>
      </c>
      <c r="G262" s="36" t="n">
        <v>3885</v>
      </c>
      <c r="H262" s="36" t="n">
        <v>2848.6</v>
      </c>
      <c r="I262" s="37" t="n">
        <v>410905</v>
      </c>
      <c r="J262" s="37" t="n">
        <v>361947</v>
      </c>
      <c r="K262" s="38" t="n">
        <v>30.42</v>
      </c>
    </row>
    <row r="263">
      <c r="A263" s="35" t="inlineStr">
        <is>
          <t>JAINREC</t>
        </is>
      </c>
    </row>
    <row r="264">
      <c r="A264" s="35" t="inlineStr">
        <is>
          <t>LINDEINDIA</t>
        </is>
      </c>
      <c r="C264" s="36" t="n">
        <v>7272</v>
      </c>
      <c r="D264" s="36" t="n">
        <v>6889.22</v>
      </c>
      <c r="E264" s="36" t="n">
        <v>6499.98</v>
      </c>
      <c r="F264" s="36" t="n">
        <v>7855.39</v>
      </c>
      <c r="G264" s="36" t="n">
        <v>7515</v>
      </c>
      <c r="H264" s="36" t="n">
        <v>5843.5</v>
      </c>
      <c r="I264" s="37" t="n">
        <v>54886</v>
      </c>
      <c r="J264" s="37" t="n">
        <v>44256</v>
      </c>
      <c r="K264" s="38" t="n">
        <v>19.55</v>
      </c>
    </row>
    <row r="265">
      <c r="A265" s="35" t="inlineStr">
        <is>
          <t>ICICIAMC</t>
        </is>
      </c>
    </row>
    <row r="266">
      <c r="A266" s="35" t="inlineStr">
        <is>
          <t>INDIGO</t>
        </is>
      </c>
      <c r="C266" s="36" t="n">
        <v>4640.9</v>
      </c>
      <c r="D266" s="36" t="n">
        <v>4552.47</v>
      </c>
      <c r="E266" s="36" t="n">
        <v>5050.49</v>
      </c>
      <c r="F266" s="36" t="n">
        <v>6232.5</v>
      </c>
      <c r="G266" s="36" t="n">
        <v>5056</v>
      </c>
      <c r="H266" s="36" t="n">
        <v>3943.5</v>
      </c>
      <c r="I266" s="37" t="n">
        <v>1693708</v>
      </c>
      <c r="J266" s="37" t="n">
        <v>1501959</v>
      </c>
      <c r="K266" s="38" t="n">
        <v>-1.95</v>
      </c>
    </row>
    <row r="267">
      <c r="A267" s="35" t="inlineStr">
        <is>
          <t>EIHOTEL</t>
        </is>
      </c>
      <c r="C267" s="36" t="n">
        <v>338.55</v>
      </c>
      <c r="D267" s="36" t="n">
        <v>319.63</v>
      </c>
      <c r="E267" s="36" t="n">
        <v>349.24</v>
      </c>
      <c r="F267" s="36" t="n">
        <v>434.8</v>
      </c>
      <c r="G267" s="36" t="n">
        <v>374.65</v>
      </c>
      <c r="H267" s="36" t="n">
        <v>273.55</v>
      </c>
      <c r="I267" s="37" t="n">
        <v>365631</v>
      </c>
      <c r="J267" s="37" t="n">
        <v>278277</v>
      </c>
      <c r="K267" s="38" t="n">
        <v>-1.83</v>
      </c>
    </row>
    <row r="268">
      <c r="A268" s="35" t="inlineStr">
        <is>
          <t>STAR</t>
        </is>
      </c>
      <c r="C268" s="36" t="n">
        <v>1002.05</v>
      </c>
      <c r="D268" s="36" t="n">
        <v>932.5700000000001</v>
      </c>
      <c r="E268" s="36" t="n">
        <v>872.54</v>
      </c>
      <c r="F268" s="36" t="n">
        <v>1025</v>
      </c>
      <c r="G268" s="36" t="n">
        <v>1019.8</v>
      </c>
      <c r="H268" s="36" t="n">
        <v>793.55</v>
      </c>
      <c r="I268" s="37" t="n">
        <v>246535</v>
      </c>
      <c r="J268" s="37" t="n">
        <v>239028</v>
      </c>
      <c r="K268" s="38" t="n">
        <v>6.6</v>
      </c>
    </row>
    <row r="269">
      <c r="A269" s="35" t="inlineStr">
        <is>
          <t>SARDAEN</t>
        </is>
      </c>
      <c r="C269" s="36" t="n">
        <v>591.8</v>
      </c>
      <c r="D269" s="36" t="n">
        <v>536.5700000000001</v>
      </c>
      <c r="E269" s="36" t="n">
        <v>515.67</v>
      </c>
      <c r="F269" s="36" t="n">
        <v>639.75</v>
      </c>
      <c r="G269" s="36" t="n">
        <v>604</v>
      </c>
      <c r="H269" s="36" t="n">
        <v>462.4</v>
      </c>
      <c r="I269" s="37" t="n">
        <v>514724</v>
      </c>
      <c r="J269" s="37" t="n">
        <v>404195</v>
      </c>
      <c r="K269" s="38" t="n">
        <v>21.57</v>
      </c>
    </row>
    <row r="270">
      <c r="A270" s="35" t="inlineStr">
        <is>
          <t>FINPIPE</t>
        </is>
      </c>
      <c r="C270" s="36" t="n">
        <v>178.09</v>
      </c>
      <c r="D270" s="36" t="n">
        <v>173.21</v>
      </c>
      <c r="E270" s="36" t="n">
        <v>181.44</v>
      </c>
      <c r="F270" s="36" t="n">
        <v>234.07</v>
      </c>
      <c r="G270" s="36" t="n">
        <v>197.8</v>
      </c>
      <c r="H270" s="36" t="n">
        <v>149.95</v>
      </c>
      <c r="I270" s="37" t="n">
        <v>663397</v>
      </c>
      <c r="J270" s="37" t="n">
        <v>481337</v>
      </c>
      <c r="K270" s="38" t="n">
        <v>2.34</v>
      </c>
    </row>
    <row r="271">
      <c r="A271" s="35" t="inlineStr">
        <is>
          <t>SUNDARMFIN</t>
        </is>
      </c>
      <c r="C271" s="36" t="n">
        <v>4902.1</v>
      </c>
      <c r="D271" s="36" t="n">
        <v>4985.67</v>
      </c>
      <c r="E271" s="36" t="n">
        <v>4975.61</v>
      </c>
      <c r="F271" s="36" t="n">
        <v>5642</v>
      </c>
      <c r="G271" s="36" t="n">
        <v>5642</v>
      </c>
      <c r="H271" s="36" t="n">
        <v>4375.5</v>
      </c>
      <c r="I271" s="37" t="n">
        <v>65001</v>
      </c>
      <c r="J271" s="37" t="n">
        <v>68484</v>
      </c>
      <c r="K271" s="38" t="n">
        <v>-2.66</v>
      </c>
    </row>
    <row r="272">
      <c r="A272" s="35" t="inlineStr">
        <is>
          <t>DCBBANK</t>
        </is>
      </c>
      <c r="C272" s="36" t="n">
        <v>195.32</v>
      </c>
      <c r="D272" s="36" t="n">
        <v>180.79</v>
      </c>
      <c r="E272" s="36" t="n">
        <v>166.65</v>
      </c>
      <c r="F272" s="36" t="n">
        <v>203.7</v>
      </c>
      <c r="G272" s="36" t="n">
        <v>203.7</v>
      </c>
      <c r="H272" s="36" t="n">
        <v>158.33</v>
      </c>
      <c r="I272" s="37" t="n">
        <v>1480783</v>
      </c>
      <c r="J272" s="37" t="n">
        <v>1664016</v>
      </c>
      <c r="K272" s="38" t="n">
        <v>4.74</v>
      </c>
    </row>
    <row r="273">
      <c r="A273" s="35" t="inlineStr">
        <is>
          <t>NUVOCO</t>
        </is>
      </c>
      <c r="C273" s="36" t="n">
        <v>303.7</v>
      </c>
      <c r="D273" s="36" t="n">
        <v>312.71</v>
      </c>
      <c r="E273" s="36" t="n">
        <v>348.53</v>
      </c>
      <c r="F273" s="36" t="n">
        <v>477.5</v>
      </c>
      <c r="G273" s="36" t="n">
        <v>363.95</v>
      </c>
      <c r="H273" s="36" t="n">
        <v>281.1</v>
      </c>
      <c r="I273" s="37" t="n">
        <v>255794</v>
      </c>
      <c r="J273" s="37" t="n">
        <v>225508</v>
      </c>
      <c r="K273" s="38" t="n">
        <v>-14.26</v>
      </c>
    </row>
    <row r="274">
      <c r="A274" s="35" t="inlineStr">
        <is>
          <t>TRAVELFOOD</t>
        </is>
      </c>
    </row>
    <row r="275">
      <c r="A275" s="35" t="inlineStr">
        <is>
          <t>RTNPOWER</t>
        </is>
      </c>
      <c r="C275" s="36" t="n">
        <v>10.1</v>
      </c>
      <c r="D275" s="36" t="n">
        <v>8.77</v>
      </c>
      <c r="E275" s="36" t="n">
        <v>9.83</v>
      </c>
      <c r="F275" s="36" t="n">
        <v>16.92</v>
      </c>
      <c r="G275" s="36" t="n">
        <v>10.24</v>
      </c>
      <c r="H275" s="36" t="n">
        <v>7.56</v>
      </c>
      <c r="I275" s="37" t="n">
        <v>24847360</v>
      </c>
      <c r="J275" s="37" t="n">
        <v>14435222</v>
      </c>
      <c r="K275" s="38" t="n">
        <v>14.25</v>
      </c>
    </row>
    <row r="276">
      <c r="A276" s="35" t="inlineStr">
        <is>
          <t>SUDEEPPHRM</t>
        </is>
      </c>
    </row>
    <row r="277">
      <c r="A277" s="35" t="inlineStr">
        <is>
          <t>MAHSEAMLES</t>
        </is>
      </c>
      <c r="C277" s="36" t="n">
        <v>664.6</v>
      </c>
      <c r="D277" s="36" t="n">
        <v>582.88</v>
      </c>
      <c r="E277" s="36" t="n">
        <v>591.17</v>
      </c>
      <c r="F277" s="36" t="n">
        <v>762.51</v>
      </c>
      <c r="G277" s="36" t="n">
        <v>669.4</v>
      </c>
      <c r="H277" s="36" t="n">
        <v>506.45</v>
      </c>
      <c r="I277" s="37" t="n">
        <v>205242</v>
      </c>
      <c r="J277" s="37" t="n">
        <v>163616</v>
      </c>
      <c r="K277" s="38" t="n">
        <v>25.75</v>
      </c>
    </row>
    <row r="278">
      <c r="A278" s="35" t="inlineStr">
        <is>
          <t>CAPLIPOINT</t>
        </is>
      </c>
      <c r="C278" s="36" t="n">
        <v>1752.5</v>
      </c>
      <c r="D278" s="36" t="n">
        <v>1699.53</v>
      </c>
      <c r="E278" s="36" t="n">
        <v>1847.8</v>
      </c>
      <c r="F278" s="36" t="n">
        <v>2395</v>
      </c>
      <c r="G278" s="36" t="n">
        <v>1939</v>
      </c>
      <c r="H278" s="36" t="n">
        <v>1504.8</v>
      </c>
      <c r="I278" s="37" t="n">
        <v>75016</v>
      </c>
      <c r="J278" s="37" t="n">
        <v>65274</v>
      </c>
      <c r="K278" s="38" t="n">
        <v>-5.51</v>
      </c>
    </row>
    <row r="279">
      <c r="A279" s="35" t="inlineStr">
        <is>
          <t>GODREJAGRO</t>
        </is>
      </c>
      <c r="C279" s="36" t="n">
        <v>615.7</v>
      </c>
      <c r="D279" s="36" t="n">
        <v>589.49</v>
      </c>
      <c r="E279" s="36" t="n">
        <v>634.24</v>
      </c>
      <c r="F279" s="36" t="n">
        <v>867.15</v>
      </c>
      <c r="G279" s="36" t="n">
        <v>656.7</v>
      </c>
      <c r="H279" s="36" t="n">
        <v>513</v>
      </c>
      <c r="I279" s="37" t="n">
        <v>126599</v>
      </c>
      <c r="J279" s="37" t="n">
        <v>124950</v>
      </c>
      <c r="K279" s="38" t="n">
        <v>12.22</v>
      </c>
    </row>
    <row r="280">
      <c r="A280" s="35" t="inlineStr">
        <is>
          <t>ANTHEM</t>
        </is>
      </c>
    </row>
    <row r="281">
      <c r="A281" s="35" t="inlineStr">
        <is>
          <t>NATIONALUM</t>
        </is>
      </c>
      <c r="C281" s="36" t="n">
        <v>435.95</v>
      </c>
      <c r="D281" s="36" t="n">
        <v>385.53</v>
      </c>
      <c r="E281" s="36" t="n">
        <v>299.04</v>
      </c>
      <c r="F281" s="36" t="n">
        <v>440</v>
      </c>
      <c r="G281" s="36" t="n">
        <v>440</v>
      </c>
      <c r="H281" s="36" t="n">
        <v>338.95</v>
      </c>
      <c r="I281" s="37" t="n">
        <v>12616380</v>
      </c>
      <c r="J281" s="37" t="n">
        <v>12608116</v>
      </c>
      <c r="K281" s="38" t="n">
        <v>18.17</v>
      </c>
    </row>
    <row r="282">
      <c r="A282" s="35" t="inlineStr">
        <is>
          <t>ADANIENT</t>
        </is>
      </c>
      <c r="C282" s="36" t="n">
        <v>2260.8</v>
      </c>
      <c r="D282" s="36" t="n">
        <v>2075.27</v>
      </c>
      <c r="E282" s="36" t="n">
        <v>2230.92</v>
      </c>
      <c r="F282" s="36" t="n">
        <v>2695</v>
      </c>
      <c r="G282" s="36" t="n">
        <v>2288</v>
      </c>
      <c r="H282" s="36" t="n">
        <v>1758.8</v>
      </c>
      <c r="I282" s="37" t="n">
        <v>2370668</v>
      </c>
      <c r="J282" s="37" t="n">
        <v>1566909</v>
      </c>
      <c r="K282" s="38" t="n">
        <v>4.99</v>
      </c>
    </row>
    <row r="283">
      <c r="A283" s="35" t="inlineStr">
        <is>
          <t>TRITURBINE</t>
        </is>
      </c>
      <c r="C283" s="36" t="n">
        <v>570.9</v>
      </c>
      <c r="D283" s="36" t="n">
        <v>486.47</v>
      </c>
      <c r="E283" s="36" t="n">
        <v>511.49</v>
      </c>
      <c r="F283" s="36" t="n">
        <v>669.59</v>
      </c>
      <c r="G283" s="36" t="n">
        <v>605.95</v>
      </c>
      <c r="H283" s="36" t="n">
        <v>435.25</v>
      </c>
      <c r="I283" s="37" t="n">
        <v>711843</v>
      </c>
      <c r="J283" s="37" t="n">
        <v>326617</v>
      </c>
      <c r="K283" s="38" t="n">
        <v>12.77</v>
      </c>
    </row>
    <row r="284">
      <c r="A284" s="35" t="inlineStr">
        <is>
          <t>DMART</t>
        </is>
      </c>
      <c r="C284" s="36" t="n">
        <v>4594.8</v>
      </c>
      <c r="D284" s="36" t="n">
        <v>4124.71</v>
      </c>
      <c r="E284" s="36" t="n">
        <v>4092.21</v>
      </c>
      <c r="F284" s="36" t="n">
        <v>4949.5</v>
      </c>
      <c r="G284" s="36" t="n">
        <v>4644</v>
      </c>
      <c r="H284" s="36" t="n">
        <v>3655.6</v>
      </c>
      <c r="I284" s="37" t="n">
        <v>601591</v>
      </c>
      <c r="J284" s="37" t="n">
        <v>409471</v>
      </c>
      <c r="K284" s="38" t="n">
        <v>19.96</v>
      </c>
    </row>
    <row r="285">
      <c r="A285" s="35" t="inlineStr">
        <is>
          <t>DABUR</t>
        </is>
      </c>
      <c r="C285" s="36" t="n">
        <v>460</v>
      </c>
      <c r="D285" s="36" t="n">
        <v>458.7</v>
      </c>
      <c r="E285" s="36" t="n">
        <v>486.75</v>
      </c>
      <c r="F285" s="36" t="n">
        <v>573.97</v>
      </c>
      <c r="G285" s="36" t="n">
        <v>533</v>
      </c>
      <c r="H285" s="36" t="n">
        <v>410.45</v>
      </c>
      <c r="I285" s="37" t="n">
        <v>2329148</v>
      </c>
      <c r="J285" s="37" t="n">
        <v>1732747</v>
      </c>
      <c r="K285" s="38" t="n">
        <v>-10.46</v>
      </c>
    </row>
    <row r="286">
      <c r="A286" s="35" t="inlineStr">
        <is>
          <t>NTPCGREEN</t>
        </is>
      </c>
      <c r="C286" s="36" t="n">
        <v>113.56</v>
      </c>
      <c r="D286" s="36" t="n">
        <v>97.78</v>
      </c>
      <c r="E286" s="36" t="n">
        <v>97.43000000000001</v>
      </c>
      <c r="F286" s="36" t="n">
        <v>117.64</v>
      </c>
      <c r="G286" s="36" t="n">
        <v>114.65</v>
      </c>
      <c r="H286" s="36" t="n">
        <v>85.18000000000001</v>
      </c>
      <c r="I286" s="37" t="n">
        <v>9760612</v>
      </c>
      <c r="J286" s="37" t="n">
        <v>4634767</v>
      </c>
      <c r="K286" s="38" t="n">
        <v>23.77</v>
      </c>
    </row>
    <row r="287">
      <c r="A287" s="35" t="inlineStr">
        <is>
          <t>SRF</t>
        </is>
      </c>
      <c r="C287" s="36" t="n">
        <v>2492.8</v>
      </c>
      <c r="D287" s="36" t="n">
        <v>2578.09</v>
      </c>
      <c r="E287" s="36" t="n">
        <v>2812.15</v>
      </c>
      <c r="F287" s="36" t="n">
        <v>3314.53</v>
      </c>
      <c r="G287" s="36" t="n">
        <v>3081.7</v>
      </c>
      <c r="H287" s="36" t="n">
        <v>2391.5</v>
      </c>
      <c r="I287" s="37" t="n">
        <v>687490</v>
      </c>
      <c r="J287" s="37" t="n">
        <v>513483</v>
      </c>
      <c r="K287" s="38" t="n">
        <v>-17.63</v>
      </c>
    </row>
    <row r="288">
      <c r="A288" s="35" t="inlineStr">
        <is>
          <t>ASTERDM</t>
        </is>
      </c>
      <c r="C288" s="36" t="n">
        <v>684.3</v>
      </c>
      <c r="D288" s="36" t="n">
        <v>650.04</v>
      </c>
      <c r="E288" s="36" t="n">
        <v>619.49</v>
      </c>
      <c r="F288" s="36" t="n">
        <v>729.01</v>
      </c>
      <c r="G288" s="36" t="n">
        <v>706.51</v>
      </c>
      <c r="H288" s="36" t="n">
        <v>535.6</v>
      </c>
      <c r="I288" s="37" t="n">
        <v>469311</v>
      </c>
      <c r="J288" s="37" t="n">
        <v>632568</v>
      </c>
      <c r="K288" s="38" t="n">
        <v>13.03</v>
      </c>
    </row>
    <row r="289">
      <c r="A289" s="35" t="inlineStr">
        <is>
          <t>NFL</t>
        </is>
      </c>
      <c r="C289" s="36" t="n">
        <v>77.88</v>
      </c>
      <c r="D289" s="36" t="n">
        <v>75.26000000000001</v>
      </c>
      <c r="E289" s="36" t="n">
        <v>83.39</v>
      </c>
      <c r="F289" s="36" t="n">
        <v>110.42</v>
      </c>
      <c r="G289" s="36" t="n">
        <v>86.68000000000001</v>
      </c>
      <c r="H289" s="36" t="n">
        <v>64.52</v>
      </c>
      <c r="I289" s="37" t="n">
        <v>1636188</v>
      </c>
      <c r="J289" s="37" t="n">
        <v>1094740</v>
      </c>
      <c r="K289" s="38" t="n">
        <v>-6.45</v>
      </c>
    </row>
    <row r="290">
      <c r="A290" s="35" t="inlineStr">
        <is>
          <t>INDUSINDBK</t>
        </is>
      </c>
      <c r="C290" s="36" t="n">
        <v>870.1</v>
      </c>
      <c r="D290" s="36" t="n">
        <v>852.01</v>
      </c>
      <c r="E290" s="36" t="n">
        <v>845.16</v>
      </c>
      <c r="F290" s="36" t="n">
        <v>968.85</v>
      </c>
      <c r="G290" s="36" t="n">
        <v>968.85</v>
      </c>
      <c r="H290" s="36" t="n">
        <v>752.45</v>
      </c>
      <c r="I290" s="37" t="n">
        <v>3095936</v>
      </c>
      <c r="J290" s="37" t="n">
        <v>3272348</v>
      </c>
      <c r="K290" s="38" t="n">
        <v>-7.88</v>
      </c>
    </row>
    <row r="291">
      <c r="A291" s="35" t="inlineStr">
        <is>
          <t>CHALET</t>
        </is>
      </c>
      <c r="C291" s="36" t="n">
        <v>809.95</v>
      </c>
      <c r="D291" s="36" t="n">
        <v>784.54</v>
      </c>
      <c r="E291" s="36" t="n">
        <v>848.9299999999999</v>
      </c>
      <c r="F291" s="36" t="n">
        <v>1080.8</v>
      </c>
      <c r="G291" s="36" t="n">
        <v>914</v>
      </c>
      <c r="H291" s="36" t="n">
        <v>702.3</v>
      </c>
      <c r="I291" s="37" t="n">
        <v>92292</v>
      </c>
      <c r="J291" s="37" t="n">
        <v>102713</v>
      </c>
      <c r="K291" s="38" t="n">
        <v>-8.15</v>
      </c>
    </row>
    <row r="292">
      <c r="A292" s="35" t="inlineStr">
        <is>
          <t>SMARTWORKS</t>
        </is>
      </c>
    </row>
    <row r="293">
      <c r="A293" s="35" t="inlineStr">
        <is>
          <t>LTTS</t>
        </is>
      </c>
      <c r="C293" s="36" t="n">
        <v>3550.2</v>
      </c>
      <c r="D293" s="36" t="n">
        <v>3485.16</v>
      </c>
      <c r="E293" s="36" t="n">
        <v>3898.5</v>
      </c>
      <c r="F293" s="36" t="n">
        <v>4726</v>
      </c>
      <c r="G293" s="36" t="n">
        <v>4350.1</v>
      </c>
      <c r="H293" s="36" t="n">
        <v>3075.6</v>
      </c>
      <c r="I293" s="37" t="n">
        <v>140162</v>
      </c>
      <c r="J293" s="37" t="n">
        <v>103678</v>
      </c>
      <c r="K293" s="38" t="n">
        <v>-16.34</v>
      </c>
    </row>
    <row r="294">
      <c r="A294" s="35" t="inlineStr">
        <is>
          <t>MFSL</t>
        </is>
      </c>
      <c r="C294" s="36" t="n">
        <v>1627.4</v>
      </c>
      <c r="D294" s="36" t="n">
        <v>1655.22</v>
      </c>
      <c r="E294" s="36" t="n">
        <v>1613.21</v>
      </c>
      <c r="F294" s="36" t="n">
        <v>1892.5</v>
      </c>
      <c r="G294" s="36" t="n">
        <v>1892.5</v>
      </c>
      <c r="H294" s="36" t="n">
        <v>1464.2</v>
      </c>
      <c r="I294" s="37" t="n">
        <v>1027529</v>
      </c>
      <c r="J294" s="37" t="n">
        <v>800765</v>
      </c>
      <c r="K294" s="38" t="n">
        <v>-1.32</v>
      </c>
    </row>
    <row r="295">
      <c r="A295" s="35" t="inlineStr">
        <is>
          <t>ASAHIINDIA</t>
        </is>
      </c>
      <c r="C295" s="36" t="n">
        <v>861.15</v>
      </c>
      <c r="D295" s="36" t="n">
        <v>871.67</v>
      </c>
      <c r="E295" s="36" t="n">
        <v>885.05</v>
      </c>
      <c r="F295" s="36" t="n">
        <v>1074</v>
      </c>
      <c r="G295" s="36" t="n">
        <v>1023</v>
      </c>
      <c r="H295" s="36" t="n">
        <v>784.4</v>
      </c>
      <c r="I295" s="37" t="n">
        <v>124887</v>
      </c>
      <c r="J295" s="37" t="n">
        <v>77064</v>
      </c>
      <c r="K295" s="38" t="n">
        <v>-9.5</v>
      </c>
    </row>
    <row r="296">
      <c r="A296" s="35" t="inlineStr">
        <is>
          <t>OFSS</t>
        </is>
      </c>
      <c r="C296" s="36" t="n">
        <v>8126.5</v>
      </c>
      <c r="D296" s="36" t="n">
        <v>7212.68</v>
      </c>
      <c r="E296" s="36" t="n">
        <v>7749.97</v>
      </c>
      <c r="F296" s="36" t="n">
        <v>9798.09</v>
      </c>
      <c r="G296" s="36" t="n">
        <v>8175</v>
      </c>
      <c r="H296" s="36" t="n">
        <v>6302</v>
      </c>
      <c r="I296" s="37" t="n">
        <v>168716</v>
      </c>
      <c r="J296" s="37" t="n">
        <v>153224</v>
      </c>
      <c r="K296" s="38" t="n">
        <v>7.91</v>
      </c>
    </row>
    <row r="297">
      <c r="A297" s="35" t="inlineStr">
        <is>
          <t>HEMIPROP</t>
        </is>
      </c>
      <c r="C297" s="36" t="n">
        <v>130.6</v>
      </c>
      <c r="D297" s="36" t="n">
        <v>130.66</v>
      </c>
      <c r="E297" s="36" t="n">
        <v>136.08</v>
      </c>
      <c r="F297" s="36" t="n">
        <v>190.69</v>
      </c>
      <c r="G297" s="36" t="n">
        <v>146.5</v>
      </c>
      <c r="H297" s="36" t="n">
        <v>111.72</v>
      </c>
      <c r="I297" s="37" t="n">
        <v>769499</v>
      </c>
      <c r="J297" s="37" t="n">
        <v>508746</v>
      </c>
      <c r="K297" s="38" t="n">
        <v>-3.91</v>
      </c>
    </row>
    <row r="298">
      <c r="A298" s="35" t="inlineStr">
        <is>
          <t>STYL</t>
        </is>
      </c>
    </row>
    <row r="299">
      <c r="A299" s="35" t="inlineStr">
        <is>
          <t>RCF</t>
        </is>
      </c>
      <c r="C299" s="36" t="n">
        <v>132.78</v>
      </c>
      <c r="D299" s="36" t="n">
        <v>125.39</v>
      </c>
      <c r="E299" s="36" t="n">
        <v>135.3</v>
      </c>
      <c r="F299" s="36" t="n">
        <v>163.75</v>
      </c>
      <c r="G299" s="36" t="n">
        <v>140.08</v>
      </c>
      <c r="H299" s="36" t="n">
        <v>106.67</v>
      </c>
      <c r="I299" s="37" t="n">
        <v>2034657</v>
      </c>
      <c r="J299" s="37" t="n">
        <v>1400056</v>
      </c>
      <c r="K299" s="38" t="n">
        <v>-3.02</v>
      </c>
    </row>
    <row r="300">
      <c r="A300" s="35" t="inlineStr">
        <is>
          <t>VOLTAS</t>
        </is>
      </c>
      <c r="C300" s="36" t="n">
        <v>1481.6</v>
      </c>
      <c r="D300" s="36" t="n">
        <v>1390.34</v>
      </c>
      <c r="E300" s="36" t="n">
        <v>1374.8</v>
      </c>
      <c r="F300" s="36" t="n">
        <v>1582.5</v>
      </c>
      <c r="G300" s="36" t="n">
        <v>1582.5</v>
      </c>
      <c r="H300" s="36" t="n">
        <v>1220.2</v>
      </c>
      <c r="I300" s="37" t="n">
        <v>1350940</v>
      </c>
      <c r="J300" s="37" t="n">
        <v>935468</v>
      </c>
      <c r="K300" s="38" t="n">
        <v>2.9</v>
      </c>
    </row>
    <row r="301">
      <c r="A301" s="35" t="inlineStr">
        <is>
          <t>COROMANDEL</t>
        </is>
      </c>
      <c r="C301" s="36" t="n">
        <v>2034.5</v>
      </c>
      <c r="D301" s="36" t="n">
        <v>2093.3</v>
      </c>
      <c r="E301" s="36" t="n">
        <v>2205.35</v>
      </c>
      <c r="F301" s="36" t="n">
        <v>2708.22</v>
      </c>
      <c r="G301" s="36" t="n">
        <v>2399</v>
      </c>
      <c r="H301" s="36" t="n">
        <v>1846.5</v>
      </c>
      <c r="I301" s="37" t="n">
        <v>393982</v>
      </c>
      <c r="J301" s="37" t="n">
        <v>298266</v>
      </c>
      <c r="K301" s="38" t="n">
        <v>-11.98</v>
      </c>
    </row>
    <row r="302">
      <c r="A302" s="35" t="inlineStr">
        <is>
          <t>DALBHARAT</t>
        </is>
      </c>
      <c r="C302" s="36" t="n">
        <v>1992.8</v>
      </c>
      <c r="D302" s="36" t="n">
        <v>1955.07</v>
      </c>
      <c r="E302" s="36" t="n">
        <v>2051.6</v>
      </c>
      <c r="F302" s="36" t="n">
        <v>2491.62</v>
      </c>
      <c r="G302" s="36" t="n">
        <v>2260</v>
      </c>
      <c r="H302" s="36" t="n">
        <v>1746.1</v>
      </c>
      <c r="I302" s="37" t="n">
        <v>224197</v>
      </c>
      <c r="J302" s="37" t="n">
        <v>214635</v>
      </c>
      <c r="K302" s="38" t="n">
        <v>-8.470000000000001</v>
      </c>
    </row>
    <row r="303">
      <c r="A303" s="35" t="inlineStr">
        <is>
          <t>COLPAL</t>
        </is>
      </c>
      <c r="C303" s="36" t="n">
        <v>2118.3</v>
      </c>
      <c r="D303" s="36" t="n">
        <v>2024.19</v>
      </c>
      <c r="E303" s="36" t="n">
        <v>2179.36</v>
      </c>
      <c r="F303" s="36" t="n">
        <v>2688.8</v>
      </c>
      <c r="G303" s="36" t="n">
        <v>2301.6</v>
      </c>
      <c r="H303" s="36" t="n">
        <v>1788.7</v>
      </c>
      <c r="I303" s="37" t="n">
        <v>419082</v>
      </c>
      <c r="J303" s="37" t="n">
        <v>358075</v>
      </c>
      <c r="K303" s="38" t="n">
        <v>1.24</v>
      </c>
    </row>
    <row r="304">
      <c r="A304" s="35" t="inlineStr">
        <is>
          <t>PRAJIND</t>
        </is>
      </c>
      <c r="C304" s="36" t="n">
        <v>382.8</v>
      </c>
      <c r="D304" s="36" t="n">
        <v>327.94</v>
      </c>
      <c r="E304" s="36" t="n">
        <v>358.33</v>
      </c>
      <c r="F304" s="36" t="n">
        <v>531.12</v>
      </c>
      <c r="G304" s="36" t="n">
        <v>389.8</v>
      </c>
      <c r="H304" s="36" t="n">
        <v>276.15</v>
      </c>
      <c r="I304" s="37" t="n">
        <v>2184579</v>
      </c>
      <c r="J304" s="37" t="n">
        <v>1652633</v>
      </c>
      <c r="K304" s="38" t="n">
        <v>24.14</v>
      </c>
    </row>
    <row r="305">
      <c r="A305" s="35" t="inlineStr">
        <is>
          <t>PRUDENT</t>
        </is>
      </c>
      <c r="C305" s="36" t="n">
        <v>2750.7</v>
      </c>
      <c r="D305" s="36" t="n">
        <v>2440.14</v>
      </c>
      <c r="E305" s="36" t="n">
        <v>2510.39</v>
      </c>
      <c r="F305" s="36" t="n">
        <v>3098</v>
      </c>
      <c r="G305" s="36" t="n">
        <v>2847.7</v>
      </c>
      <c r="H305" s="36" t="n">
        <v>2162.2</v>
      </c>
      <c r="I305" s="37" t="n">
        <v>28301</v>
      </c>
      <c r="J305" s="37" t="n">
        <v>32844</v>
      </c>
      <c r="K305" s="38" t="n">
        <v>14.65</v>
      </c>
    </row>
    <row r="306">
      <c r="A306" s="35" t="inlineStr">
        <is>
          <t>GPIL</t>
        </is>
      </c>
      <c r="C306" s="36" t="n">
        <v>298.75</v>
      </c>
      <c r="D306" s="36" t="n">
        <v>272.97</v>
      </c>
      <c r="E306" s="36" t="n">
        <v>247.94</v>
      </c>
      <c r="F306" s="36" t="n">
        <v>310.5</v>
      </c>
      <c r="G306" s="36" t="n">
        <v>310.5</v>
      </c>
      <c r="H306" s="36" t="n">
        <v>239.05</v>
      </c>
      <c r="I306" s="37" t="n">
        <v>3173728</v>
      </c>
      <c r="J306" s="37" t="n">
        <v>2008854</v>
      </c>
      <c r="K306" s="38" t="n">
        <v>12.67</v>
      </c>
    </row>
    <row r="307">
      <c r="A307" s="35" t="inlineStr">
        <is>
          <t>CDSL</t>
        </is>
      </c>
      <c r="C307" s="36" t="n">
        <v>1321.2</v>
      </c>
      <c r="D307" s="36" t="n">
        <v>1292.38</v>
      </c>
      <c r="E307" s="36" t="n">
        <v>1404.41</v>
      </c>
      <c r="F307" s="36" t="n">
        <v>1814.11</v>
      </c>
      <c r="G307" s="36" t="n">
        <v>1451.7</v>
      </c>
      <c r="H307" s="36" t="n">
        <v>1119.4</v>
      </c>
      <c r="I307" s="37" t="n">
        <v>2430970</v>
      </c>
      <c r="J307" s="37" t="n">
        <v>1976187</v>
      </c>
      <c r="K307" s="38" t="n">
        <v>-6.67</v>
      </c>
    </row>
    <row r="308">
      <c r="A308" s="35" t="inlineStr">
        <is>
          <t>CANBK</t>
        </is>
      </c>
      <c r="C308" s="36" t="n">
        <v>145.23</v>
      </c>
      <c r="D308" s="36" t="n">
        <v>141.08</v>
      </c>
      <c r="E308" s="36" t="n">
        <v>133.75</v>
      </c>
      <c r="F308" s="36" t="n">
        <v>162.89</v>
      </c>
      <c r="G308" s="36" t="n">
        <v>162.89</v>
      </c>
      <c r="H308" s="36" t="n">
        <v>123.45</v>
      </c>
      <c r="I308" s="37" t="n">
        <v>22467854</v>
      </c>
      <c r="J308" s="37" t="n">
        <v>24239721</v>
      </c>
      <c r="K308" s="38" t="n">
        <v>-5.63</v>
      </c>
    </row>
    <row r="309">
      <c r="A309" s="35" t="inlineStr">
        <is>
          <t>BAJFINANCE</t>
        </is>
      </c>
      <c r="C309" s="36" t="n">
        <v>934.75</v>
      </c>
      <c r="D309" s="36" t="n">
        <v>915.59</v>
      </c>
      <c r="E309" s="36" t="n">
        <v>947.59</v>
      </c>
      <c r="F309" s="36" t="n">
        <v>1102.5</v>
      </c>
      <c r="G309" s="36" t="n">
        <v>1046</v>
      </c>
      <c r="H309" s="36" t="n">
        <v>801.55</v>
      </c>
      <c r="I309" s="37" t="n">
        <v>11569047</v>
      </c>
      <c r="J309" s="37" t="n">
        <v>9001207</v>
      </c>
      <c r="K309" s="38" t="n">
        <v>-1.18</v>
      </c>
    </row>
    <row r="310">
      <c r="A310" s="35" t="inlineStr">
        <is>
          <t>3MINDIA</t>
        </is>
      </c>
      <c r="C310" s="36" t="n">
        <v>32550</v>
      </c>
      <c r="D310" s="36" t="n">
        <v>32719.51</v>
      </c>
      <c r="E310" s="36" t="n">
        <v>32554.45</v>
      </c>
      <c r="F310" s="36" t="n">
        <v>38030</v>
      </c>
      <c r="G310" s="36" t="n">
        <v>38030</v>
      </c>
      <c r="H310" s="36" t="n">
        <v>29260</v>
      </c>
      <c r="I310" s="37" t="n">
        <v>3530</v>
      </c>
      <c r="J310" s="37" t="n">
        <v>3579</v>
      </c>
      <c r="K310" s="38" t="n">
        <v>-6.99</v>
      </c>
    </row>
    <row r="311">
      <c r="A311" s="35" t="inlineStr">
        <is>
          <t>APOLLOTYRE</t>
        </is>
      </c>
      <c r="C311" s="36" t="n">
        <v>434</v>
      </c>
      <c r="D311" s="36" t="n">
        <v>444.2</v>
      </c>
      <c r="E311" s="36" t="n">
        <v>467.75</v>
      </c>
      <c r="F311" s="36" t="n">
        <v>536.76</v>
      </c>
      <c r="G311" s="36" t="n">
        <v>528.3200000000001</v>
      </c>
      <c r="H311" s="36" t="n">
        <v>399.5</v>
      </c>
      <c r="I311" s="37" t="n">
        <v>669776</v>
      </c>
      <c r="J311" s="37" t="n">
        <v>912338</v>
      </c>
      <c r="K311" s="38" t="n">
        <v>-17.22</v>
      </c>
    </row>
    <row r="312">
      <c r="A312" s="35" t="inlineStr">
        <is>
          <t>CENTRALBK</t>
        </is>
      </c>
      <c r="C312" s="36" t="n">
        <v>36.93</v>
      </c>
      <c r="D312" s="36" t="n">
        <v>35.83</v>
      </c>
      <c r="E312" s="36" t="n">
        <v>36.69</v>
      </c>
      <c r="F312" s="36" t="n">
        <v>40.92</v>
      </c>
      <c r="G312" s="36" t="n">
        <v>40.92</v>
      </c>
      <c r="H312" s="36" t="n">
        <v>31.43</v>
      </c>
      <c r="I312" s="37" t="n">
        <v>6531958</v>
      </c>
      <c r="J312" s="37" t="n">
        <v>6777671</v>
      </c>
      <c r="K312" s="38" t="n">
        <v>-3.03</v>
      </c>
    </row>
    <row r="313">
      <c r="A313" s="35" t="inlineStr">
        <is>
          <t>KIMS</t>
        </is>
      </c>
      <c r="C313" s="36" t="n">
        <v>681.7</v>
      </c>
      <c r="D313" s="36" t="n">
        <v>662.1900000000001</v>
      </c>
      <c r="E313" s="36" t="n">
        <v>673.08</v>
      </c>
      <c r="F313" s="36" t="n">
        <v>798.4</v>
      </c>
      <c r="G313" s="36" t="n">
        <v>757.5</v>
      </c>
      <c r="H313" s="36" t="n">
        <v>582.1</v>
      </c>
      <c r="I313" s="37" t="n">
        <v>289876</v>
      </c>
      <c r="J313" s="37" t="n">
        <v>298802</v>
      </c>
      <c r="K313" s="38" t="n">
        <v>9.32</v>
      </c>
    </row>
    <row r="314">
      <c r="A314" s="35" t="inlineStr">
        <is>
          <t>EMAMILTD</t>
        </is>
      </c>
      <c r="C314" s="36" t="n">
        <v>473.2</v>
      </c>
      <c r="D314" s="36" t="n">
        <v>444.31</v>
      </c>
      <c r="E314" s="36" t="n">
        <v>504.22</v>
      </c>
      <c r="F314" s="36" t="n">
        <v>636.45</v>
      </c>
      <c r="G314" s="36" t="n">
        <v>521.75</v>
      </c>
      <c r="H314" s="36" t="n">
        <v>393.1</v>
      </c>
      <c r="I314" s="37" t="n">
        <v>529410</v>
      </c>
      <c r="J314" s="37" t="n">
        <v>468817</v>
      </c>
      <c r="K314" s="38" t="n">
        <v>-4.6</v>
      </c>
    </row>
    <row r="315">
      <c r="A315" s="35" t="inlineStr">
        <is>
          <t>TATACHEM</t>
        </is>
      </c>
      <c r="C315" s="36" t="n">
        <v>709.85</v>
      </c>
      <c r="D315" s="36" t="n">
        <v>687.3099999999999</v>
      </c>
      <c r="E315" s="36" t="n">
        <v>774.8099999999999</v>
      </c>
      <c r="F315" s="36" t="n">
        <v>1026.65</v>
      </c>
      <c r="G315" s="36" t="n">
        <v>775</v>
      </c>
      <c r="H315" s="36" t="n">
        <v>583.25</v>
      </c>
      <c r="I315" s="37" t="n">
        <v>776703</v>
      </c>
      <c r="J315" s="37" t="n">
        <v>486232</v>
      </c>
      <c r="K315" s="38" t="n">
        <v>-7.85</v>
      </c>
    </row>
    <row r="316">
      <c r="A316" s="35" t="inlineStr">
        <is>
          <t>GODREJPROP</t>
        </is>
      </c>
      <c r="C316" s="36" t="n">
        <v>1832.2</v>
      </c>
      <c r="D316" s="36" t="n">
        <v>1706.65</v>
      </c>
      <c r="E316" s="36" t="n">
        <v>1911.24</v>
      </c>
      <c r="F316" s="36" t="n">
        <v>2506.5</v>
      </c>
      <c r="G316" s="36" t="n">
        <v>1940.7</v>
      </c>
      <c r="H316" s="36" t="n">
        <v>1471.3</v>
      </c>
      <c r="I316" s="37" t="n">
        <v>986674</v>
      </c>
      <c r="J316" s="37" t="n">
        <v>1332784</v>
      </c>
      <c r="K316" s="38" t="n">
        <v>-2.09</v>
      </c>
    </row>
    <row r="317">
      <c r="A317" s="35" t="inlineStr">
        <is>
          <t>360ONE</t>
        </is>
      </c>
      <c r="C317" s="36" t="n">
        <v>1054.9</v>
      </c>
      <c r="D317" s="36" t="n">
        <v>1055.49</v>
      </c>
      <c r="E317" s="36" t="n">
        <v>1078.99</v>
      </c>
      <c r="F317" s="36" t="n">
        <v>1267.35</v>
      </c>
      <c r="G317" s="36" t="n">
        <v>1236.2</v>
      </c>
      <c r="H317" s="36" t="n">
        <v>929.25</v>
      </c>
      <c r="I317" s="37" t="n">
        <v>871077</v>
      </c>
      <c r="J317" s="37" t="n">
        <v>841203</v>
      </c>
      <c r="K317" s="38" t="n">
        <v>-7.2</v>
      </c>
    </row>
    <row r="318">
      <c r="A318" s="35" t="inlineStr">
        <is>
          <t>HONAUT</t>
        </is>
      </c>
      <c r="C318" s="36" t="n">
        <v>32705</v>
      </c>
      <c r="D318" s="36" t="n">
        <v>30352.06</v>
      </c>
      <c r="E318" s="36" t="n">
        <v>33194.3</v>
      </c>
      <c r="F318" s="36" t="n">
        <v>41450</v>
      </c>
      <c r="G318" s="36" t="n">
        <v>34645</v>
      </c>
      <c r="H318" s="36" t="n">
        <v>26325</v>
      </c>
      <c r="I318" s="37" t="n">
        <v>5996</v>
      </c>
      <c r="J318" s="37" t="n">
        <v>4481</v>
      </c>
      <c r="K318" s="38" t="n">
        <v>-1.7</v>
      </c>
    </row>
    <row r="319">
      <c r="A319" s="35" t="inlineStr">
        <is>
          <t>MCX</t>
        </is>
      </c>
      <c r="C319" s="36" t="n">
        <v>2783.2</v>
      </c>
      <c r="D319" s="36" t="n">
        <v>2540.57</v>
      </c>
      <c r="E319" s="36" t="n">
        <v>2105.83</v>
      </c>
      <c r="F319" s="36" t="n">
        <v>2903</v>
      </c>
      <c r="G319" s="36" t="n">
        <v>2903</v>
      </c>
      <c r="H319" s="36" t="n">
        <v>2282</v>
      </c>
      <c r="I319" s="37" t="n">
        <v>3749070</v>
      </c>
      <c r="J319" s="37" t="n">
        <v>3671027</v>
      </c>
      <c r="K319" s="38" t="n">
        <v>15.15</v>
      </c>
    </row>
    <row r="320">
      <c r="A320" s="35" t="inlineStr">
        <is>
          <t>LTFOODS</t>
        </is>
      </c>
      <c r="C320" s="36" t="n">
        <v>423.5</v>
      </c>
      <c r="D320" s="36" t="n">
        <v>397.51</v>
      </c>
      <c r="E320" s="36" t="n">
        <v>400.38</v>
      </c>
      <c r="F320" s="36" t="n">
        <v>514.98</v>
      </c>
      <c r="G320" s="36" t="n">
        <v>471.95</v>
      </c>
      <c r="H320" s="36" t="n">
        <v>336.35</v>
      </c>
      <c r="I320" s="37" t="n">
        <v>471985</v>
      </c>
      <c r="J320" s="37" t="n">
        <v>515461</v>
      </c>
      <c r="K320" s="38" t="n">
        <v>13.51</v>
      </c>
    </row>
    <row r="321">
      <c r="A321" s="35" t="inlineStr">
        <is>
          <t>WOCKPHARMA</t>
        </is>
      </c>
      <c r="C321" s="36" t="n">
        <v>1450.3</v>
      </c>
      <c r="D321" s="36" t="n">
        <v>1323.71</v>
      </c>
      <c r="E321" s="36" t="n">
        <v>1381.47</v>
      </c>
      <c r="F321" s="36" t="n">
        <v>1868.8</v>
      </c>
      <c r="G321" s="36" t="n">
        <v>1463</v>
      </c>
      <c r="H321" s="36" t="n">
        <v>1100.3</v>
      </c>
      <c r="I321" s="37" t="n">
        <v>704563</v>
      </c>
      <c r="J321" s="37" t="n">
        <v>450381</v>
      </c>
      <c r="K321" s="38" t="n">
        <v>3.96</v>
      </c>
    </row>
    <row r="322">
      <c r="A322" s="35" t="inlineStr">
        <is>
          <t>POLYCAB</t>
        </is>
      </c>
      <c r="C322" s="36" t="n">
        <v>8038</v>
      </c>
      <c r="D322" s="36" t="n">
        <v>7588.48</v>
      </c>
      <c r="E322" s="36" t="n">
        <v>7249.3</v>
      </c>
      <c r="F322" s="36" t="n">
        <v>8722</v>
      </c>
      <c r="G322" s="36" t="n">
        <v>8722</v>
      </c>
      <c r="H322" s="36" t="n">
        <v>6722</v>
      </c>
      <c r="I322" s="37" t="n">
        <v>490409</v>
      </c>
      <c r="J322" s="37" t="n">
        <v>459070</v>
      </c>
      <c r="K322" s="38" t="n">
        <v>9.76</v>
      </c>
    </row>
    <row r="323">
      <c r="A323" s="35" t="inlineStr">
        <is>
          <t>EDELWEISS</t>
        </is>
      </c>
      <c r="C323" s="36" t="n">
        <v>121.98</v>
      </c>
      <c r="D323" s="36" t="n">
        <v>111.98</v>
      </c>
      <c r="E323" s="36" t="n">
        <v>107.56</v>
      </c>
      <c r="F323" s="36" t="n">
        <v>130.7</v>
      </c>
      <c r="G323" s="36" t="n">
        <v>130.7</v>
      </c>
      <c r="H323" s="36" t="n">
        <v>99.67</v>
      </c>
      <c r="I323" s="37" t="n">
        <v>4066416</v>
      </c>
      <c r="J323" s="37" t="n">
        <v>4704479</v>
      </c>
      <c r="K323" s="38" t="n">
        <v>15.36</v>
      </c>
    </row>
    <row r="324">
      <c r="A324" s="35" t="inlineStr">
        <is>
          <t>NETWEB</t>
        </is>
      </c>
      <c r="C324" s="36" t="n">
        <v>4019.6</v>
      </c>
      <c r="D324" s="36" t="n">
        <v>3388.32</v>
      </c>
      <c r="E324" s="36" t="n">
        <v>3021.97</v>
      </c>
      <c r="F324" s="36" t="n">
        <v>4479</v>
      </c>
      <c r="G324" s="36" t="n">
        <v>4117</v>
      </c>
      <c r="H324" s="36" t="n">
        <v>3033.8</v>
      </c>
      <c r="I324" s="37" t="n">
        <v>960357</v>
      </c>
      <c r="J324" s="37" t="n">
        <v>1140539</v>
      </c>
      <c r="K324" s="38" t="n">
        <v>26.1</v>
      </c>
    </row>
    <row r="325">
      <c r="A325" s="35" t="inlineStr">
        <is>
          <t>CREDITACC</t>
        </is>
      </c>
      <c r="C325" s="36" t="n">
        <v>1260.8</v>
      </c>
      <c r="D325" s="36" t="n">
        <v>1232.57</v>
      </c>
      <c r="E325" s="36" t="n">
        <v>1258.46</v>
      </c>
      <c r="F325" s="36" t="n">
        <v>1496.7</v>
      </c>
      <c r="G325" s="36" t="n">
        <v>1496.7</v>
      </c>
      <c r="H325" s="36" t="n">
        <v>1134.9</v>
      </c>
      <c r="I325" s="37" t="n">
        <v>217347</v>
      </c>
      <c r="J325" s="37" t="n">
        <v>244895</v>
      </c>
      <c r="K325" s="38" t="n">
        <v>-1.81</v>
      </c>
    </row>
    <row r="326">
      <c r="A326" s="35" t="inlineStr">
        <is>
          <t>HDFCAMC</t>
        </is>
      </c>
      <c r="C326" s="36" t="n">
        <v>2766.4</v>
      </c>
      <c r="D326" s="36" t="n">
        <v>2563.96</v>
      </c>
      <c r="E326" s="36" t="n">
        <v>2582.25</v>
      </c>
      <c r="F326" s="36" t="n">
        <v>2967.25</v>
      </c>
      <c r="G326" s="36" t="n">
        <v>2901.5</v>
      </c>
      <c r="H326" s="36" t="n">
        <v>2216.4</v>
      </c>
      <c r="I326" s="37" t="n">
        <v>1124725</v>
      </c>
      <c r="J326" s="37" t="n">
        <v>1032735</v>
      </c>
      <c r="K326" s="38" t="n">
        <v>8.31</v>
      </c>
    </row>
    <row r="327">
      <c r="A327" s="35" t="inlineStr">
        <is>
          <t>GMMPFAUDLR</t>
        </is>
      </c>
      <c r="C327" s="36" t="n">
        <v>916.25</v>
      </c>
      <c r="D327" s="36" t="n">
        <v>918.76</v>
      </c>
      <c r="E327" s="36" t="n">
        <v>1034.26</v>
      </c>
      <c r="F327" s="36" t="n">
        <v>1416.84</v>
      </c>
      <c r="G327" s="36" t="n">
        <v>1039</v>
      </c>
      <c r="H327" s="36" t="n">
        <v>793</v>
      </c>
      <c r="I327" s="37" t="n">
        <v>46315</v>
      </c>
      <c r="J327" s="37" t="n">
        <v>64811</v>
      </c>
      <c r="K327" s="38" t="n">
        <v>-10.58</v>
      </c>
    </row>
    <row r="328">
      <c r="A328" s="35" t="inlineStr">
        <is>
          <t>ASTRAL</t>
        </is>
      </c>
      <c r="C328" s="36" t="n">
        <v>1589.6</v>
      </c>
      <c r="D328" s="36" t="n">
        <v>1585.03</v>
      </c>
      <c r="E328" s="36" t="n">
        <v>1502.06</v>
      </c>
      <c r="F328" s="36" t="n">
        <v>1768.7</v>
      </c>
      <c r="G328" s="36" t="n">
        <v>1768.7</v>
      </c>
      <c r="H328" s="36" t="n">
        <v>1347.8</v>
      </c>
      <c r="I328" s="37" t="n">
        <v>742218</v>
      </c>
      <c r="J328" s="37" t="n">
        <v>635658</v>
      </c>
      <c r="K328" s="38" t="n">
        <v>8.68</v>
      </c>
    </row>
    <row r="329">
      <c r="A329" s="35" t="inlineStr">
        <is>
          <t>JBMA</t>
        </is>
      </c>
      <c r="C329" s="36" t="n">
        <v>628.95</v>
      </c>
      <c r="D329" s="36" t="n">
        <v>577.64</v>
      </c>
      <c r="E329" s="36" t="n">
        <v>607.61</v>
      </c>
      <c r="F329" s="36" t="n">
        <v>790</v>
      </c>
      <c r="G329" s="36" t="n">
        <v>644.95</v>
      </c>
      <c r="H329" s="36" t="n">
        <v>486.2</v>
      </c>
      <c r="I329" s="37" t="n">
        <v>1089877</v>
      </c>
      <c r="J329" s="37" t="n">
        <v>418609</v>
      </c>
      <c r="K329" s="38" t="n">
        <v>4.67</v>
      </c>
    </row>
    <row r="330">
      <c r="A330" s="35" t="inlineStr">
        <is>
          <t>QUESS</t>
        </is>
      </c>
      <c r="C330" s="36" t="n">
        <v>197.77</v>
      </c>
      <c r="D330" s="36" t="n">
        <v>191.64</v>
      </c>
      <c r="E330" s="36" t="n">
        <v>224.88</v>
      </c>
      <c r="F330" s="36" t="n">
        <v>362.37</v>
      </c>
      <c r="G330" s="36" t="n">
        <v>220.6</v>
      </c>
      <c r="H330" s="36" t="n">
        <v>169.72</v>
      </c>
      <c r="I330" s="37" t="n">
        <v>216191</v>
      </c>
      <c r="J330" s="37" t="n">
        <v>203515</v>
      </c>
      <c r="K330" s="38" t="n">
        <v>-4.26</v>
      </c>
    </row>
    <row r="331">
      <c r="A331" s="35" t="inlineStr">
        <is>
          <t>MOTHERSON</t>
        </is>
      </c>
      <c r="C331" s="36" t="n">
        <v>131.76</v>
      </c>
      <c r="D331" s="36" t="n">
        <v>118.83</v>
      </c>
      <c r="E331" s="36" t="n">
        <v>111.77</v>
      </c>
      <c r="F331" s="36" t="n">
        <v>135.73</v>
      </c>
      <c r="G331" s="36" t="n">
        <v>135.73</v>
      </c>
      <c r="H331" s="36" t="n">
        <v>105.08</v>
      </c>
      <c r="I331" s="37" t="n">
        <v>25378911</v>
      </c>
      <c r="J331" s="37" t="n">
        <v>18822881</v>
      </c>
      <c r="K331" s="38" t="n">
        <v>16.4</v>
      </c>
    </row>
    <row r="332">
      <c r="A332" s="35" t="inlineStr">
        <is>
          <t>ANANDRATHI</t>
        </is>
      </c>
      <c r="C332" s="36" t="n">
        <v>3614</v>
      </c>
      <c r="D332" s="36" t="n">
        <v>3244.14</v>
      </c>
      <c r="E332" s="36" t="n">
        <v>2885.23</v>
      </c>
      <c r="F332" s="36" t="n">
        <v>3735</v>
      </c>
      <c r="G332" s="36" t="n">
        <v>3735</v>
      </c>
      <c r="H332" s="36" t="n">
        <v>2871.1</v>
      </c>
      <c r="I332" s="37" t="n">
        <v>195670</v>
      </c>
      <c r="J332" s="37" t="n">
        <v>179019</v>
      </c>
      <c r="K332" s="38" t="n">
        <v>14.65</v>
      </c>
    </row>
    <row r="333">
      <c r="A333" s="35" t="inlineStr">
        <is>
          <t>PNBHOUSING</t>
        </is>
      </c>
      <c r="C333" s="36" t="n">
        <v>990.25</v>
      </c>
      <c r="D333" s="36" t="n">
        <v>849.63</v>
      </c>
      <c r="E333" s="36" t="n">
        <v>889.28</v>
      </c>
      <c r="F333" s="36" t="n">
        <v>1136.11</v>
      </c>
      <c r="G333" s="36" t="n">
        <v>1007</v>
      </c>
      <c r="H333" s="36" t="n">
        <v>750.75</v>
      </c>
      <c r="I333" s="37" t="n">
        <v>1237594</v>
      </c>
      <c r="J333" s="37" t="n">
        <v>896653</v>
      </c>
      <c r="K333" s="38" t="n">
        <v>1.56</v>
      </c>
    </row>
    <row r="334">
      <c r="A334" s="35" t="inlineStr">
        <is>
          <t>BANKINDIA</t>
        </is>
      </c>
      <c r="C334" s="36" t="n">
        <v>152.92</v>
      </c>
      <c r="D334" s="36" t="n">
        <v>151.49</v>
      </c>
      <c r="E334" s="36" t="n">
        <v>141.56</v>
      </c>
      <c r="F334" s="36" t="n">
        <v>178.36</v>
      </c>
      <c r="G334" s="36" t="n">
        <v>178.36</v>
      </c>
      <c r="H334" s="36" t="n">
        <v>136.99</v>
      </c>
      <c r="I334" s="37" t="n">
        <v>9728052</v>
      </c>
      <c r="J334" s="37" t="n">
        <v>11169455</v>
      </c>
      <c r="K334" s="38" t="n">
        <v>0.03</v>
      </c>
    </row>
    <row r="335">
      <c r="A335" s="35" t="inlineStr">
        <is>
          <t>BERGEPAINT</t>
        </is>
      </c>
      <c r="C335" s="36" t="n">
        <v>478.25</v>
      </c>
      <c r="D335" s="36" t="n">
        <v>454.65</v>
      </c>
      <c r="E335" s="36" t="n">
        <v>502.28</v>
      </c>
      <c r="F335" s="36" t="n">
        <v>600.97</v>
      </c>
      <c r="G335" s="36" t="n">
        <v>526.25</v>
      </c>
      <c r="H335" s="36" t="n">
        <v>404.5</v>
      </c>
      <c r="I335" s="37" t="n">
        <v>345762</v>
      </c>
      <c r="J335" s="37" t="n">
        <v>327060</v>
      </c>
      <c r="K335" s="38" t="n">
        <v>-8.93</v>
      </c>
    </row>
    <row r="336">
      <c r="A336" s="35" t="inlineStr">
        <is>
          <t>GPPL</t>
        </is>
      </c>
      <c r="C336" s="36" t="n">
        <v>158.08</v>
      </c>
      <c r="D336" s="36" t="n">
        <v>159.57</v>
      </c>
      <c r="E336" s="36" t="n">
        <v>160.86</v>
      </c>
      <c r="F336" s="36" t="n">
        <v>200.09</v>
      </c>
      <c r="G336" s="36" t="n">
        <v>185.95</v>
      </c>
      <c r="H336" s="36" t="n">
        <v>142.39</v>
      </c>
      <c r="I336" s="37" t="n">
        <v>1332863</v>
      </c>
      <c r="J336" s="37" t="n">
        <v>1235200</v>
      </c>
      <c r="K336" s="38" t="n">
        <v>-14.45</v>
      </c>
    </row>
    <row r="337">
      <c r="A337" s="35" t="inlineStr">
        <is>
          <t>MEESHO</t>
        </is>
      </c>
    </row>
    <row r="338">
      <c r="A338" s="35" t="inlineStr">
        <is>
          <t>UJJIVANSFB</t>
        </is>
      </c>
      <c r="C338" s="36" t="n">
        <v>58.49</v>
      </c>
      <c r="D338" s="36" t="n">
        <v>57</v>
      </c>
      <c r="E338" s="36" t="n">
        <v>53.43</v>
      </c>
      <c r="F338" s="36" t="n">
        <v>68</v>
      </c>
      <c r="G338" s="36" t="n">
        <v>68</v>
      </c>
      <c r="H338" s="36" t="n">
        <v>50.44</v>
      </c>
      <c r="I338" s="37" t="n">
        <v>13762035</v>
      </c>
      <c r="J338" s="37" t="n">
        <v>13573877</v>
      </c>
      <c r="K338" s="38" t="n">
        <v>-0.85</v>
      </c>
    </row>
    <row r="339">
      <c r="A339" s="35" t="inlineStr">
        <is>
          <t>HDFCBANK</t>
        </is>
      </c>
      <c r="C339" s="36" t="n">
        <v>799.9</v>
      </c>
      <c r="D339" s="36" t="n">
        <v>836.6799999999999</v>
      </c>
      <c r="E339" s="36" t="n">
        <v>917.63</v>
      </c>
      <c r="F339" s="36" t="n">
        <v>1020.5</v>
      </c>
      <c r="G339" s="36" t="n">
        <v>994</v>
      </c>
      <c r="H339" s="36" t="n">
        <v>731.55</v>
      </c>
      <c r="I339" s="37" t="n">
        <v>52148044</v>
      </c>
      <c r="J339" s="37" t="n">
        <v>38191942</v>
      </c>
      <c r="K339" s="38" t="n">
        <v>-13.57</v>
      </c>
    </row>
    <row r="340">
      <c r="A340" s="35" t="inlineStr">
        <is>
          <t>CAMPUS</t>
        </is>
      </c>
      <c r="C340" s="36" t="n">
        <v>250.71</v>
      </c>
      <c r="D340" s="36" t="n">
        <v>245.24</v>
      </c>
      <c r="E340" s="36" t="n">
        <v>257.23</v>
      </c>
      <c r="F340" s="36" t="n">
        <v>304.06</v>
      </c>
      <c r="G340" s="36" t="n">
        <v>284.75</v>
      </c>
      <c r="H340" s="36" t="n">
        <v>218.85</v>
      </c>
      <c r="I340" s="37" t="n">
        <v>221209</v>
      </c>
      <c r="J340" s="37" t="n">
        <v>212192</v>
      </c>
      <c r="K340" s="38" t="n">
        <v>0.3</v>
      </c>
    </row>
    <row r="341">
      <c r="A341" s="35" t="inlineStr">
        <is>
          <t>J&amp;KBANK</t>
        </is>
      </c>
      <c r="C341" s="36" t="n">
        <v>132.82</v>
      </c>
      <c r="D341" s="36" t="n">
        <v>117.8</v>
      </c>
      <c r="E341" s="36" t="n">
        <v>108.09</v>
      </c>
      <c r="F341" s="36" t="n">
        <v>135</v>
      </c>
      <c r="G341" s="36" t="n">
        <v>135</v>
      </c>
      <c r="H341" s="36" t="n">
        <v>98.92</v>
      </c>
      <c r="I341" s="37" t="n">
        <v>5012379</v>
      </c>
      <c r="J341" s="37" t="n">
        <v>4660577</v>
      </c>
      <c r="K341" s="38" t="n">
        <v>29.38</v>
      </c>
    </row>
    <row r="342">
      <c r="A342" s="35" t="inlineStr">
        <is>
          <t>BAJAJELEC</t>
        </is>
      </c>
      <c r="C342" s="36" t="n">
        <v>398.2</v>
      </c>
      <c r="D342" s="36" t="n">
        <v>381.62</v>
      </c>
      <c r="E342" s="36" t="n">
        <v>464.46</v>
      </c>
      <c r="F342" s="36" t="n">
        <v>707.87</v>
      </c>
      <c r="G342" s="36" t="n">
        <v>468</v>
      </c>
      <c r="H342" s="36" t="n">
        <v>337.55</v>
      </c>
      <c r="I342" s="37" t="n">
        <v>165108</v>
      </c>
      <c r="J342" s="37" t="n">
        <v>150178</v>
      </c>
      <c r="K342" s="38" t="n">
        <v>-8.58</v>
      </c>
    </row>
    <row r="343">
      <c r="A343" s="35" t="inlineStr">
        <is>
          <t>LENSKART</t>
        </is>
      </c>
    </row>
    <row r="344">
      <c r="A344" s="35" t="inlineStr">
        <is>
          <t>VMM</t>
        </is>
      </c>
      <c r="C344" s="36" t="n">
        <v>124.56</v>
      </c>
      <c r="D344" s="36" t="n">
        <v>116.04</v>
      </c>
      <c r="E344" s="36" t="n">
        <v>124.96</v>
      </c>
      <c r="F344" s="36" t="n">
        <v>157.6</v>
      </c>
      <c r="G344" s="36" t="n">
        <v>130.5</v>
      </c>
      <c r="H344" s="36" t="n">
        <v>99.68000000000001</v>
      </c>
      <c r="I344" s="37" t="n">
        <v>13147010</v>
      </c>
      <c r="J344" s="37" t="n">
        <v>11273297</v>
      </c>
      <c r="K344" s="38" t="n">
        <v>-4.27</v>
      </c>
    </row>
    <row r="345">
      <c r="A345" s="35" t="inlineStr">
        <is>
          <t>RITES</t>
        </is>
      </c>
      <c r="C345" s="36" t="n">
        <v>223.6</v>
      </c>
      <c r="D345" s="36" t="n">
        <v>208.32</v>
      </c>
      <c r="E345" s="36" t="n">
        <v>226.51</v>
      </c>
      <c r="F345" s="36" t="n">
        <v>306.23</v>
      </c>
      <c r="G345" s="36" t="n">
        <v>233.07</v>
      </c>
      <c r="H345" s="36" t="n">
        <v>175.63</v>
      </c>
      <c r="I345" s="37" t="n">
        <v>727828</v>
      </c>
      <c r="J345" s="37" t="n">
        <v>592560</v>
      </c>
      <c r="K345" s="38" t="n">
        <v>-2.72</v>
      </c>
    </row>
    <row r="346">
      <c r="A346" s="35" t="inlineStr">
        <is>
          <t>TIINDIA</t>
        </is>
      </c>
      <c r="C346" s="36" t="n">
        <v>3024.4</v>
      </c>
      <c r="D346" s="36" t="n">
        <v>2644.23</v>
      </c>
      <c r="E346" s="36" t="n">
        <v>2718.8</v>
      </c>
      <c r="F346" s="36" t="n">
        <v>3417.01</v>
      </c>
      <c r="G346" s="36" t="n">
        <v>3054</v>
      </c>
      <c r="H346" s="36" t="n">
        <v>2187.45</v>
      </c>
      <c r="I346" s="37" t="n">
        <v>303488</v>
      </c>
      <c r="J346" s="37" t="n">
        <v>460966</v>
      </c>
      <c r="K346" s="38" t="n">
        <v>28.54</v>
      </c>
    </row>
    <row r="347">
      <c r="A347" s="35" t="inlineStr">
        <is>
          <t>CRISIL</t>
        </is>
      </c>
      <c r="C347" s="36" t="n">
        <v>4345.8</v>
      </c>
      <c r="D347" s="36" t="n">
        <v>4194.05</v>
      </c>
      <c r="E347" s="36" t="n">
        <v>4520.94</v>
      </c>
      <c r="F347" s="36" t="n">
        <v>6064.44</v>
      </c>
      <c r="G347" s="36" t="n">
        <v>4836.94</v>
      </c>
      <c r="H347" s="36" t="n">
        <v>3705.9</v>
      </c>
      <c r="I347" s="37" t="n">
        <v>93777</v>
      </c>
      <c r="J347" s="37" t="n">
        <v>45291</v>
      </c>
      <c r="K347" s="38" t="n">
        <v>-8.17</v>
      </c>
    </row>
    <row r="348">
      <c r="A348" s="35" t="inlineStr">
        <is>
          <t>TATATECH</t>
        </is>
      </c>
      <c r="C348" s="36" t="n">
        <v>575.3</v>
      </c>
      <c r="D348" s="36" t="n">
        <v>576.6900000000001</v>
      </c>
      <c r="E348" s="36" t="n">
        <v>636.7</v>
      </c>
      <c r="F348" s="36" t="n">
        <v>784.62</v>
      </c>
      <c r="G348" s="36" t="n">
        <v>679</v>
      </c>
      <c r="H348" s="36" t="n">
        <v>509.2</v>
      </c>
      <c r="I348" s="37" t="n">
        <v>747616</v>
      </c>
      <c r="J348" s="37" t="n">
        <v>847444</v>
      </c>
      <c r="K348" s="38" t="n">
        <v>-12.87</v>
      </c>
    </row>
    <row r="349">
      <c r="A349" s="35" t="inlineStr">
        <is>
          <t>GRAPHITE</t>
        </is>
      </c>
      <c r="C349" s="36" t="n">
        <v>741.05</v>
      </c>
      <c r="D349" s="36" t="n">
        <v>649.45</v>
      </c>
      <c r="E349" s="36" t="n">
        <v>595.8</v>
      </c>
      <c r="F349" s="36" t="n">
        <v>760</v>
      </c>
      <c r="G349" s="36" t="n">
        <v>760</v>
      </c>
      <c r="H349" s="36" t="n">
        <v>563.7</v>
      </c>
      <c r="I349" s="37" t="n">
        <v>1178582</v>
      </c>
      <c r="J349" s="37" t="n">
        <v>1130735</v>
      </c>
      <c r="K349" s="38" t="n">
        <v>17.09</v>
      </c>
    </row>
    <row r="350">
      <c r="A350" s="35" t="inlineStr">
        <is>
          <t>HBLENGINE</t>
        </is>
      </c>
      <c r="C350" s="36" t="n">
        <v>816.4</v>
      </c>
      <c r="D350" s="36" t="n">
        <v>729.01</v>
      </c>
      <c r="E350" s="36" t="n">
        <v>741.92</v>
      </c>
      <c r="F350" s="36" t="n">
        <v>1119.11</v>
      </c>
      <c r="G350" s="36" t="n">
        <v>882.72</v>
      </c>
      <c r="H350" s="36" t="n">
        <v>614.8</v>
      </c>
      <c r="I350" s="37" t="n">
        <v>1619703</v>
      </c>
      <c r="J350" s="37" t="n">
        <v>1338504</v>
      </c>
      <c r="K350" s="38" t="n">
        <v>-3.26</v>
      </c>
    </row>
    <row r="351">
      <c r="A351" s="35" t="inlineStr">
        <is>
          <t>CENTURYPLY</t>
        </is>
      </c>
      <c r="C351" s="36" t="n">
        <v>777.9</v>
      </c>
      <c r="D351" s="36" t="n">
        <v>732.86</v>
      </c>
      <c r="E351" s="36" t="n">
        <v>752.87</v>
      </c>
      <c r="F351" s="36" t="n">
        <v>859</v>
      </c>
      <c r="G351" s="36" t="n">
        <v>859</v>
      </c>
      <c r="H351" s="36" t="n">
        <v>645.75</v>
      </c>
      <c r="I351" s="37" t="n">
        <v>50720</v>
      </c>
      <c r="J351" s="37" t="n">
        <v>40637</v>
      </c>
      <c r="K351" s="38" t="n">
        <v>1.63</v>
      </c>
    </row>
    <row r="352">
      <c r="A352" s="35" t="inlineStr">
        <is>
          <t>TRENT</t>
        </is>
      </c>
      <c r="C352" s="36" t="n">
        <v>4434.5</v>
      </c>
      <c r="D352" s="36" t="n">
        <v>3887.68</v>
      </c>
      <c r="E352" s="36" t="n">
        <v>4358.59</v>
      </c>
      <c r="F352" s="36" t="n">
        <v>6261</v>
      </c>
      <c r="G352" s="36" t="n">
        <v>4498</v>
      </c>
      <c r="H352" s="36" t="n">
        <v>3295.8</v>
      </c>
      <c r="I352" s="37" t="n">
        <v>1248606</v>
      </c>
      <c r="J352" s="37" t="n">
        <v>912749</v>
      </c>
      <c r="K352" s="38" t="n">
        <v>12.77</v>
      </c>
    </row>
    <row r="353">
      <c r="A353" s="35" t="inlineStr">
        <is>
          <t>CHOLAFIN</t>
        </is>
      </c>
      <c r="C353" s="36" t="n">
        <v>1565.6</v>
      </c>
      <c r="D353" s="36" t="n">
        <v>1564.47</v>
      </c>
      <c r="E353" s="36" t="n">
        <v>1605.34</v>
      </c>
      <c r="F353" s="36" t="n">
        <v>1830.13</v>
      </c>
      <c r="G353" s="36" t="n">
        <v>1776.7</v>
      </c>
      <c r="H353" s="36" t="n">
        <v>1354.7</v>
      </c>
      <c r="I353" s="37" t="n">
        <v>2340856</v>
      </c>
      <c r="J353" s="37" t="n">
        <v>1673143</v>
      </c>
      <c r="K353" s="38" t="n">
        <v>-7.26</v>
      </c>
    </row>
    <row r="354">
      <c r="A354" s="35" t="inlineStr">
        <is>
          <t>PARAS</t>
        </is>
      </c>
      <c r="C354" s="36" t="n">
        <v>817</v>
      </c>
      <c r="D354" s="36" t="n">
        <v>685.08</v>
      </c>
      <c r="E354" s="36" t="n">
        <v>679.1900000000001</v>
      </c>
      <c r="F354" s="36" t="n">
        <v>971.75</v>
      </c>
      <c r="G354" s="36" t="n">
        <v>830</v>
      </c>
      <c r="H354" s="36" t="n">
        <v>584.6</v>
      </c>
      <c r="I354" s="37" t="n">
        <v>954122</v>
      </c>
      <c r="J354" s="37" t="n">
        <v>704546</v>
      </c>
      <c r="K354" s="38" t="n">
        <v>21.67</v>
      </c>
    </row>
    <row r="355">
      <c r="A355" s="35" t="inlineStr">
        <is>
          <t>TMCV</t>
        </is>
      </c>
    </row>
    <row r="356">
      <c r="A356" s="35" t="inlineStr">
        <is>
          <t>GHCL</t>
        </is>
      </c>
      <c r="C356" s="36" t="n">
        <v>506.9</v>
      </c>
      <c r="D356" s="36" t="n">
        <v>485.53</v>
      </c>
      <c r="E356" s="36" t="n">
        <v>540.48</v>
      </c>
      <c r="F356" s="36" t="n">
        <v>667.2</v>
      </c>
      <c r="G356" s="36" t="n">
        <v>568</v>
      </c>
      <c r="H356" s="36" t="n">
        <v>422</v>
      </c>
      <c r="I356" s="37" t="n">
        <v>124372</v>
      </c>
      <c r="J356" s="37" t="n">
        <v>103876</v>
      </c>
      <c r="K356" s="38" t="n">
        <v>-8.08</v>
      </c>
    </row>
    <row r="357">
      <c r="A357" s="35" t="inlineStr">
        <is>
          <t>HDFCLIFE</t>
        </is>
      </c>
      <c r="C357" s="36" t="n">
        <v>604.05</v>
      </c>
      <c r="D357" s="36" t="n">
        <v>647.45</v>
      </c>
      <c r="E357" s="36" t="n">
        <v>709.97</v>
      </c>
      <c r="F357" s="36" t="n">
        <v>820.75</v>
      </c>
      <c r="G357" s="36" t="n">
        <v>753.75</v>
      </c>
      <c r="H357" s="36" t="n">
        <v>566.1</v>
      </c>
      <c r="I357" s="37" t="n">
        <v>4385843</v>
      </c>
      <c r="J357" s="37" t="n">
        <v>3416009</v>
      </c>
      <c r="K357" s="38" t="n">
        <v>-18.72</v>
      </c>
    </row>
    <row r="358">
      <c r="A358" s="35" t="inlineStr">
        <is>
          <t>IRCTC</t>
        </is>
      </c>
      <c r="C358" s="36" t="n">
        <v>558.55</v>
      </c>
      <c r="D358" s="36" t="n">
        <v>562.65</v>
      </c>
      <c r="E358" s="36" t="n">
        <v>643.35</v>
      </c>
      <c r="F358" s="36" t="n">
        <v>808.77</v>
      </c>
      <c r="G358" s="36" t="n">
        <v>651.25</v>
      </c>
      <c r="H358" s="36" t="n">
        <v>494.5</v>
      </c>
      <c r="I358" s="37" t="n">
        <v>1506234</v>
      </c>
      <c r="J358" s="37" t="n">
        <v>1674580</v>
      </c>
      <c r="K358" s="38" t="n">
        <v>-10.48</v>
      </c>
    </row>
    <row r="359">
      <c r="A359" s="35" t="inlineStr">
        <is>
          <t>NEULANDLAB</t>
        </is>
      </c>
      <c r="C359" s="36" t="n">
        <v>15067</v>
      </c>
      <c r="D359" s="36" t="n">
        <v>13655.61</v>
      </c>
      <c r="E359" s="36" t="n">
        <v>13989.6</v>
      </c>
      <c r="F359" s="36" t="n">
        <v>19747</v>
      </c>
      <c r="G359" s="36" t="n">
        <v>15491</v>
      </c>
      <c r="H359" s="36" t="n">
        <v>11555</v>
      </c>
      <c r="I359" s="37" t="n">
        <v>32119</v>
      </c>
      <c r="J359" s="37" t="n">
        <v>34009</v>
      </c>
      <c r="K359" s="38" t="n">
        <v>5.64</v>
      </c>
    </row>
    <row r="360">
      <c r="A360" s="35" t="inlineStr">
        <is>
          <t>CUB</t>
        </is>
      </c>
      <c r="C360" s="36" t="n">
        <v>270.15</v>
      </c>
      <c r="D360" s="36" t="n">
        <v>259.74</v>
      </c>
      <c r="E360" s="36" t="n">
        <v>246.67</v>
      </c>
      <c r="F360" s="36" t="n">
        <v>324.1</v>
      </c>
      <c r="G360" s="36" t="n">
        <v>324.1</v>
      </c>
      <c r="H360" s="36" t="n">
        <v>231.5</v>
      </c>
      <c r="I360" s="37" t="n">
        <v>2927424</v>
      </c>
      <c r="J360" s="37" t="n">
        <v>2233847</v>
      </c>
      <c r="K360" s="38" t="n">
        <v>-2.3</v>
      </c>
    </row>
    <row r="361">
      <c r="A361" s="35" t="inlineStr">
        <is>
          <t>JUBLINGREA</t>
        </is>
      </c>
      <c r="C361" s="36" t="n">
        <v>698.95</v>
      </c>
      <c r="D361" s="36" t="n">
        <v>621.33</v>
      </c>
      <c r="E361" s="36" t="n">
        <v>658.5599999999999</v>
      </c>
      <c r="F361" s="36" t="n">
        <v>846</v>
      </c>
      <c r="G361" s="36" t="n">
        <v>739.9</v>
      </c>
      <c r="H361" s="36" t="n">
        <v>541.3</v>
      </c>
      <c r="I361" s="37" t="n">
        <v>184766</v>
      </c>
      <c r="J361" s="37" t="n">
        <v>179382</v>
      </c>
      <c r="K361" s="38" t="n">
        <v>2.21</v>
      </c>
    </row>
    <row r="362">
      <c r="A362" s="35" t="inlineStr">
        <is>
          <t>BALRAMCHIN</t>
        </is>
      </c>
      <c r="C362" s="36" t="n">
        <v>541.55</v>
      </c>
      <c r="D362" s="36" t="n">
        <v>479.74</v>
      </c>
      <c r="E362" s="36" t="n">
        <v>487.81</v>
      </c>
      <c r="F362" s="36" t="n">
        <v>623.08</v>
      </c>
      <c r="G362" s="36" t="n">
        <v>544.45</v>
      </c>
      <c r="H362" s="36" t="n">
        <v>397.8</v>
      </c>
      <c r="I362" s="37" t="n">
        <v>809032</v>
      </c>
      <c r="J362" s="37" t="n">
        <v>451982</v>
      </c>
      <c r="K362" s="38" t="n">
        <v>27.35</v>
      </c>
    </row>
    <row r="363">
      <c r="A363" s="35" t="inlineStr">
        <is>
          <t>BOSCHLTD</t>
        </is>
      </c>
      <c r="C363" s="36" t="n">
        <v>37885</v>
      </c>
      <c r="D363" s="36" t="n">
        <v>34622.6</v>
      </c>
      <c r="E363" s="36" t="n">
        <v>35011.48</v>
      </c>
      <c r="F363" s="36" t="n">
        <v>41945</v>
      </c>
      <c r="G363" s="36" t="n">
        <v>38620</v>
      </c>
      <c r="H363" s="36" t="n">
        <v>28745</v>
      </c>
      <c r="I363" s="37" t="n">
        <v>36644</v>
      </c>
      <c r="J363" s="37" t="n">
        <v>24729</v>
      </c>
      <c r="K363" s="38" t="n">
        <v>1.15</v>
      </c>
    </row>
    <row r="364">
      <c r="A364" s="35" t="inlineStr">
        <is>
          <t>TMB</t>
        </is>
      </c>
      <c r="C364" s="36" t="n">
        <v>667.4</v>
      </c>
      <c r="D364" s="36" t="n">
        <v>628.26</v>
      </c>
      <c r="E364" s="36" t="n">
        <v>546.1</v>
      </c>
      <c r="F364" s="36" t="n">
        <v>721</v>
      </c>
      <c r="G364" s="36" t="n">
        <v>721</v>
      </c>
      <c r="H364" s="36" t="n">
        <v>540.75</v>
      </c>
      <c r="I364" s="37" t="n">
        <v>240366</v>
      </c>
      <c r="J364" s="37" t="n">
        <v>258461</v>
      </c>
      <c r="K364" s="38" t="n">
        <v>17.78</v>
      </c>
    </row>
    <row r="365">
      <c r="A365" s="35" t="inlineStr">
        <is>
          <t>PNGJL</t>
        </is>
      </c>
      <c r="C365" s="36" t="n">
        <v>673.65</v>
      </c>
      <c r="D365" s="36" t="n">
        <v>594.33</v>
      </c>
      <c r="E365" s="36" t="n">
        <v>586.35</v>
      </c>
      <c r="F365" s="36" t="n">
        <v>701.4</v>
      </c>
      <c r="G365" s="36" t="n">
        <v>688.9</v>
      </c>
      <c r="H365" s="36" t="n">
        <v>509.95</v>
      </c>
      <c r="I365" s="37" t="n">
        <v>245296</v>
      </c>
      <c r="J365" s="37" t="n">
        <v>198401</v>
      </c>
      <c r="K365" s="38" t="n">
        <v>12.38</v>
      </c>
    </row>
    <row r="366">
      <c r="A366" s="35" t="inlineStr">
        <is>
          <t>NSLNISP</t>
        </is>
      </c>
      <c r="C366" s="36" t="n">
        <v>42.37</v>
      </c>
      <c r="D366" s="36" t="n">
        <v>39.48</v>
      </c>
      <c r="E366" s="36" t="n">
        <v>40.14</v>
      </c>
      <c r="F366" s="36" t="n">
        <v>49.65</v>
      </c>
      <c r="G366" s="36" t="n">
        <v>44.14</v>
      </c>
      <c r="H366" s="36" t="n">
        <v>33.2</v>
      </c>
      <c r="I366" s="37" t="n">
        <v>5634492</v>
      </c>
      <c r="J366" s="37" t="n">
        <v>4001658</v>
      </c>
      <c r="K366" s="38" t="n">
        <v>-1.47</v>
      </c>
    </row>
    <row r="367">
      <c r="A367" s="35" t="inlineStr">
        <is>
          <t>ATGL</t>
        </is>
      </c>
      <c r="C367" s="36" t="n">
        <v>629.1</v>
      </c>
      <c r="D367" s="36" t="n">
        <v>553.2</v>
      </c>
      <c r="E367" s="36" t="n">
        <v>578.35</v>
      </c>
      <c r="F367" s="36" t="n">
        <v>798</v>
      </c>
      <c r="G367" s="36" t="n">
        <v>651</v>
      </c>
      <c r="H367" s="36" t="n">
        <v>467.9</v>
      </c>
      <c r="I367" s="37" t="n">
        <v>3665140</v>
      </c>
      <c r="J367" s="37" t="n">
        <v>793303</v>
      </c>
      <c r="K367" s="38" t="n">
        <v>13.47</v>
      </c>
    </row>
    <row r="368">
      <c r="A368" s="35" t="inlineStr">
        <is>
          <t>KALYANKJIL</t>
        </is>
      </c>
      <c r="C368" s="36" t="n">
        <v>414.25</v>
      </c>
      <c r="D368" s="36" t="n">
        <v>415</v>
      </c>
      <c r="E368" s="36" t="n">
        <v>460.54</v>
      </c>
      <c r="F368" s="36" t="n">
        <v>615.9</v>
      </c>
      <c r="G368" s="36" t="n">
        <v>493.35</v>
      </c>
      <c r="H368" s="36" t="n">
        <v>361.65</v>
      </c>
      <c r="I368" s="37" t="n">
        <v>4195837</v>
      </c>
      <c r="J368" s="37" t="n">
        <v>4337971</v>
      </c>
      <c r="K368" s="38" t="n">
        <v>-13.77</v>
      </c>
    </row>
    <row r="369">
      <c r="A369" s="35" t="inlineStr">
        <is>
          <t>CHOLAHLDNG</t>
        </is>
      </c>
      <c r="C369" s="36" t="n">
        <v>1583.1</v>
      </c>
      <c r="D369" s="36" t="n">
        <v>1580.68</v>
      </c>
      <c r="E369" s="36" t="n">
        <v>1749.77</v>
      </c>
      <c r="F369" s="36" t="n">
        <v>2230.06</v>
      </c>
      <c r="G369" s="36" t="n">
        <v>1825</v>
      </c>
      <c r="H369" s="36" t="n">
        <v>1350.9</v>
      </c>
      <c r="I369" s="37" t="n">
        <v>258175</v>
      </c>
      <c r="J369" s="37" t="n">
        <v>215963</v>
      </c>
      <c r="K369" s="38" t="n">
        <v>-12.67</v>
      </c>
    </row>
    <row r="370">
      <c r="A370" s="35" t="inlineStr">
        <is>
          <t>BBOX</t>
        </is>
      </c>
      <c r="C370" s="36" t="n">
        <v>531.95</v>
      </c>
      <c r="D370" s="36" t="n">
        <v>511.2</v>
      </c>
      <c r="E370" s="36" t="n">
        <v>504.8</v>
      </c>
      <c r="F370" s="36" t="n">
        <v>613.8</v>
      </c>
      <c r="G370" s="36" t="n">
        <v>588.95</v>
      </c>
      <c r="H370" s="36" t="n">
        <v>447.15</v>
      </c>
      <c r="I370" s="37" t="n">
        <v>330977</v>
      </c>
      <c r="J370" s="37" t="n">
        <v>351582</v>
      </c>
      <c r="K370" s="38" t="n">
        <v>3.44</v>
      </c>
    </row>
    <row r="371">
      <c r="A371" s="35" t="inlineStr">
        <is>
          <t>GRAVITA</t>
        </is>
      </c>
      <c r="C371" s="36" t="n">
        <v>1626.6</v>
      </c>
      <c r="D371" s="36" t="n">
        <v>1541.8</v>
      </c>
      <c r="E371" s="36" t="n">
        <v>1657.91</v>
      </c>
      <c r="F371" s="36" t="n">
        <v>2170</v>
      </c>
      <c r="G371" s="36" t="n">
        <v>1763.8</v>
      </c>
      <c r="H371" s="36" t="n">
        <v>1295.1</v>
      </c>
      <c r="I371" s="37" t="n">
        <v>327860</v>
      </c>
      <c r="J371" s="37" t="n">
        <v>220872</v>
      </c>
      <c r="K371" s="38" t="n">
        <v>0.82</v>
      </c>
    </row>
    <row r="372">
      <c r="A372" s="35" t="inlineStr">
        <is>
          <t>WESTLIFE</t>
        </is>
      </c>
      <c r="C372" s="36" t="n">
        <v>484.5</v>
      </c>
      <c r="D372" s="36" t="n">
        <v>476.05</v>
      </c>
      <c r="E372" s="36" t="n">
        <v>564.83</v>
      </c>
      <c r="F372" s="36" t="n">
        <v>818.35</v>
      </c>
      <c r="G372" s="36" t="n">
        <v>559.2</v>
      </c>
      <c r="H372" s="36" t="n">
        <v>416.85</v>
      </c>
      <c r="I372" s="37" t="n">
        <v>79705</v>
      </c>
      <c r="J372" s="37" t="n">
        <v>91517</v>
      </c>
      <c r="K372" s="38" t="n">
        <v>-5.14</v>
      </c>
    </row>
    <row r="373">
      <c r="A373" s="35" t="inlineStr">
        <is>
          <t>KPIGREEN</t>
        </is>
      </c>
      <c r="C373" s="36" t="n">
        <v>454.1</v>
      </c>
      <c r="D373" s="36" t="n">
        <v>405.07</v>
      </c>
      <c r="E373" s="36" t="n">
        <v>429.74</v>
      </c>
      <c r="F373" s="36" t="n">
        <v>561.97</v>
      </c>
      <c r="G373" s="36" t="n">
        <v>465</v>
      </c>
      <c r="H373" s="36" t="n">
        <v>339.2</v>
      </c>
      <c r="I373" s="37" t="n">
        <v>1097454</v>
      </c>
      <c r="J373" s="37" t="n">
        <v>1029697</v>
      </c>
      <c r="K373" s="38" t="n">
        <v>4.94</v>
      </c>
    </row>
    <row r="374">
      <c r="A374" s="35" t="inlineStr">
        <is>
          <t>SKFINDUS</t>
        </is>
      </c>
    </row>
    <row r="375">
      <c r="A375" s="35" t="inlineStr">
        <is>
          <t>SUDARSCHEM</t>
        </is>
      </c>
      <c r="C375" s="36" t="n">
        <v>910.85</v>
      </c>
      <c r="D375" s="36" t="n">
        <v>848.9</v>
      </c>
      <c r="E375" s="36" t="n">
        <v>1003.38</v>
      </c>
      <c r="F375" s="36" t="n">
        <v>1603</v>
      </c>
      <c r="G375" s="36" t="n">
        <v>998</v>
      </c>
      <c r="H375" s="36" t="n">
        <v>747.6</v>
      </c>
      <c r="I375" s="37" t="n">
        <v>117943</v>
      </c>
      <c r="J375" s="37" t="n">
        <v>68311</v>
      </c>
      <c r="K375" s="38" t="n">
        <v>-0.11</v>
      </c>
    </row>
    <row r="376">
      <c r="A376" s="35" t="inlineStr">
        <is>
          <t>WABAG</t>
        </is>
      </c>
      <c r="C376" s="36" t="n">
        <v>1488.4</v>
      </c>
      <c r="D376" s="36" t="n">
        <v>1290.25</v>
      </c>
      <c r="E376" s="36" t="n">
        <v>1328.05</v>
      </c>
      <c r="F376" s="36" t="n">
        <v>1675.69</v>
      </c>
      <c r="G376" s="36" t="n">
        <v>1514</v>
      </c>
      <c r="H376" s="36" t="n">
        <v>1049.1</v>
      </c>
      <c r="I376" s="37" t="n">
        <v>351517</v>
      </c>
      <c r="J376" s="37" t="n">
        <v>311538</v>
      </c>
      <c r="K376" s="38" t="n">
        <v>24.32</v>
      </c>
    </row>
    <row r="377">
      <c r="A377" s="35" t="inlineStr">
        <is>
          <t>JYOTHYLAB</t>
        </is>
      </c>
      <c r="C377" s="36" t="n">
        <v>257.83</v>
      </c>
      <c r="D377" s="36" t="n">
        <v>234.2</v>
      </c>
      <c r="E377" s="36" t="n">
        <v>279.93</v>
      </c>
      <c r="F377" s="36" t="n">
        <v>384.96</v>
      </c>
      <c r="G377" s="36" t="n">
        <v>261.73</v>
      </c>
      <c r="H377" s="36" t="n">
        <v>197.25</v>
      </c>
      <c r="I377" s="37" t="n">
        <v>585146</v>
      </c>
      <c r="J377" s="37" t="n">
        <v>458221</v>
      </c>
      <c r="K377" s="38" t="n">
        <v>0.46</v>
      </c>
    </row>
    <row r="378">
      <c r="A378" s="35" t="inlineStr">
        <is>
          <t>BANKBARODA</t>
        </is>
      </c>
      <c r="C378" s="36" t="n">
        <v>282.77</v>
      </c>
      <c r="D378" s="36" t="n">
        <v>282.11</v>
      </c>
      <c r="E378" s="36" t="n">
        <v>275.39</v>
      </c>
      <c r="F378" s="36" t="n">
        <v>325.5</v>
      </c>
      <c r="G378" s="36" t="n">
        <v>325.5</v>
      </c>
      <c r="H378" s="36" t="n">
        <v>247.6</v>
      </c>
      <c r="I378" s="37" t="n">
        <v>11199966</v>
      </c>
      <c r="J378" s="37" t="n">
        <v>9554841</v>
      </c>
      <c r="K378" s="38" t="n">
        <v>-8.1</v>
      </c>
    </row>
    <row r="379">
      <c r="A379" s="35" t="inlineStr">
        <is>
          <t>BAJAJHLDNG</t>
        </is>
      </c>
      <c r="C379" s="36" t="n">
        <v>10376</v>
      </c>
      <c r="D379" s="36" t="n">
        <v>10179</v>
      </c>
      <c r="E379" s="36" t="n">
        <v>11341.2</v>
      </c>
      <c r="F379" s="36" t="n">
        <v>14690.34</v>
      </c>
      <c r="G379" s="36" t="n">
        <v>11632</v>
      </c>
      <c r="H379" s="36" t="n">
        <v>8746</v>
      </c>
      <c r="I379" s="37" t="n">
        <v>48445</v>
      </c>
      <c r="J379" s="37" t="n">
        <v>50260</v>
      </c>
      <c r="K379" s="38" t="n">
        <v>-3.4</v>
      </c>
    </row>
    <row r="380">
      <c r="A380" s="35" t="inlineStr">
        <is>
          <t>TIMETECHNO</t>
        </is>
      </c>
      <c r="C380" s="36" t="n">
        <v>192.54</v>
      </c>
      <c r="D380" s="36" t="n">
        <v>180.38</v>
      </c>
      <c r="E380" s="36" t="n">
        <v>190.95</v>
      </c>
      <c r="F380" s="36" t="n">
        <v>249.15</v>
      </c>
      <c r="G380" s="36" t="n">
        <v>207.4</v>
      </c>
      <c r="H380" s="36" t="n">
        <v>155.27</v>
      </c>
      <c r="I380" s="37" t="n">
        <v>2979296</v>
      </c>
      <c r="J380" s="37" t="n">
        <v>2479074</v>
      </c>
      <c r="K380" s="38" t="n">
        <v>5.61</v>
      </c>
    </row>
    <row r="381">
      <c r="A381" s="35" t="inlineStr">
        <is>
          <t>JUBLPHARMA</t>
        </is>
      </c>
      <c r="C381" s="36" t="n">
        <v>927.95</v>
      </c>
      <c r="D381" s="36" t="n">
        <v>894.24</v>
      </c>
      <c r="E381" s="36" t="n">
        <v>980.75</v>
      </c>
      <c r="F381" s="36" t="n">
        <v>1248</v>
      </c>
      <c r="G381" s="36" t="n">
        <v>1073</v>
      </c>
      <c r="H381" s="36" t="n">
        <v>807.65</v>
      </c>
      <c r="I381" s="37" t="n">
        <v>167524</v>
      </c>
      <c r="J381" s="37" t="n">
        <v>132683</v>
      </c>
      <c r="K381" s="38" t="n">
        <v>-12.97</v>
      </c>
    </row>
    <row r="382">
      <c r="A382" s="35" t="inlineStr">
        <is>
          <t>AKUMS</t>
        </is>
      </c>
      <c r="C382" s="36" t="n">
        <v>528.75</v>
      </c>
      <c r="D382" s="36" t="n">
        <v>490.86</v>
      </c>
      <c r="E382" s="36" t="n">
        <v>479.76</v>
      </c>
      <c r="F382" s="36" t="n">
        <v>622.95</v>
      </c>
      <c r="G382" s="36" t="n">
        <v>557</v>
      </c>
      <c r="H382" s="36" t="n">
        <v>419.7</v>
      </c>
      <c r="I382" s="37" t="n">
        <v>145028</v>
      </c>
      <c r="J382" s="37" t="n">
        <v>132444</v>
      </c>
      <c r="K382" s="38" t="n">
        <v>19.13</v>
      </c>
    </row>
    <row r="383">
      <c r="A383" s="35" t="inlineStr">
        <is>
          <t>TRANSRAILL</t>
        </is>
      </c>
      <c r="C383" s="36" t="n">
        <v>587.25</v>
      </c>
      <c r="D383" s="36" t="n">
        <v>534.21</v>
      </c>
      <c r="E383" s="36" t="n">
        <v>580.73</v>
      </c>
      <c r="F383" s="36" t="n">
        <v>854.92</v>
      </c>
      <c r="G383" s="36" t="n">
        <v>610.5</v>
      </c>
      <c r="H383" s="36" t="n">
        <v>452</v>
      </c>
      <c r="I383" s="37" t="n">
        <v>642397</v>
      </c>
      <c r="J383" s="37" t="n">
        <v>569767</v>
      </c>
      <c r="K383" s="38" t="n">
        <v>20.76</v>
      </c>
    </row>
    <row r="384">
      <c r="A384" s="35" t="inlineStr">
        <is>
          <t>CUMMINSIND</t>
        </is>
      </c>
      <c r="C384" s="36" t="n">
        <v>5211.8</v>
      </c>
      <c r="D384" s="36" t="n">
        <v>4721.92</v>
      </c>
      <c r="E384" s="36" t="n">
        <v>4201.9</v>
      </c>
      <c r="F384" s="36" t="n">
        <v>5272.7</v>
      </c>
      <c r="G384" s="36" t="n">
        <v>5272.7</v>
      </c>
      <c r="H384" s="36" t="n">
        <v>3910.52</v>
      </c>
      <c r="I384" s="37" t="n">
        <v>717933</v>
      </c>
      <c r="J384" s="37" t="n">
        <v>660042</v>
      </c>
      <c r="K384" s="38" t="n">
        <v>29.94</v>
      </c>
    </row>
    <row r="385">
      <c r="A385" s="35" t="inlineStr">
        <is>
          <t>ALKYLAMINE</t>
        </is>
      </c>
      <c r="C385" s="36" t="n">
        <v>1491.8</v>
      </c>
      <c r="D385" s="36" t="n">
        <v>1422.17</v>
      </c>
      <c r="E385" s="36" t="n">
        <v>1646.21</v>
      </c>
      <c r="F385" s="36" t="n">
        <v>2438.8</v>
      </c>
      <c r="G385" s="36" t="n">
        <v>1668.7</v>
      </c>
      <c r="H385" s="36" t="n">
        <v>1231.6</v>
      </c>
      <c r="I385" s="37" t="n">
        <v>55328</v>
      </c>
      <c r="J385" s="37" t="n">
        <v>42024</v>
      </c>
      <c r="K385" s="38" t="n">
        <v>-9.19</v>
      </c>
    </row>
    <row r="386">
      <c r="A386" s="35" t="inlineStr">
        <is>
          <t>KSCL</t>
        </is>
      </c>
      <c r="C386" s="36" t="n">
        <v>935.15</v>
      </c>
      <c r="D386" s="36" t="n">
        <v>864.92</v>
      </c>
      <c r="E386" s="36" t="n">
        <v>996.02</v>
      </c>
      <c r="F386" s="36" t="n">
        <v>1519.06</v>
      </c>
      <c r="G386" s="36" t="n">
        <v>959.4</v>
      </c>
      <c r="H386" s="36" t="n">
        <v>714.6</v>
      </c>
      <c r="I386" s="37" t="n">
        <v>177584</v>
      </c>
      <c r="J386" s="37" t="n">
        <v>138105</v>
      </c>
      <c r="K386" s="38" t="n">
        <v>5.33</v>
      </c>
    </row>
    <row r="387">
      <c r="A387" s="35" t="inlineStr">
        <is>
          <t>PNB</t>
        </is>
      </c>
      <c r="C387" s="36" t="n">
        <v>114.67</v>
      </c>
      <c r="D387" s="36" t="n">
        <v>114.91</v>
      </c>
      <c r="E387" s="36" t="n">
        <v>114.87</v>
      </c>
      <c r="F387" s="36" t="n">
        <v>135.15</v>
      </c>
      <c r="G387" s="36" t="n">
        <v>135.15</v>
      </c>
      <c r="H387" s="36" t="n">
        <v>100.56</v>
      </c>
      <c r="I387" s="37" t="n">
        <v>19568656</v>
      </c>
      <c r="J387" s="37" t="n">
        <v>18163650</v>
      </c>
      <c r="K387" s="38" t="n">
        <v>-10.89</v>
      </c>
    </row>
    <row r="388">
      <c r="A388" s="35" t="inlineStr">
        <is>
          <t>AFCONS</t>
        </is>
      </c>
      <c r="C388" s="36" t="n">
        <v>329.5</v>
      </c>
      <c r="D388" s="36" t="n">
        <v>313.79</v>
      </c>
      <c r="E388" s="36" t="n">
        <v>366.79</v>
      </c>
      <c r="F388" s="36" t="n">
        <v>479.4</v>
      </c>
      <c r="G388" s="36" t="n">
        <v>366</v>
      </c>
      <c r="H388" s="36" t="n">
        <v>271.2</v>
      </c>
      <c r="I388" s="37" t="n">
        <v>411516</v>
      </c>
      <c r="J388" s="37" t="n">
        <v>388904</v>
      </c>
      <c r="K388" s="38" t="n">
        <v>-7.91</v>
      </c>
    </row>
    <row r="389">
      <c r="A389" s="35" t="inlineStr">
        <is>
          <t>VBL</t>
        </is>
      </c>
      <c r="C389" s="36" t="n">
        <v>494.95</v>
      </c>
      <c r="D389" s="36" t="n">
        <v>439.07</v>
      </c>
      <c r="E389" s="36" t="n">
        <v>463.93</v>
      </c>
      <c r="F389" s="36" t="n">
        <v>541.97</v>
      </c>
      <c r="G389" s="36" t="n">
        <v>508.22</v>
      </c>
      <c r="H389" s="36" t="n">
        <v>381.72</v>
      </c>
      <c r="I389" s="37" t="n">
        <v>6926186</v>
      </c>
      <c r="J389" s="37" t="n">
        <v>5718949</v>
      </c>
      <c r="K389" s="38" t="n">
        <v>-1.36</v>
      </c>
    </row>
    <row r="390">
      <c r="A390" s="35" t="inlineStr">
        <is>
          <t>ASIANPAINT</t>
        </is>
      </c>
      <c r="C390" s="36" t="n">
        <v>2562.9</v>
      </c>
      <c r="D390" s="36" t="n">
        <v>2376.2</v>
      </c>
      <c r="E390" s="36" t="n">
        <v>2477.75</v>
      </c>
      <c r="F390" s="36" t="n">
        <v>2985.7</v>
      </c>
      <c r="G390" s="36" t="n">
        <v>2884</v>
      </c>
      <c r="H390" s="36" t="n">
        <v>2121.3</v>
      </c>
      <c r="I390" s="37" t="n">
        <v>1496210</v>
      </c>
      <c r="J390" s="37" t="n">
        <v>1183482</v>
      </c>
      <c r="K390" s="38" t="n">
        <v>-8.92</v>
      </c>
    </row>
    <row r="391">
      <c r="A391" s="35" t="inlineStr">
        <is>
          <t>TATACOMM</t>
        </is>
      </c>
      <c r="C391" s="36" t="n">
        <v>1525</v>
      </c>
      <c r="D391" s="36" t="n">
        <v>1523.82</v>
      </c>
      <c r="E391" s="36" t="n">
        <v>1632.54</v>
      </c>
      <c r="F391" s="36" t="n">
        <v>2004</v>
      </c>
      <c r="G391" s="36" t="n">
        <v>1773.1</v>
      </c>
      <c r="H391" s="36" t="n">
        <v>1347.9</v>
      </c>
      <c r="I391" s="37" t="n">
        <v>261005</v>
      </c>
      <c r="J391" s="37" t="n">
        <v>269220</v>
      </c>
      <c r="K391" s="38" t="n">
        <v>-13.04</v>
      </c>
    </row>
    <row r="392">
      <c r="A392" s="35" t="inlineStr">
        <is>
          <t>BLUESTARCO</t>
        </is>
      </c>
      <c r="C392" s="36" t="n">
        <v>1888.6</v>
      </c>
      <c r="D392" s="36" t="n">
        <v>1788.89</v>
      </c>
      <c r="E392" s="36" t="n">
        <v>1802.36</v>
      </c>
      <c r="F392" s="36" t="n">
        <v>2040</v>
      </c>
      <c r="G392" s="36" t="n">
        <v>2029.6</v>
      </c>
      <c r="H392" s="36" t="n">
        <v>1528.3</v>
      </c>
      <c r="I392" s="37" t="n">
        <v>782344</v>
      </c>
      <c r="J392" s="37" t="n">
        <v>591021</v>
      </c>
      <c r="K392" s="38" t="n">
        <v>4.22</v>
      </c>
    </row>
    <row r="393">
      <c r="A393" s="35" t="inlineStr">
        <is>
          <t>BELRISE</t>
        </is>
      </c>
      <c r="C393" s="36" t="n">
        <v>222.13</v>
      </c>
      <c r="D393" s="36" t="n">
        <v>192.36</v>
      </c>
      <c r="E393" s="36" t="n">
        <v>163.29</v>
      </c>
      <c r="F393" s="36" t="n">
        <v>226.3</v>
      </c>
      <c r="G393" s="36" t="n">
        <v>226.3</v>
      </c>
      <c r="H393" s="36" t="n">
        <v>158.15</v>
      </c>
      <c r="I393" s="37" t="n">
        <v>5359567</v>
      </c>
      <c r="J393" s="37" t="n">
        <v>4985264</v>
      </c>
      <c r="K393" s="38" t="n">
        <v>28.4</v>
      </c>
    </row>
    <row r="394">
      <c r="A394" s="35" t="inlineStr">
        <is>
          <t>AEQUS</t>
        </is>
      </c>
    </row>
    <row r="395">
      <c r="A395" s="35" t="inlineStr">
        <is>
          <t>UCOBANK</t>
        </is>
      </c>
      <c r="C395" s="36" t="n">
        <v>27.03</v>
      </c>
      <c r="D395" s="36" t="n">
        <v>26.57</v>
      </c>
      <c r="E395" s="36" t="n">
        <v>28.74</v>
      </c>
      <c r="F395" s="36" t="n">
        <v>35.08</v>
      </c>
      <c r="G395" s="36" t="n">
        <v>30.38</v>
      </c>
      <c r="H395" s="36" t="n">
        <v>22.45</v>
      </c>
      <c r="I395" s="37" t="n">
        <v>7263834</v>
      </c>
      <c r="J395" s="37" t="n">
        <v>7289429</v>
      </c>
      <c r="K395" s="38" t="n">
        <v>-8.06</v>
      </c>
    </row>
    <row r="396">
      <c r="A396" s="35" t="inlineStr">
        <is>
          <t>ABLBL</t>
        </is>
      </c>
    </row>
    <row r="397">
      <c r="A397" s="35" t="inlineStr">
        <is>
          <t>RUBICON</t>
        </is>
      </c>
    </row>
    <row r="398">
      <c r="A398" s="35" t="inlineStr">
        <is>
          <t>GSFC</t>
        </is>
      </c>
      <c r="C398" s="36" t="n">
        <v>175.25</v>
      </c>
      <c r="D398" s="36" t="n">
        <v>164.88</v>
      </c>
      <c r="E398" s="36" t="n">
        <v>178.15</v>
      </c>
      <c r="F398" s="36" t="n">
        <v>215.43</v>
      </c>
      <c r="G398" s="36" t="n">
        <v>186.5</v>
      </c>
      <c r="H398" s="36" t="n">
        <v>139.22</v>
      </c>
      <c r="I398" s="37" t="n">
        <v>1134530</v>
      </c>
      <c r="J398" s="37" t="n">
        <v>796415</v>
      </c>
      <c r="K398" s="38" t="n">
        <v>0.18</v>
      </c>
    </row>
    <row r="399">
      <c r="A399" s="35" t="inlineStr">
        <is>
          <t>MARUTI</t>
        </is>
      </c>
      <c r="C399" s="36" t="n">
        <v>13337</v>
      </c>
      <c r="D399" s="36" t="n">
        <v>13768.18</v>
      </c>
      <c r="E399" s="36" t="n">
        <v>14329</v>
      </c>
      <c r="F399" s="36" t="n">
        <v>17370</v>
      </c>
      <c r="G399" s="36" t="n">
        <v>16412</v>
      </c>
      <c r="H399" s="36" t="n">
        <v>12306</v>
      </c>
      <c r="I399" s="37" t="n">
        <v>540649</v>
      </c>
      <c r="J399" s="37" t="n">
        <v>458827</v>
      </c>
      <c r="K399" s="38" t="n">
        <v>-17.43</v>
      </c>
    </row>
    <row r="400">
      <c r="A400" s="35" t="inlineStr">
        <is>
          <t>EPL</t>
        </is>
      </c>
      <c r="C400" s="36" t="n">
        <v>228.22</v>
      </c>
      <c r="D400" s="36" t="n">
        <v>213.36</v>
      </c>
      <c r="E400" s="36" t="n">
        <v>209.57</v>
      </c>
      <c r="F400" s="36" t="n">
        <v>248.04</v>
      </c>
      <c r="G400" s="36" t="n">
        <v>240.8</v>
      </c>
      <c r="H400" s="36" t="n">
        <v>180.12</v>
      </c>
      <c r="I400" s="37" t="n">
        <v>1061876</v>
      </c>
      <c r="J400" s="37" t="n">
        <v>556731</v>
      </c>
      <c r="K400" s="38" t="n">
        <v>10.79</v>
      </c>
    </row>
    <row r="401">
      <c r="A401" s="35" t="inlineStr">
        <is>
          <t>BEML</t>
        </is>
      </c>
      <c r="C401" s="36" t="n">
        <v>1830.9</v>
      </c>
      <c r="D401" s="36" t="n">
        <v>1645.74</v>
      </c>
      <c r="E401" s="36" t="n">
        <v>1779.82</v>
      </c>
      <c r="F401" s="36" t="n">
        <v>2433.23</v>
      </c>
      <c r="G401" s="36" t="n">
        <v>1910</v>
      </c>
      <c r="H401" s="36" t="n">
        <v>1369.4</v>
      </c>
      <c r="I401" s="37" t="n">
        <v>312310</v>
      </c>
      <c r="J401" s="37" t="n">
        <v>247790</v>
      </c>
      <c r="K401" s="38" t="n">
        <v>1.17</v>
      </c>
    </row>
    <row r="402">
      <c r="A402" s="35" t="inlineStr">
        <is>
          <t>BALAMINES</t>
        </is>
      </c>
      <c r="C402" s="36" t="n">
        <v>1223.5</v>
      </c>
      <c r="D402" s="36" t="n">
        <v>1096.01</v>
      </c>
      <c r="E402" s="36" t="n">
        <v>1219.24</v>
      </c>
      <c r="F402" s="36" t="n">
        <v>1932.9</v>
      </c>
      <c r="G402" s="36" t="n">
        <v>1333.1</v>
      </c>
      <c r="H402" s="36" t="n">
        <v>977.2</v>
      </c>
      <c r="I402" s="37" t="n">
        <v>104906</v>
      </c>
      <c r="J402" s="37" t="n">
        <v>97195</v>
      </c>
      <c r="K402" s="38" t="n">
        <v>-3.24</v>
      </c>
    </row>
    <row r="403">
      <c r="A403" s="35" t="inlineStr">
        <is>
          <t>EUREKAFORB</t>
        </is>
      </c>
      <c r="C403" s="36" t="n">
        <v>496.6</v>
      </c>
      <c r="D403" s="36" t="n">
        <v>488.35</v>
      </c>
      <c r="E403" s="36" t="n">
        <v>532.63</v>
      </c>
      <c r="F403" s="36" t="n">
        <v>668.3</v>
      </c>
      <c r="G403" s="36" t="n">
        <v>576.5</v>
      </c>
      <c r="H403" s="36" t="n">
        <v>425.9</v>
      </c>
      <c r="I403" s="37" t="n">
        <v>160408</v>
      </c>
      <c r="J403" s="37" t="n">
        <v>147108</v>
      </c>
      <c r="K403" s="38" t="n">
        <v>-12.85</v>
      </c>
    </row>
    <row r="404">
      <c r="A404" s="35" t="inlineStr">
        <is>
          <t>TMPV</t>
        </is>
      </c>
    </row>
    <row r="405">
      <c r="A405" s="35" t="inlineStr">
        <is>
          <t>SUBROS</t>
        </is>
      </c>
      <c r="C405" s="36" t="n">
        <v>788.1</v>
      </c>
      <c r="D405" s="36" t="n">
        <v>748.46</v>
      </c>
      <c r="E405" s="36" t="n">
        <v>805.87</v>
      </c>
      <c r="F405" s="36" t="n">
        <v>1213.7</v>
      </c>
      <c r="G405" s="36" t="n">
        <v>856.4</v>
      </c>
      <c r="H405" s="36" t="n">
        <v>635.25</v>
      </c>
      <c r="I405" s="37" t="n">
        <v>53875</v>
      </c>
      <c r="J405" s="37" t="n">
        <v>50756</v>
      </c>
      <c r="K405" s="38" t="n">
        <v>-5.05</v>
      </c>
    </row>
    <row r="406">
      <c r="A406" s="35" t="inlineStr">
        <is>
          <t>TATAINVEST</t>
        </is>
      </c>
      <c r="C406" s="36" t="n">
        <v>731.4</v>
      </c>
      <c r="D406" s="36" t="n">
        <v>651.39</v>
      </c>
      <c r="E406" s="36" t="n">
        <v>678.76</v>
      </c>
      <c r="F406" s="36" t="n">
        <v>1184.7</v>
      </c>
      <c r="G406" s="36" t="n">
        <v>762.25</v>
      </c>
      <c r="H406" s="36" t="n">
        <v>541.15</v>
      </c>
      <c r="I406" s="37" t="n">
        <v>710961</v>
      </c>
      <c r="J406" s="37" t="n">
        <v>532305</v>
      </c>
      <c r="K406" s="38" t="n">
        <v>10.18</v>
      </c>
    </row>
    <row r="407">
      <c r="A407" s="35" t="inlineStr">
        <is>
          <t>ELGIEQUIP</t>
        </is>
      </c>
      <c r="C407" s="36" t="n">
        <v>554.7</v>
      </c>
      <c r="D407" s="36" t="n">
        <v>501.88</v>
      </c>
      <c r="E407" s="36" t="n">
        <v>490.69</v>
      </c>
      <c r="F407" s="36" t="n">
        <v>608.4</v>
      </c>
      <c r="G407" s="36" t="n">
        <v>567.9</v>
      </c>
      <c r="H407" s="36" t="n">
        <v>415.55</v>
      </c>
      <c r="I407" s="37" t="n">
        <v>533281</v>
      </c>
      <c r="J407" s="37" t="n">
        <v>438826</v>
      </c>
      <c r="K407" s="38" t="n">
        <v>26.28</v>
      </c>
    </row>
    <row r="408">
      <c r="A408" s="35" t="inlineStr">
        <is>
          <t>SHAREINDIA</t>
        </is>
      </c>
      <c r="C408" s="36" t="n">
        <v>150.67</v>
      </c>
      <c r="D408" s="36" t="n">
        <v>138.73</v>
      </c>
      <c r="E408" s="36" t="n">
        <v>150.75</v>
      </c>
      <c r="F408" s="36" t="n">
        <v>209.96</v>
      </c>
      <c r="G408" s="36" t="n">
        <v>158.96</v>
      </c>
      <c r="H408" s="36" t="n">
        <v>117.38</v>
      </c>
      <c r="I408" s="37" t="n">
        <v>615708</v>
      </c>
      <c r="J408" s="37" t="n">
        <v>597960</v>
      </c>
      <c r="K408" s="38" t="n">
        <v>1.04</v>
      </c>
    </row>
    <row r="409">
      <c r="A409" s="35" t="inlineStr">
        <is>
          <t>SFL</t>
        </is>
      </c>
      <c r="C409" s="36" t="n">
        <v>564.5</v>
      </c>
      <c r="D409" s="36" t="n">
        <v>536.22</v>
      </c>
      <c r="E409" s="36" t="n">
        <v>594.9299999999999</v>
      </c>
      <c r="F409" s="36" t="n">
        <v>769.9</v>
      </c>
      <c r="G409" s="36" t="n">
        <v>635.95</v>
      </c>
      <c r="H409" s="36" t="n">
        <v>465.05</v>
      </c>
      <c r="I409" s="37" t="n">
        <v>90935</v>
      </c>
      <c r="J409" s="37" t="n">
        <v>83742</v>
      </c>
      <c r="K409" s="38" t="n">
        <v>0.5</v>
      </c>
    </row>
    <row r="410">
      <c r="A410" s="35" t="inlineStr">
        <is>
          <t>LT</t>
        </is>
      </c>
      <c r="C410" s="36" t="n">
        <v>4021.1</v>
      </c>
      <c r="D410" s="36" t="n">
        <v>3891.43</v>
      </c>
      <c r="E410" s="36" t="n">
        <v>3822.42</v>
      </c>
      <c r="F410" s="36" t="n">
        <v>4440</v>
      </c>
      <c r="G410" s="36" t="n">
        <v>4440</v>
      </c>
      <c r="H410" s="36" t="n">
        <v>3342.4</v>
      </c>
      <c r="I410" s="37" t="n">
        <v>4121638</v>
      </c>
      <c r="J410" s="37" t="n">
        <v>2822017</v>
      </c>
      <c r="K410" s="38" t="n">
        <v>4.02</v>
      </c>
    </row>
    <row r="411">
      <c r="A411" s="35" t="inlineStr">
        <is>
          <t>VARROC</t>
        </is>
      </c>
      <c r="C411" s="36" t="n">
        <v>533.8</v>
      </c>
      <c r="D411" s="36" t="n">
        <v>524.89</v>
      </c>
      <c r="E411" s="36" t="n">
        <v>550.09</v>
      </c>
      <c r="F411" s="36" t="n">
        <v>694.7</v>
      </c>
      <c r="G411" s="36" t="n">
        <v>630</v>
      </c>
      <c r="H411" s="36" t="n">
        <v>467.4</v>
      </c>
      <c r="I411" s="37" t="n">
        <v>150770</v>
      </c>
      <c r="J411" s="37" t="n">
        <v>116267</v>
      </c>
      <c r="K411" s="38" t="n">
        <v>-5.81</v>
      </c>
    </row>
    <row r="412">
      <c r="A412" s="35" t="inlineStr">
        <is>
          <t>HONASA</t>
        </is>
      </c>
      <c r="C412" s="36" t="n">
        <v>346.75</v>
      </c>
      <c r="D412" s="36" t="n">
        <v>307.08</v>
      </c>
      <c r="E412" s="36" t="n">
        <v>287.31</v>
      </c>
      <c r="F412" s="36" t="n">
        <v>359.75</v>
      </c>
      <c r="G412" s="36" t="n">
        <v>359.75</v>
      </c>
      <c r="H412" s="36" t="n">
        <v>264.05</v>
      </c>
      <c r="I412" s="37" t="n">
        <v>642559</v>
      </c>
      <c r="J412" s="37" t="n">
        <v>530771</v>
      </c>
      <c r="K412" s="38" t="n">
        <v>19.53</v>
      </c>
    </row>
    <row r="413">
      <c r="A413" s="35" t="inlineStr">
        <is>
          <t>KARURVYSYA</t>
        </is>
      </c>
      <c r="C413" s="36" t="n">
        <v>300.45</v>
      </c>
      <c r="D413" s="36" t="n">
        <v>287.04</v>
      </c>
      <c r="E413" s="36" t="n">
        <v>257.77</v>
      </c>
      <c r="F413" s="36" t="n">
        <v>343.45</v>
      </c>
      <c r="G413" s="36" t="n">
        <v>343.45</v>
      </c>
      <c r="H413" s="36" t="n">
        <v>254.75</v>
      </c>
      <c r="I413" s="37" t="n">
        <v>3636836</v>
      </c>
      <c r="J413" s="37" t="n">
        <v>3178941</v>
      </c>
      <c r="K413" s="38" t="n">
        <v>12.59</v>
      </c>
    </row>
    <row r="414">
      <c r="A414" s="35" t="inlineStr">
        <is>
          <t>SONACOMS</t>
        </is>
      </c>
      <c r="C414" s="36" t="n">
        <v>588.45</v>
      </c>
      <c r="D414" s="36" t="n">
        <v>525.4400000000001</v>
      </c>
      <c r="E414" s="36" t="n">
        <v>493.04</v>
      </c>
      <c r="F414" s="36" t="n">
        <v>596.95</v>
      </c>
      <c r="G414" s="36" t="n">
        <v>596.95</v>
      </c>
      <c r="H414" s="36" t="n">
        <v>443.01</v>
      </c>
      <c r="I414" s="37" t="n">
        <v>1883357</v>
      </c>
      <c r="J414" s="37" t="n">
        <v>1783815</v>
      </c>
      <c r="K414" s="38" t="n">
        <v>27.88</v>
      </c>
    </row>
    <row r="415">
      <c r="A415" s="35" t="inlineStr">
        <is>
          <t>NAZARA</t>
        </is>
      </c>
      <c r="C415" s="36" t="n">
        <v>271.56</v>
      </c>
      <c r="D415" s="36" t="n">
        <v>254.36</v>
      </c>
      <c r="E415" s="36" t="n">
        <v>266.26</v>
      </c>
      <c r="F415" s="36" t="n">
        <v>363.25</v>
      </c>
      <c r="G415" s="36" t="n">
        <v>295.2</v>
      </c>
      <c r="H415" s="36" t="n">
        <v>217.65</v>
      </c>
      <c r="I415" s="37" t="n">
        <v>2153225</v>
      </c>
      <c r="J415" s="37" t="n">
        <v>1751044</v>
      </c>
      <c r="K415" s="38" t="n">
        <v>1.01</v>
      </c>
    </row>
    <row r="416">
      <c r="A416" s="35" t="inlineStr">
        <is>
          <t>ARVINDFASN</t>
        </is>
      </c>
      <c r="C416" s="36" t="n">
        <v>471.8</v>
      </c>
      <c r="D416" s="36" t="n">
        <v>446.96</v>
      </c>
      <c r="E416" s="36" t="n">
        <v>467.34</v>
      </c>
      <c r="F416" s="36" t="n">
        <v>579</v>
      </c>
      <c r="G416" s="36" t="n">
        <v>514.2</v>
      </c>
      <c r="H416" s="36" t="n">
        <v>378.55</v>
      </c>
      <c r="I416" s="37" t="n">
        <v>188494</v>
      </c>
      <c r="J416" s="37" t="n">
        <v>182300</v>
      </c>
      <c r="K416" s="38" t="n">
        <v>2.28</v>
      </c>
    </row>
    <row r="417">
      <c r="A417" s="35" t="inlineStr">
        <is>
          <t>MUTHOOTFIN</t>
        </is>
      </c>
      <c r="C417" s="36" t="n">
        <v>3586.9</v>
      </c>
      <c r="D417" s="36" t="n">
        <v>3447.21</v>
      </c>
      <c r="E417" s="36" t="n">
        <v>3245.08</v>
      </c>
      <c r="F417" s="36" t="n">
        <v>4114.71</v>
      </c>
      <c r="G417" s="36" t="n">
        <v>4114.71</v>
      </c>
      <c r="H417" s="36" t="n">
        <v>3089.48</v>
      </c>
      <c r="I417" s="37" t="n">
        <v>825997</v>
      </c>
      <c r="J417" s="37" t="n">
        <v>800263</v>
      </c>
      <c r="K417" s="38" t="n">
        <v>-8.15</v>
      </c>
    </row>
    <row r="418">
      <c r="A418" s="35" t="inlineStr">
        <is>
          <t>DEEPAKNTR</t>
        </is>
      </c>
      <c r="C418" s="36" t="n">
        <v>1745.5</v>
      </c>
      <c r="D418" s="36" t="n">
        <v>1507.86</v>
      </c>
      <c r="E418" s="36" t="n">
        <v>1659.75</v>
      </c>
      <c r="F418" s="36" t="n">
        <v>2165.04</v>
      </c>
      <c r="G418" s="36" t="n">
        <v>1768</v>
      </c>
      <c r="H418" s="36" t="n">
        <v>1286.8</v>
      </c>
      <c r="I418" s="37" t="n">
        <v>220572</v>
      </c>
      <c r="J418" s="37" t="n">
        <v>121763</v>
      </c>
      <c r="K418" s="38" t="n">
        <v>11.6</v>
      </c>
    </row>
    <row r="419">
      <c r="A419" s="35" t="inlineStr">
        <is>
          <t>MMTC</t>
        </is>
      </c>
      <c r="C419" s="36" t="n">
        <v>67.67</v>
      </c>
      <c r="D419" s="36" t="n">
        <v>60.45</v>
      </c>
      <c r="E419" s="36" t="n">
        <v>62.26</v>
      </c>
      <c r="F419" s="36" t="n">
        <v>88.19</v>
      </c>
      <c r="G419" s="36" t="n">
        <v>72.7</v>
      </c>
      <c r="H419" s="36" t="n">
        <v>52.1</v>
      </c>
      <c r="I419" s="37" t="n">
        <v>3421299</v>
      </c>
      <c r="J419" s="37" t="n">
        <v>2693902</v>
      </c>
      <c r="K419" s="38" t="n">
        <v>-5.46</v>
      </c>
    </row>
    <row r="420">
      <c r="A420" s="35" t="inlineStr">
        <is>
          <t>GNFC</t>
        </is>
      </c>
      <c r="C420" s="36" t="n">
        <v>488.5</v>
      </c>
      <c r="D420" s="36" t="n">
        <v>442.31</v>
      </c>
      <c r="E420" s="36" t="n">
        <v>471.16</v>
      </c>
      <c r="F420" s="36" t="n">
        <v>554.53</v>
      </c>
      <c r="G420" s="36" t="n">
        <v>496.8</v>
      </c>
      <c r="H420" s="36" t="n">
        <v>366.45</v>
      </c>
      <c r="I420" s="37" t="n">
        <v>348446</v>
      </c>
      <c r="J420" s="37" t="n">
        <v>232041</v>
      </c>
      <c r="K420" s="38" t="n">
        <v>1.25</v>
      </c>
    </row>
    <row r="421">
      <c r="A421" s="35" t="inlineStr">
        <is>
          <t>ARVIND</t>
        </is>
      </c>
      <c r="C421" s="36" t="n">
        <v>392.05</v>
      </c>
      <c r="D421" s="36" t="n">
        <v>361.18</v>
      </c>
      <c r="E421" s="36" t="n">
        <v>343.29</v>
      </c>
      <c r="F421" s="36" t="n">
        <v>403</v>
      </c>
      <c r="G421" s="36" t="n">
        <v>403</v>
      </c>
      <c r="H421" s="36" t="n">
        <v>292.65</v>
      </c>
      <c r="I421" s="37" t="n">
        <v>291453</v>
      </c>
      <c r="J421" s="37" t="n">
        <v>419502</v>
      </c>
      <c r="K421" s="38" t="n">
        <v>28.52</v>
      </c>
    </row>
    <row r="422">
      <c r="A422" s="35" t="inlineStr">
        <is>
          <t>POWERMECH</t>
        </is>
      </c>
      <c r="C422" s="36" t="n">
        <v>2491.4</v>
      </c>
      <c r="D422" s="36" t="n">
        <v>2127.84</v>
      </c>
      <c r="E422" s="36" t="n">
        <v>2395.25</v>
      </c>
      <c r="F422" s="36" t="n">
        <v>3413.61</v>
      </c>
      <c r="G422" s="36" t="n">
        <v>2512</v>
      </c>
      <c r="H422" s="36" t="n">
        <v>1732.8</v>
      </c>
      <c r="I422" s="37" t="n">
        <v>110314</v>
      </c>
      <c r="J422" s="37" t="n">
        <v>82195</v>
      </c>
      <c r="K422" s="38" t="n">
        <v>7.79</v>
      </c>
    </row>
    <row r="423">
      <c r="A423" s="35" t="inlineStr">
        <is>
          <t>SBICARD</t>
        </is>
      </c>
      <c r="C423" s="36" t="n">
        <v>686.2</v>
      </c>
      <c r="D423" s="36" t="n">
        <v>712.85</v>
      </c>
      <c r="E423" s="36" t="n">
        <v>800.98</v>
      </c>
      <c r="F423" s="36" t="n">
        <v>1023.66</v>
      </c>
      <c r="G423" s="36" t="n">
        <v>855.3</v>
      </c>
      <c r="H423" s="36" t="n">
        <v>635.1</v>
      </c>
      <c r="I423" s="37" t="n">
        <v>1212035</v>
      </c>
      <c r="J423" s="37" t="n">
        <v>1191414</v>
      </c>
      <c r="K423" s="38" t="n">
        <v>-18.65</v>
      </c>
    </row>
    <row r="424">
      <c r="A424" s="35" t="inlineStr">
        <is>
          <t>URBANCO</t>
        </is>
      </c>
    </row>
    <row r="425">
      <c r="A425" s="35" t="inlineStr">
        <is>
          <t>HAL</t>
        </is>
      </c>
      <c r="C425" s="36" t="n">
        <v>4400.6</v>
      </c>
      <c r="D425" s="36" t="n">
        <v>4066.2</v>
      </c>
      <c r="E425" s="36" t="n">
        <v>4312.95</v>
      </c>
      <c r="F425" s="36" t="n">
        <v>5105.25</v>
      </c>
      <c r="G425" s="36" t="n">
        <v>4631.52</v>
      </c>
      <c r="H425" s="36" t="n">
        <v>3487.2</v>
      </c>
      <c r="I425" s="37" t="n">
        <v>1281358</v>
      </c>
      <c r="J425" s="37" t="n">
        <v>1379003</v>
      </c>
      <c r="K425" s="38" t="n">
        <v>-0.54</v>
      </c>
    </row>
    <row r="426">
      <c r="A426" s="35" t="inlineStr">
        <is>
          <t>CELLO</t>
        </is>
      </c>
      <c r="C426" s="36" t="n">
        <v>424.4</v>
      </c>
      <c r="D426" s="36" t="n">
        <v>436.07</v>
      </c>
      <c r="E426" s="36" t="n">
        <v>513.24</v>
      </c>
      <c r="F426" s="36" t="n">
        <v>673.8</v>
      </c>
      <c r="G426" s="36" t="n">
        <v>525</v>
      </c>
      <c r="H426" s="36" t="n">
        <v>387.6</v>
      </c>
      <c r="I426" s="37" t="n">
        <v>304772</v>
      </c>
      <c r="J426" s="37" t="n">
        <v>203940</v>
      </c>
      <c r="K426" s="38" t="n">
        <v>-15.74</v>
      </c>
    </row>
    <row r="427">
      <c r="A427" s="35" t="inlineStr">
        <is>
          <t>VIPIND</t>
        </is>
      </c>
      <c r="C427" s="36" t="n">
        <v>314.35</v>
      </c>
      <c r="D427" s="36" t="n">
        <v>338.63</v>
      </c>
      <c r="E427" s="36" t="n">
        <v>366.08</v>
      </c>
      <c r="F427" s="36" t="n">
        <v>492.3</v>
      </c>
      <c r="G427" s="36" t="n">
        <v>405</v>
      </c>
      <c r="H427" s="36" t="n">
        <v>302.25</v>
      </c>
      <c r="I427" s="37" t="n">
        <v>246831</v>
      </c>
      <c r="J427" s="37" t="n">
        <v>189707</v>
      </c>
      <c r="K427" s="38" t="n">
        <v>-16.14</v>
      </c>
    </row>
    <row r="428">
      <c r="A428" s="35" t="inlineStr">
        <is>
          <t>FEDFINA</t>
        </is>
      </c>
      <c r="C428" s="36" t="n">
        <v>151.42</v>
      </c>
      <c r="D428" s="36" t="n">
        <v>138.65</v>
      </c>
      <c r="E428" s="36" t="n">
        <v>134.85</v>
      </c>
      <c r="F428" s="36" t="n">
        <v>178.48</v>
      </c>
      <c r="G428" s="36" t="n">
        <v>178.48</v>
      </c>
      <c r="H428" s="36" t="n">
        <v>120.82</v>
      </c>
      <c r="I428" s="37" t="n">
        <v>712618</v>
      </c>
      <c r="J428" s="37" t="n">
        <v>802936</v>
      </c>
      <c r="K428" s="38" t="n">
        <v>-14.16</v>
      </c>
    </row>
    <row r="429">
      <c r="A429" s="35" t="inlineStr">
        <is>
          <t>BRIGADE</t>
        </is>
      </c>
      <c r="C429" s="36" t="n">
        <v>792.6</v>
      </c>
      <c r="D429" s="36" t="n">
        <v>729.77</v>
      </c>
      <c r="E429" s="36" t="n">
        <v>849.9299999999999</v>
      </c>
      <c r="F429" s="36" t="n">
        <v>1328.58</v>
      </c>
      <c r="G429" s="36" t="n">
        <v>860</v>
      </c>
      <c r="H429" s="36" t="n">
        <v>634.7</v>
      </c>
      <c r="I429" s="37" t="n">
        <v>402033</v>
      </c>
      <c r="J429" s="37" t="n">
        <v>370633</v>
      </c>
      <c r="K429" s="38" t="n">
        <v>-5.91</v>
      </c>
    </row>
    <row r="430">
      <c r="A430" s="35" t="inlineStr">
        <is>
          <t>CHENNPETRO</t>
        </is>
      </c>
      <c r="C430" s="36" t="n">
        <v>1071.4</v>
      </c>
      <c r="D430" s="36" t="n">
        <v>960.22</v>
      </c>
      <c r="E430" s="36" t="n">
        <v>852.46</v>
      </c>
      <c r="F430" s="36" t="n">
        <v>1094.33</v>
      </c>
      <c r="G430" s="36" t="n">
        <v>1085.8</v>
      </c>
      <c r="H430" s="36" t="n">
        <v>797.4299999999999</v>
      </c>
      <c r="I430" s="37" t="n">
        <v>2612734</v>
      </c>
      <c r="J430" s="37" t="n">
        <v>1685997</v>
      </c>
      <c r="K430" s="38" t="n">
        <v>23.37</v>
      </c>
    </row>
    <row r="431">
      <c r="A431" s="35" t="inlineStr">
        <is>
          <t>JYOTICNC</t>
        </is>
      </c>
      <c r="C431" s="36" t="n">
        <v>766.55</v>
      </c>
      <c r="D431" s="36" t="n">
        <v>785.88</v>
      </c>
      <c r="E431" s="36" t="n">
        <v>899.03</v>
      </c>
      <c r="F431" s="36" t="n">
        <v>1330</v>
      </c>
      <c r="G431" s="36" t="n">
        <v>947.1</v>
      </c>
      <c r="H431" s="36" t="n">
        <v>698.65</v>
      </c>
      <c r="I431" s="37" t="n">
        <v>461221</v>
      </c>
      <c r="J431" s="37" t="n">
        <v>366894</v>
      </c>
      <c r="K431" s="38" t="n">
        <v>-17.62</v>
      </c>
    </row>
    <row r="432">
      <c r="A432" s="35" t="inlineStr">
        <is>
          <t>FACT</t>
        </is>
      </c>
      <c r="C432" s="36" t="n">
        <v>932.2</v>
      </c>
      <c r="D432" s="36" t="n">
        <v>821.9400000000001</v>
      </c>
      <c r="E432" s="36" t="n">
        <v>844.16</v>
      </c>
      <c r="F432" s="36" t="n">
        <v>1111.56</v>
      </c>
      <c r="G432" s="36" t="n">
        <v>947.35</v>
      </c>
      <c r="H432" s="36" t="n">
        <v>662.1</v>
      </c>
      <c r="I432" s="37" t="n">
        <v>393375</v>
      </c>
      <c r="J432" s="37" t="n">
        <v>178489</v>
      </c>
      <c r="K432" s="38" t="n">
        <v>9.300000000000001</v>
      </c>
    </row>
    <row r="433">
      <c r="A433" s="35" t="inlineStr">
        <is>
          <t>HCLTECH</t>
        </is>
      </c>
      <c r="C433" s="36" t="n">
        <v>1285.3</v>
      </c>
      <c r="D433" s="36" t="n">
        <v>1435.15</v>
      </c>
      <c r="E433" s="36" t="n">
        <v>1507.33</v>
      </c>
      <c r="F433" s="36" t="n">
        <v>1780.1</v>
      </c>
      <c r="G433" s="36" t="n">
        <v>1780.1</v>
      </c>
      <c r="H433" s="36" t="n">
        <v>1285.3</v>
      </c>
      <c r="I433" s="37" t="n">
        <v>3555664</v>
      </c>
      <c r="J433" s="37" t="n">
        <v>2840341</v>
      </c>
      <c r="K433" s="38" t="n">
        <v>-22.41</v>
      </c>
    </row>
    <row r="434">
      <c r="A434" s="35" t="inlineStr">
        <is>
          <t>DLF</t>
        </is>
      </c>
      <c r="C434" s="36" t="n">
        <v>610.65</v>
      </c>
      <c r="D434" s="36" t="n">
        <v>586.9299999999999</v>
      </c>
      <c r="E434" s="36" t="n">
        <v>662.89</v>
      </c>
      <c r="F434" s="36" t="n">
        <v>880.36</v>
      </c>
      <c r="G434" s="36" t="n">
        <v>676.6</v>
      </c>
      <c r="H434" s="36" t="n">
        <v>504.1</v>
      </c>
      <c r="I434" s="37" t="n">
        <v>5046388</v>
      </c>
      <c r="J434" s="37" t="n">
        <v>4323997</v>
      </c>
      <c r="K434" s="38" t="n">
        <v>-6.21</v>
      </c>
    </row>
    <row r="435">
      <c r="A435" s="35" t="inlineStr">
        <is>
          <t>RELIGARE</t>
        </is>
      </c>
      <c r="C435" s="36" t="n">
        <v>223.83</v>
      </c>
      <c r="D435" s="36" t="n">
        <v>224.27</v>
      </c>
      <c r="E435" s="36" t="n">
        <v>234.11</v>
      </c>
      <c r="F435" s="36" t="n">
        <v>295</v>
      </c>
      <c r="G435" s="36" t="n">
        <v>268.8</v>
      </c>
      <c r="H435" s="36" t="n">
        <v>201.11</v>
      </c>
      <c r="I435" s="37" t="n">
        <v>1740698</v>
      </c>
      <c r="J435" s="37" t="n">
        <v>1507582</v>
      </c>
      <c r="K435" s="38" t="n">
        <v>-8.02</v>
      </c>
    </row>
    <row r="436">
      <c r="A436" s="35" t="inlineStr">
        <is>
          <t>TECHNOE</t>
        </is>
      </c>
      <c r="C436" s="36" t="n">
        <v>1250</v>
      </c>
      <c r="D436" s="36" t="n">
        <v>1114.33</v>
      </c>
      <c r="E436" s="36" t="n">
        <v>1169.58</v>
      </c>
      <c r="F436" s="36" t="n">
        <v>1643.83</v>
      </c>
      <c r="G436" s="36" t="n">
        <v>1284</v>
      </c>
      <c r="H436" s="36" t="n">
        <v>893.4</v>
      </c>
      <c r="I436" s="37" t="n">
        <v>216096</v>
      </c>
      <c r="J436" s="37" t="n">
        <v>203523</v>
      </c>
      <c r="K436" s="38" t="n">
        <v>25.73</v>
      </c>
    </row>
    <row r="437">
      <c r="A437" s="35" t="inlineStr">
        <is>
          <t>KIRLOSBROS</t>
        </is>
      </c>
      <c r="C437" s="36" t="n">
        <v>1740</v>
      </c>
      <c r="D437" s="36" t="n">
        <v>1592.98</v>
      </c>
      <c r="E437" s="36" t="n">
        <v>1694.84</v>
      </c>
      <c r="F437" s="36" t="n">
        <v>2466.51</v>
      </c>
      <c r="G437" s="36" t="n">
        <v>1869.8</v>
      </c>
      <c r="H437" s="36" t="n">
        <v>1339.1</v>
      </c>
      <c r="I437" s="37" t="n">
        <v>79438</v>
      </c>
      <c r="J437" s="37" t="n">
        <v>62956</v>
      </c>
      <c r="K437" s="38" t="n">
        <v>7.93</v>
      </c>
    </row>
    <row r="438">
      <c r="A438" s="35" t="inlineStr">
        <is>
          <t>BECTORFOOD</t>
        </is>
      </c>
      <c r="C438" s="36" t="n">
        <v>204.5</v>
      </c>
      <c r="D438" s="36" t="n">
        <v>199.88</v>
      </c>
      <c r="E438" s="36" t="n">
        <v>237.37</v>
      </c>
      <c r="F438" s="36" t="n">
        <v>319.44</v>
      </c>
      <c r="G438" s="36" t="n">
        <v>256.92</v>
      </c>
      <c r="H438" s="36" t="n">
        <v>176.02</v>
      </c>
      <c r="I438" s="37" t="n">
        <v>528471</v>
      </c>
      <c r="J438" s="37" t="n">
        <v>528471</v>
      </c>
      <c r="K438" s="38" t="n">
        <v>-11.44</v>
      </c>
    </row>
    <row r="439">
      <c r="A439" s="35" t="inlineStr">
        <is>
          <t>BSE</t>
        </is>
      </c>
      <c r="C439" s="36" t="n">
        <v>3499.2</v>
      </c>
      <c r="D439" s="36" t="n">
        <v>3008.06</v>
      </c>
      <c r="E439" s="36" t="n">
        <v>2706.92</v>
      </c>
      <c r="F439" s="36" t="n">
        <v>3570</v>
      </c>
      <c r="G439" s="36" t="n">
        <v>3570</v>
      </c>
      <c r="H439" s="36" t="n">
        <v>2626.9</v>
      </c>
      <c r="I439" s="37" t="n">
        <v>4616085</v>
      </c>
      <c r="J439" s="37" t="n">
        <v>4205385</v>
      </c>
      <c r="K439" s="38" t="n">
        <v>23.35</v>
      </c>
    </row>
    <row r="440">
      <c r="A440" s="35" t="inlineStr">
        <is>
          <t>SHAILY</t>
        </is>
      </c>
      <c r="C440" s="36" t="n">
        <v>1938.9</v>
      </c>
      <c r="D440" s="36" t="n">
        <v>2042.76</v>
      </c>
      <c r="E440" s="36" t="n">
        <v>2065.05</v>
      </c>
      <c r="F440" s="36" t="n">
        <v>2799.9</v>
      </c>
      <c r="G440" s="36" t="n">
        <v>2505.1</v>
      </c>
      <c r="H440" s="36" t="n">
        <v>1821.6</v>
      </c>
      <c r="I440" s="37" t="n">
        <v>422233</v>
      </c>
      <c r="J440" s="37" t="n">
        <v>224979</v>
      </c>
      <c r="K440" s="38" t="n">
        <v>-9.09</v>
      </c>
    </row>
    <row r="441">
      <c r="A441" s="35" t="inlineStr">
        <is>
          <t>SOBHA</t>
        </is>
      </c>
      <c r="C441" s="36" t="n">
        <v>1387.4</v>
      </c>
      <c r="D441" s="36" t="n">
        <v>1340.35</v>
      </c>
      <c r="E441" s="36" t="n">
        <v>1421.76</v>
      </c>
      <c r="F441" s="36" t="n">
        <v>1732.5</v>
      </c>
      <c r="G441" s="36" t="n">
        <v>1580.1</v>
      </c>
      <c r="H441" s="36" t="n">
        <v>1156.8</v>
      </c>
      <c r="I441" s="37" t="n">
        <v>130706</v>
      </c>
      <c r="J441" s="37" t="n">
        <v>97403</v>
      </c>
      <c r="K441" s="38" t="n">
        <v>-9.49</v>
      </c>
    </row>
    <row r="442">
      <c r="A442" s="35" t="inlineStr">
        <is>
          <t>JAMNAAUTO</t>
        </is>
      </c>
      <c r="C442" s="36" t="n">
        <v>126.29</v>
      </c>
      <c r="D442" s="36" t="n">
        <v>124.75</v>
      </c>
      <c r="E442" s="36" t="n">
        <v>113.99</v>
      </c>
      <c r="F442" s="36" t="n">
        <v>152.6</v>
      </c>
      <c r="G442" s="36" t="n">
        <v>152.6</v>
      </c>
      <c r="H442" s="36" t="n">
        <v>111.92</v>
      </c>
      <c r="I442" s="37" t="n">
        <v>2263896</v>
      </c>
      <c r="J442" s="37" t="n">
        <v>2404171</v>
      </c>
      <c r="K442" s="38" t="n">
        <v>-0.31</v>
      </c>
    </row>
    <row r="443">
      <c r="A443" s="35" t="inlineStr">
        <is>
          <t>TRIDENT</t>
        </is>
      </c>
      <c r="C443" s="36" t="n">
        <v>26.1</v>
      </c>
      <c r="D443" s="36" t="n">
        <v>25.16</v>
      </c>
      <c r="E443" s="36" t="n">
        <v>26.8</v>
      </c>
      <c r="F443" s="36" t="n">
        <v>34.1</v>
      </c>
      <c r="G443" s="36" t="n">
        <v>30.94</v>
      </c>
      <c r="H443" s="36" t="n">
        <v>22.06</v>
      </c>
      <c r="I443" s="37" t="n">
        <v>7379272</v>
      </c>
      <c r="J443" s="37" t="n">
        <v>7008695</v>
      </c>
      <c r="K443" s="38" t="n">
        <v>2.59</v>
      </c>
    </row>
    <row r="444">
      <c r="A444" s="35" t="inlineStr">
        <is>
          <t>DATAMATICS</t>
        </is>
      </c>
      <c r="C444" s="36" t="n">
        <v>723.95</v>
      </c>
      <c r="D444" s="36" t="n">
        <v>723.63</v>
      </c>
      <c r="E444" s="36" t="n">
        <v>757.92</v>
      </c>
      <c r="F444" s="36" t="n">
        <v>1113.95</v>
      </c>
      <c r="G444" s="36" t="n">
        <v>884</v>
      </c>
      <c r="H444" s="36" t="n">
        <v>637.25</v>
      </c>
      <c r="I444" s="37" t="n">
        <v>95884</v>
      </c>
      <c r="J444" s="37" t="n">
        <v>92291</v>
      </c>
      <c r="K444" s="38" t="n">
        <v>1.85</v>
      </c>
    </row>
    <row r="445">
      <c r="A445" s="35" t="inlineStr">
        <is>
          <t>POONAWALLA</t>
        </is>
      </c>
      <c r="C445" s="36" t="n">
        <v>424.1</v>
      </c>
      <c r="D445" s="36" t="n">
        <v>420.21</v>
      </c>
      <c r="E445" s="36" t="n">
        <v>437.76</v>
      </c>
      <c r="F445" s="36" t="n">
        <v>570.4</v>
      </c>
      <c r="G445" s="36" t="n">
        <v>503</v>
      </c>
      <c r="H445" s="36" t="n">
        <v>368.4</v>
      </c>
      <c r="I445" s="37" t="n">
        <v>2035643</v>
      </c>
      <c r="J445" s="37" t="n">
        <v>1445050</v>
      </c>
      <c r="K445" s="38" t="n">
        <v>-10.01</v>
      </c>
    </row>
    <row r="446">
      <c r="A446" s="35" t="inlineStr">
        <is>
          <t>ICICIPRULI</t>
        </is>
      </c>
      <c r="C446" s="36" t="n">
        <v>540.05</v>
      </c>
      <c r="D446" s="36" t="n">
        <v>580.0599999999999</v>
      </c>
      <c r="E446" s="36" t="n">
        <v>611.3</v>
      </c>
      <c r="F446" s="36" t="n">
        <v>706.8</v>
      </c>
      <c r="G446" s="36" t="n">
        <v>700</v>
      </c>
      <c r="H446" s="36" t="n">
        <v>503.4</v>
      </c>
      <c r="I446" s="37" t="n">
        <v>1445464</v>
      </c>
      <c r="J446" s="37" t="n">
        <v>1050325</v>
      </c>
      <c r="K446" s="38" t="n">
        <v>-19.31</v>
      </c>
    </row>
    <row r="447">
      <c r="A447" s="35" t="inlineStr">
        <is>
          <t>NUVAMA</t>
        </is>
      </c>
      <c r="C447" s="36" t="n">
        <v>1371.7</v>
      </c>
      <c r="D447" s="36" t="n">
        <v>1278.97</v>
      </c>
      <c r="E447" s="36" t="n">
        <v>1308.05</v>
      </c>
      <c r="F447" s="36" t="n">
        <v>1621.95</v>
      </c>
      <c r="G447" s="36" t="n">
        <v>1501.9</v>
      </c>
      <c r="H447" s="36" t="n">
        <v>1110.6</v>
      </c>
      <c r="I447" s="37" t="n">
        <v>368879</v>
      </c>
      <c r="J447" s="37" t="n">
        <v>368094</v>
      </c>
      <c r="K447" s="38" t="n">
        <v>-3.41</v>
      </c>
    </row>
    <row r="448">
      <c r="A448" s="35" t="inlineStr">
        <is>
          <t>BALKRISIND</t>
        </is>
      </c>
      <c r="C448" s="36" t="n">
        <v>2309.7</v>
      </c>
      <c r="D448" s="36" t="n">
        <v>2284</v>
      </c>
      <c r="E448" s="36" t="n">
        <v>2377.45</v>
      </c>
      <c r="F448" s="36" t="n">
        <v>2799.48</v>
      </c>
      <c r="G448" s="36" t="n">
        <v>2775</v>
      </c>
      <c r="H448" s="36" t="n">
        <v>2040.2</v>
      </c>
      <c r="I448" s="37" t="n">
        <v>139527</v>
      </c>
      <c r="J448" s="37" t="n">
        <v>142315</v>
      </c>
      <c r="K448" s="38" t="n">
        <v>-4.65</v>
      </c>
    </row>
    <row r="449">
      <c r="A449" s="35" t="inlineStr">
        <is>
          <t>JUBLFOOD</t>
        </is>
      </c>
      <c r="C449" s="36" t="n">
        <v>493.1</v>
      </c>
      <c r="D449" s="36" t="n">
        <v>478.81</v>
      </c>
      <c r="E449" s="36" t="n">
        <v>558.46</v>
      </c>
      <c r="F449" s="36" t="n">
        <v>726.6799999999999</v>
      </c>
      <c r="G449" s="36" t="n">
        <v>575</v>
      </c>
      <c r="H449" s="36" t="n">
        <v>413.15</v>
      </c>
      <c r="I449" s="37" t="n">
        <v>2801827</v>
      </c>
      <c r="J449" s="37" t="n">
        <v>2027301</v>
      </c>
      <c r="K449" s="38" t="n">
        <v>-6.84</v>
      </c>
    </row>
    <row r="450">
      <c r="A450" s="35" t="inlineStr">
        <is>
          <t>KAJARIACER</t>
        </is>
      </c>
      <c r="C450" s="36" t="n">
        <v>1202.7</v>
      </c>
      <c r="D450" s="36" t="n">
        <v>1023.53</v>
      </c>
      <c r="E450" s="36" t="n">
        <v>1023.38</v>
      </c>
      <c r="F450" s="36" t="n">
        <v>1309.03</v>
      </c>
      <c r="G450" s="36" t="n">
        <v>1220.75</v>
      </c>
      <c r="H450" s="36" t="n">
        <v>883.65</v>
      </c>
      <c r="I450" s="37" t="n">
        <v>270685</v>
      </c>
      <c r="J450" s="37" t="n">
        <v>251174</v>
      </c>
      <c r="K450" s="38" t="n">
        <v>20.81</v>
      </c>
    </row>
    <row r="451">
      <c r="A451" s="35" t="inlineStr">
        <is>
          <t>NEOGEN</t>
        </is>
      </c>
      <c r="C451" s="36" t="n">
        <v>1658.6</v>
      </c>
      <c r="D451" s="36" t="n">
        <v>1343.54</v>
      </c>
      <c r="E451" s="36" t="n">
        <v>1364.73</v>
      </c>
      <c r="F451" s="36" t="n">
        <v>1795.86</v>
      </c>
      <c r="G451" s="36" t="n">
        <v>1705</v>
      </c>
      <c r="H451" s="36" t="n">
        <v>1112</v>
      </c>
      <c r="I451" s="37" t="n">
        <v>63488</v>
      </c>
      <c r="J451" s="37" t="n">
        <v>54987</v>
      </c>
      <c r="K451" s="38" t="n">
        <v>26.04</v>
      </c>
    </row>
    <row r="452">
      <c r="A452" s="35" t="inlineStr">
        <is>
          <t>GOKULAGRO</t>
        </is>
      </c>
      <c r="C452" s="36" t="n">
        <v>235.49</v>
      </c>
      <c r="D452" s="36" t="n">
        <v>186.2</v>
      </c>
      <c r="E452" s="36" t="n">
        <v>171.87</v>
      </c>
      <c r="F452" s="36" t="n">
        <v>246</v>
      </c>
      <c r="G452" s="36" t="n">
        <v>246</v>
      </c>
      <c r="H452" s="36" t="n">
        <v>152.82</v>
      </c>
      <c r="I452" s="37" t="n">
        <v>646441</v>
      </c>
      <c r="J452" s="37" t="n">
        <v>338912</v>
      </c>
      <c r="K452" s="38" t="n">
        <v>43.61</v>
      </c>
    </row>
    <row r="453">
      <c r="A453" s="35" t="inlineStr">
        <is>
          <t>REFEX</t>
        </is>
      </c>
      <c r="C453" s="36" t="n">
        <v>260.75</v>
      </c>
      <c r="D453" s="36" t="n">
        <v>228.87</v>
      </c>
      <c r="E453" s="36" t="n">
        <v>297.08</v>
      </c>
      <c r="F453" s="36" t="n">
        <v>533.29</v>
      </c>
      <c r="G453" s="36" t="n">
        <v>264.5</v>
      </c>
      <c r="H453" s="36" t="n">
        <v>189.11</v>
      </c>
      <c r="I453" s="37" t="n">
        <v>673739</v>
      </c>
      <c r="J453" s="37" t="n">
        <v>635743</v>
      </c>
      <c r="K453" s="38" t="n">
        <v>10.21</v>
      </c>
    </row>
    <row r="454">
      <c r="A454" s="35" t="inlineStr">
        <is>
          <t>CONCORDBIO</t>
        </is>
      </c>
      <c r="C454" s="36" t="n">
        <v>1052.2</v>
      </c>
      <c r="D454" s="36" t="n">
        <v>1123.48</v>
      </c>
      <c r="E454" s="36" t="n">
        <v>1345.03</v>
      </c>
      <c r="F454" s="36" t="n">
        <v>2136.77</v>
      </c>
      <c r="G454" s="36" t="n">
        <v>1385</v>
      </c>
      <c r="H454" s="36" t="n">
        <v>1014.8</v>
      </c>
      <c r="I454" s="37" t="n">
        <v>215189</v>
      </c>
      <c r="J454" s="37" t="n">
        <v>153539</v>
      </c>
      <c r="K454" s="38" t="n">
        <v>-22.12</v>
      </c>
    </row>
    <row r="455">
      <c r="A455" s="35" t="inlineStr">
        <is>
          <t>TECHM</t>
        </is>
      </c>
      <c r="C455" s="36" t="n">
        <v>1462.6</v>
      </c>
      <c r="D455" s="36" t="n">
        <v>1459.93</v>
      </c>
      <c r="E455" s="36" t="n">
        <v>1492.61</v>
      </c>
      <c r="F455" s="36" t="n">
        <v>1854</v>
      </c>
      <c r="G455" s="36" t="n">
        <v>1854</v>
      </c>
      <c r="H455" s="36" t="n">
        <v>1331.7</v>
      </c>
      <c r="I455" s="37" t="n">
        <v>2001948</v>
      </c>
      <c r="J455" s="37" t="n">
        <v>1859402</v>
      </c>
      <c r="K455" s="38" t="n">
        <v>-7.93</v>
      </c>
    </row>
    <row r="456">
      <c r="A456" s="35" t="inlineStr">
        <is>
          <t>SKFINDIA</t>
        </is>
      </c>
      <c r="C456" s="36" t="n">
        <v>1751.1</v>
      </c>
      <c r="D456" s="36" t="n">
        <v>1672.84</v>
      </c>
      <c r="E456" s="36" t="n">
        <v>2508.46</v>
      </c>
      <c r="F456" s="36" t="n">
        <v>5074</v>
      </c>
      <c r="G456" s="36" t="n">
        <v>1914</v>
      </c>
      <c r="H456" s="36" t="n">
        <v>1413.7</v>
      </c>
      <c r="I456" s="37" t="n">
        <v>30530</v>
      </c>
      <c r="J456" s="37" t="n">
        <v>44427</v>
      </c>
      <c r="K456" s="38" t="n">
        <v>-5.94</v>
      </c>
    </row>
    <row r="457">
      <c r="A457" s="35" t="inlineStr">
        <is>
          <t>NBCC</t>
        </is>
      </c>
      <c r="C457" s="36" t="n">
        <v>94.2</v>
      </c>
      <c r="D457" s="36" t="n">
        <v>91.29000000000001</v>
      </c>
      <c r="E457" s="36" t="n">
        <v>101.06</v>
      </c>
      <c r="F457" s="36" t="n">
        <v>129.86</v>
      </c>
      <c r="G457" s="36" t="n">
        <v>106.71</v>
      </c>
      <c r="H457" s="36" t="n">
        <v>77.52</v>
      </c>
      <c r="I457" s="37" t="n">
        <v>12193416</v>
      </c>
      <c r="J457" s="37" t="n">
        <v>11203110</v>
      </c>
      <c r="K457" s="38" t="n">
        <v>-10.33</v>
      </c>
    </row>
    <row r="458">
      <c r="A458" s="35" t="inlineStr">
        <is>
          <t>MGL</t>
        </is>
      </c>
      <c r="C458" s="36" t="n">
        <v>1147.25</v>
      </c>
      <c r="D458" s="36" t="n">
        <v>1061.99</v>
      </c>
      <c r="E458" s="36" t="n">
        <v>1159.98</v>
      </c>
      <c r="F458" s="36" t="n">
        <v>1549.34</v>
      </c>
      <c r="G458" s="36" t="n">
        <v>1233</v>
      </c>
      <c r="H458" s="36" t="n">
        <v>908.4</v>
      </c>
      <c r="I458" s="37" t="n">
        <v>423182</v>
      </c>
      <c r="J458" s="37" t="n">
        <v>311270</v>
      </c>
      <c r="K458" s="38" t="n">
        <v>10.58</v>
      </c>
    </row>
    <row r="459">
      <c r="A459" s="35" t="inlineStr">
        <is>
          <t>ETHOSLTD</t>
        </is>
      </c>
      <c r="C459" s="36" t="n">
        <v>2717.9</v>
      </c>
      <c r="D459" s="36" t="n">
        <v>2402.25</v>
      </c>
      <c r="E459" s="36" t="n">
        <v>2587.17</v>
      </c>
      <c r="F459" s="36" t="n">
        <v>3245.9</v>
      </c>
      <c r="G459" s="36" t="n">
        <v>2832</v>
      </c>
      <c r="H459" s="36" t="n">
        <v>2020.4</v>
      </c>
      <c r="I459" s="37" t="n">
        <v>23185</v>
      </c>
      <c r="J459" s="37" t="n">
        <v>20872</v>
      </c>
      <c r="K459" s="38" t="n">
        <v>1.49</v>
      </c>
    </row>
    <row r="460">
      <c r="A460" s="35" t="inlineStr">
        <is>
          <t>IMFA</t>
        </is>
      </c>
      <c r="C460" s="36" t="n">
        <v>1519.9</v>
      </c>
      <c r="D460" s="36" t="n">
        <v>1325.67</v>
      </c>
      <c r="E460" s="36" t="n">
        <v>1156.1</v>
      </c>
      <c r="F460" s="36" t="n">
        <v>1582.7</v>
      </c>
      <c r="G460" s="36" t="n">
        <v>1582.7</v>
      </c>
      <c r="H460" s="36" t="n">
        <v>1091</v>
      </c>
      <c r="I460" s="37" t="n">
        <v>135952</v>
      </c>
      <c r="J460" s="37" t="n">
        <v>139550</v>
      </c>
      <c r="K460" s="38" t="n">
        <v>19.82</v>
      </c>
    </row>
    <row r="461">
      <c r="A461" s="35" t="inlineStr">
        <is>
          <t>SBFC</t>
        </is>
      </c>
      <c r="C461" s="36" t="n">
        <v>97.05</v>
      </c>
      <c r="D461" s="36" t="n">
        <v>92.75</v>
      </c>
      <c r="E461" s="36" t="n">
        <v>100.32</v>
      </c>
      <c r="F461" s="36" t="n">
        <v>123</v>
      </c>
      <c r="G461" s="36" t="n">
        <v>109.75</v>
      </c>
      <c r="H461" s="36" t="n">
        <v>80.95</v>
      </c>
      <c r="I461" s="37" t="n">
        <v>1533707</v>
      </c>
      <c r="J461" s="37" t="n">
        <v>1269654</v>
      </c>
      <c r="K461" s="38" t="n">
        <v>-4.8</v>
      </c>
    </row>
    <row r="462">
      <c r="A462" s="35" t="inlineStr">
        <is>
          <t>CLEAN</t>
        </is>
      </c>
      <c r="C462" s="36" t="n">
        <v>765.55</v>
      </c>
      <c r="D462" s="36" t="n">
        <v>748.55</v>
      </c>
      <c r="E462" s="36" t="n">
        <v>923.9299999999999</v>
      </c>
      <c r="F462" s="36" t="n">
        <v>1590.61</v>
      </c>
      <c r="G462" s="36" t="n">
        <v>883.76</v>
      </c>
      <c r="H462" s="36" t="n">
        <v>656.4</v>
      </c>
      <c r="I462" s="37" t="n">
        <v>236118</v>
      </c>
      <c r="J462" s="37" t="n">
        <v>205263</v>
      </c>
      <c r="K462" s="38" t="n">
        <v>-10.85</v>
      </c>
    </row>
    <row r="463">
      <c r="A463" s="35" t="inlineStr">
        <is>
          <t>SAILIFE</t>
        </is>
      </c>
      <c r="C463" s="36" t="n">
        <v>1006</v>
      </c>
      <c r="D463" s="36" t="n">
        <v>962.73</v>
      </c>
      <c r="E463" s="36" t="n">
        <v>888.71</v>
      </c>
      <c r="F463" s="36" t="n">
        <v>1084</v>
      </c>
      <c r="G463" s="36" t="n">
        <v>1084</v>
      </c>
      <c r="H463" s="36" t="n">
        <v>795</v>
      </c>
      <c r="I463" s="37" t="n">
        <v>409759</v>
      </c>
      <c r="J463" s="37" t="n">
        <v>530638</v>
      </c>
      <c r="K463" s="38" t="n">
        <v>11.12</v>
      </c>
    </row>
    <row r="464">
      <c r="A464" s="35" t="inlineStr">
        <is>
          <t>FIEMIND</t>
        </is>
      </c>
      <c r="C464" s="36" t="n">
        <v>2275.2</v>
      </c>
      <c r="D464" s="36" t="n">
        <v>2155</v>
      </c>
      <c r="E464" s="36" t="n">
        <v>2073.24</v>
      </c>
      <c r="F464" s="36" t="n">
        <v>2555.3</v>
      </c>
      <c r="G464" s="36" t="n">
        <v>2555.3</v>
      </c>
      <c r="H464" s="36" t="n">
        <v>1910.9</v>
      </c>
      <c r="I464" s="37" t="n">
        <v>45773</v>
      </c>
      <c r="J464" s="37" t="n">
        <v>56172</v>
      </c>
      <c r="K464" s="38" t="n">
        <v>1.04</v>
      </c>
    </row>
    <row r="465">
      <c r="A465" s="35" t="inlineStr">
        <is>
          <t>WAAREERTL</t>
        </is>
      </c>
      <c r="C465" s="36" t="n">
        <v>1093.35</v>
      </c>
      <c r="D465" s="36" t="n">
        <v>918.24</v>
      </c>
      <c r="E465" s="36" t="n">
        <v>971.54</v>
      </c>
      <c r="F465" s="36" t="n">
        <v>1358</v>
      </c>
      <c r="G465" s="36" t="n">
        <v>1202</v>
      </c>
      <c r="H465" s="36" t="n">
        <v>782.3</v>
      </c>
      <c r="I465" s="37" t="n">
        <v>337365</v>
      </c>
      <c r="J465" s="37" t="n">
        <v>281866</v>
      </c>
      <c r="K465" s="38" t="n">
        <v>8.65</v>
      </c>
    </row>
    <row r="466">
      <c r="A466" s="35" t="inlineStr">
        <is>
          <t>SANDUMA</t>
        </is>
      </c>
      <c r="C466" s="36" t="n">
        <v>214</v>
      </c>
      <c r="D466" s="36" t="n">
        <v>201.3</v>
      </c>
      <c r="E466" s="36" t="n">
        <v>194.63</v>
      </c>
      <c r="F466" s="36" t="n">
        <v>273</v>
      </c>
      <c r="G466" s="36" t="n">
        <v>235.83</v>
      </c>
      <c r="H466" s="36" t="n">
        <v>171.59</v>
      </c>
      <c r="I466" s="37" t="n">
        <v>1364427</v>
      </c>
      <c r="J466" s="37" t="n">
        <v>1588764</v>
      </c>
      <c r="K466" s="38" t="n">
        <v>-7.92</v>
      </c>
    </row>
    <row r="467">
      <c r="A467" s="35" t="inlineStr">
        <is>
          <t>MANORAMA</t>
        </is>
      </c>
      <c r="C467" s="36" t="n">
        <v>1455.5</v>
      </c>
      <c r="D467" s="36" t="n">
        <v>1328.26</v>
      </c>
      <c r="E467" s="36" t="n">
        <v>1347.85</v>
      </c>
      <c r="F467" s="36" t="n">
        <v>1759.25</v>
      </c>
      <c r="G467" s="36" t="n">
        <v>1519</v>
      </c>
      <c r="H467" s="36" t="n">
        <v>1075.8</v>
      </c>
      <c r="I467" s="37" t="n">
        <v>107387</v>
      </c>
      <c r="J467" s="37" t="n">
        <v>103197</v>
      </c>
      <c r="K467" s="38" t="n">
        <v>11.47</v>
      </c>
    </row>
    <row r="468">
      <c r="A468" s="35" t="inlineStr">
        <is>
          <t>IFCI</t>
        </is>
      </c>
      <c r="C468" s="36" t="n">
        <v>61.74</v>
      </c>
      <c r="D468" s="36" t="n">
        <v>56.37</v>
      </c>
      <c r="E468" s="36" t="n">
        <v>54.74</v>
      </c>
      <c r="F468" s="36" t="n">
        <v>74.5</v>
      </c>
      <c r="G468" s="36" t="n">
        <v>68.13</v>
      </c>
      <c r="H468" s="36" t="n">
        <v>47.88</v>
      </c>
      <c r="I468" s="37" t="n">
        <v>14489797</v>
      </c>
      <c r="J468" s="37" t="n">
        <v>15039929</v>
      </c>
      <c r="K468" s="38" t="n">
        <v>10.05</v>
      </c>
    </row>
    <row r="469">
      <c r="A469" s="35" t="inlineStr">
        <is>
          <t>ARE&amp;M</t>
        </is>
      </c>
      <c r="C469" s="36" t="n">
        <v>898.7</v>
      </c>
      <c r="D469" s="36" t="n">
        <v>792.99</v>
      </c>
      <c r="E469" s="36" t="n">
        <v>887.23</v>
      </c>
      <c r="F469" s="36" t="n">
        <v>1082</v>
      </c>
      <c r="G469" s="36" t="n">
        <v>924</v>
      </c>
      <c r="H469" s="36" t="n">
        <v>672.45</v>
      </c>
      <c r="I469" s="37" t="n">
        <v>568522</v>
      </c>
      <c r="J469" s="37" t="n">
        <v>377640</v>
      </c>
      <c r="K469" s="38" t="n">
        <v>1.91</v>
      </c>
    </row>
    <row r="470">
      <c r="A470" s="35" t="inlineStr">
        <is>
          <t>BANDHANBNK</t>
        </is>
      </c>
      <c r="C470" s="36" t="n">
        <v>176.52</v>
      </c>
      <c r="D470" s="36" t="n">
        <v>164.09</v>
      </c>
      <c r="E470" s="36" t="n">
        <v>161.51</v>
      </c>
      <c r="F470" s="36" t="n">
        <v>190.74</v>
      </c>
      <c r="G470" s="36" t="n">
        <v>190.23</v>
      </c>
      <c r="H470" s="36" t="n">
        <v>137.98</v>
      </c>
      <c r="I470" s="37" t="n">
        <v>8691283</v>
      </c>
      <c r="J470" s="37" t="n">
        <v>8680788</v>
      </c>
      <c r="K470" s="38" t="n">
        <v>21.47</v>
      </c>
    </row>
    <row r="471">
      <c r="A471" s="35" t="inlineStr">
        <is>
          <t>AVALON</t>
        </is>
      </c>
      <c r="C471" s="36" t="n">
        <v>1079.45</v>
      </c>
      <c r="D471" s="36" t="n">
        <v>989.1799999999999</v>
      </c>
      <c r="E471" s="36" t="n">
        <v>949.41</v>
      </c>
      <c r="F471" s="36" t="n">
        <v>1318</v>
      </c>
      <c r="G471" s="36" t="n">
        <v>1152</v>
      </c>
      <c r="H471" s="36" t="n">
        <v>793.85</v>
      </c>
      <c r="I471" s="37" t="n">
        <v>165519</v>
      </c>
      <c r="J471" s="37" t="n">
        <v>149587</v>
      </c>
      <c r="K471" s="38" t="n">
        <v>19.33</v>
      </c>
    </row>
    <row r="472">
      <c r="A472" s="35" t="inlineStr">
        <is>
          <t>PARADEEP</t>
        </is>
      </c>
      <c r="C472" s="36" t="n">
        <v>136.27</v>
      </c>
      <c r="D472" s="36" t="n">
        <v>122.42</v>
      </c>
      <c r="E472" s="36" t="n">
        <v>145.06</v>
      </c>
      <c r="F472" s="36" t="n">
        <v>233.32</v>
      </c>
      <c r="G472" s="36" t="n">
        <v>149.17</v>
      </c>
      <c r="H472" s="36" t="n">
        <v>103.19</v>
      </c>
      <c r="I472" s="37" t="n">
        <v>5983837</v>
      </c>
      <c r="J472" s="37" t="n">
        <v>5045620</v>
      </c>
      <c r="K472" s="38" t="n">
        <v>-7.7</v>
      </c>
    </row>
    <row r="473">
      <c r="A473" s="35" t="inlineStr">
        <is>
          <t>JAYNECOIND</t>
        </is>
      </c>
      <c r="C473" s="36" t="n">
        <v>97.29000000000001</v>
      </c>
      <c r="D473" s="36" t="n">
        <v>80.89</v>
      </c>
      <c r="E473" s="36" t="n">
        <v>70.59</v>
      </c>
      <c r="F473" s="36" t="n">
        <v>101.64</v>
      </c>
      <c r="G473" s="36" t="n">
        <v>101.64</v>
      </c>
      <c r="H473" s="36" t="n">
        <v>68.90000000000001</v>
      </c>
      <c r="I473" s="37" t="n">
        <v>5417201</v>
      </c>
      <c r="J473" s="37" t="n">
        <v>4309138</v>
      </c>
      <c r="K473" s="38" t="n">
        <v>11.33</v>
      </c>
    </row>
    <row r="474">
      <c r="A474" s="35" t="inlineStr">
        <is>
          <t>RALLIS</t>
        </is>
      </c>
      <c r="C474" s="36" t="n">
        <v>265.96</v>
      </c>
      <c r="D474" s="36" t="n">
        <v>256.08</v>
      </c>
      <c r="E474" s="36" t="n">
        <v>270.88</v>
      </c>
      <c r="F474" s="36" t="n">
        <v>385.9</v>
      </c>
      <c r="G474" s="36" t="n">
        <v>298.4</v>
      </c>
      <c r="H474" s="36" t="n">
        <v>218.25</v>
      </c>
      <c r="I474" s="37" t="n">
        <v>281865</v>
      </c>
      <c r="J474" s="37" t="n">
        <v>353612</v>
      </c>
      <c r="K474" s="38" t="n">
        <v>7.33</v>
      </c>
    </row>
    <row r="475">
      <c r="A475" s="35" t="inlineStr">
        <is>
          <t>BLS</t>
        </is>
      </c>
      <c r="C475" s="36" t="n">
        <v>292.02</v>
      </c>
      <c r="D475" s="36" t="n">
        <v>275.63</v>
      </c>
      <c r="E475" s="36" t="n">
        <v>308.28</v>
      </c>
      <c r="F475" s="36" t="n">
        <v>417.85</v>
      </c>
      <c r="G475" s="36" t="n">
        <v>312.8</v>
      </c>
      <c r="H475" s="36" t="n">
        <v>221.75</v>
      </c>
      <c r="I475" s="37" t="n">
        <v>2718749</v>
      </c>
      <c r="J475" s="37" t="n">
        <v>1412992</v>
      </c>
      <c r="K475" s="38" t="n">
        <v>-4.06</v>
      </c>
    </row>
    <row r="476">
      <c r="A476" s="35" t="inlineStr">
        <is>
          <t>HUDCO</t>
        </is>
      </c>
      <c r="C476" s="36" t="n">
        <v>199.88</v>
      </c>
      <c r="D476" s="36" t="n">
        <v>186.16</v>
      </c>
      <c r="E476" s="36" t="n">
        <v>203.88</v>
      </c>
      <c r="F476" s="36" t="n">
        <v>246.85</v>
      </c>
      <c r="G476" s="36" t="n">
        <v>216.3</v>
      </c>
      <c r="H476" s="36" t="n">
        <v>159.58</v>
      </c>
      <c r="I476" s="37" t="n">
        <v>4149865</v>
      </c>
      <c r="J476" s="37" t="n">
        <v>3678743</v>
      </c>
      <c r="K476" s="38" t="n">
        <v>-6.53</v>
      </c>
    </row>
    <row r="477">
      <c r="A477" s="35" t="inlineStr">
        <is>
          <t>AARTIPHARM</t>
        </is>
      </c>
      <c r="C477" s="36" t="n">
        <v>693.95</v>
      </c>
      <c r="D477" s="36" t="n">
        <v>688.47</v>
      </c>
      <c r="E477" s="36" t="n">
        <v>746.84</v>
      </c>
      <c r="F477" s="36" t="n">
        <v>966.33</v>
      </c>
      <c r="G477" s="36" t="n">
        <v>816.17</v>
      </c>
      <c r="H477" s="36" t="n">
        <v>591.95</v>
      </c>
      <c r="I477" s="37" t="n">
        <v>176765</v>
      </c>
      <c r="J477" s="37" t="n">
        <v>171833</v>
      </c>
      <c r="K477" s="38" t="n">
        <v>-12.18</v>
      </c>
    </row>
    <row r="478">
      <c r="A478" s="35" t="inlineStr">
        <is>
          <t>AETHER</t>
        </is>
      </c>
      <c r="C478" s="36" t="n">
        <v>1183.3</v>
      </c>
      <c r="D478" s="36" t="n">
        <v>1074.45</v>
      </c>
      <c r="E478" s="36" t="n">
        <v>927.88</v>
      </c>
      <c r="F478" s="36" t="n">
        <v>1250</v>
      </c>
      <c r="G478" s="36" t="n">
        <v>1250</v>
      </c>
      <c r="H478" s="36" t="n">
        <v>917.05</v>
      </c>
      <c r="I478" s="37" t="n">
        <v>305310</v>
      </c>
      <c r="J478" s="37" t="n">
        <v>227629</v>
      </c>
      <c r="K478" s="38" t="n">
        <v>18.79</v>
      </c>
    </row>
    <row r="479">
      <c r="A479" s="35" t="inlineStr">
        <is>
          <t>AZAD</t>
        </is>
      </c>
      <c r="C479" s="36" t="n">
        <v>1950.4</v>
      </c>
      <c r="D479" s="36" t="n">
        <v>1645.41</v>
      </c>
      <c r="E479" s="36" t="n">
        <v>1613.24</v>
      </c>
      <c r="F479" s="36" t="n">
        <v>1985</v>
      </c>
      <c r="G479" s="36" t="n">
        <v>1985</v>
      </c>
      <c r="H479" s="36" t="n">
        <v>1366.5</v>
      </c>
      <c r="I479" s="37" t="n">
        <v>320988</v>
      </c>
      <c r="J479" s="37" t="n">
        <v>183527</v>
      </c>
      <c r="K479" s="38" t="n">
        <v>24.83</v>
      </c>
    </row>
    <row r="480">
      <c r="A480" s="35" t="inlineStr">
        <is>
          <t>SUPRIYA</t>
        </is>
      </c>
      <c r="C480" s="36" t="n">
        <v>656</v>
      </c>
      <c r="D480" s="36" t="n">
        <v>635.0700000000001</v>
      </c>
      <c r="E480" s="36" t="n">
        <v>680.71</v>
      </c>
      <c r="F480" s="36" t="n">
        <v>832.4</v>
      </c>
      <c r="G480" s="36" t="n">
        <v>755</v>
      </c>
      <c r="H480" s="36" t="n">
        <v>553.35</v>
      </c>
      <c r="I480" s="37" t="n">
        <v>110606</v>
      </c>
      <c r="J480" s="37" t="n">
        <v>121283</v>
      </c>
      <c r="K480" s="38" t="n">
        <v>-11.18</v>
      </c>
    </row>
    <row r="481">
      <c r="A481" s="35" t="inlineStr">
        <is>
          <t>PETRONET</t>
        </is>
      </c>
      <c r="C481" s="36" t="n">
        <v>279.55</v>
      </c>
      <c r="D481" s="36" t="n">
        <v>276.05</v>
      </c>
      <c r="E481" s="36" t="n">
        <v>281.75</v>
      </c>
      <c r="F481" s="36" t="n">
        <v>326.4</v>
      </c>
      <c r="G481" s="36" t="n">
        <v>326.4</v>
      </c>
      <c r="H481" s="36" t="n">
        <v>238.05</v>
      </c>
      <c r="I481" s="37" t="n">
        <v>3988110</v>
      </c>
      <c r="J481" s="37" t="n">
        <v>3100244</v>
      </c>
      <c r="K481" s="38" t="n">
        <v>-2.34</v>
      </c>
    </row>
    <row r="482">
      <c r="A482" s="35" t="inlineStr">
        <is>
          <t>SENCO</t>
        </is>
      </c>
      <c r="C482" s="36" t="n">
        <v>329.9</v>
      </c>
      <c r="D482" s="36" t="n">
        <v>314.72</v>
      </c>
      <c r="E482" s="36" t="n">
        <v>328.06</v>
      </c>
      <c r="F482" s="36" t="n">
        <v>403.94</v>
      </c>
      <c r="G482" s="36" t="n">
        <v>375.16</v>
      </c>
      <c r="H482" s="36" t="n">
        <v>278.85</v>
      </c>
      <c r="I482" s="37" t="n">
        <v>602571</v>
      </c>
      <c r="J482" s="37" t="n">
        <v>630725</v>
      </c>
      <c r="K482" s="38" t="n">
        <v>-0.6899999999999999</v>
      </c>
    </row>
    <row r="483">
      <c r="A483" s="35" t="inlineStr">
        <is>
          <t>MOTILALOFS</t>
        </is>
      </c>
      <c r="C483" s="36" t="n">
        <v>811.2</v>
      </c>
      <c r="D483" s="36" t="n">
        <v>750.1900000000001</v>
      </c>
      <c r="E483" s="36" t="n">
        <v>804.35</v>
      </c>
      <c r="F483" s="36" t="n">
        <v>1088.32</v>
      </c>
      <c r="G483" s="36" t="n">
        <v>869.98</v>
      </c>
      <c r="H483" s="36" t="n">
        <v>628.2</v>
      </c>
      <c r="I483" s="37" t="n">
        <v>1055822</v>
      </c>
      <c r="J483" s="37" t="n">
        <v>892716</v>
      </c>
      <c r="K483" s="38" t="n">
        <v>-5.08</v>
      </c>
    </row>
    <row r="484">
      <c r="A484" s="35" t="inlineStr">
        <is>
          <t>SCI</t>
        </is>
      </c>
      <c r="C484" s="36" t="n">
        <v>297.89</v>
      </c>
      <c r="D484" s="36" t="n">
        <v>248.72</v>
      </c>
      <c r="E484" s="36" t="n">
        <v>226.53</v>
      </c>
      <c r="F484" s="36" t="n">
        <v>322.8</v>
      </c>
      <c r="G484" s="36" t="n">
        <v>322.8</v>
      </c>
      <c r="H484" s="36" t="n">
        <v>199.11</v>
      </c>
      <c r="I484" s="37" t="n">
        <v>3750325</v>
      </c>
      <c r="J484" s="37" t="n">
        <v>3750325</v>
      </c>
      <c r="K484" s="38" t="n">
        <v>40.62</v>
      </c>
    </row>
    <row r="485">
      <c r="A485" s="35" t="inlineStr">
        <is>
          <t>TSFINV</t>
        </is>
      </c>
    </row>
    <row r="486">
      <c r="A486" s="35" t="inlineStr">
        <is>
          <t>DYNAMATECH</t>
        </is>
      </c>
      <c r="C486" s="36" t="n">
        <v>11541</v>
      </c>
      <c r="D486" s="36" t="n">
        <v>9801.66</v>
      </c>
      <c r="E486" s="36" t="n">
        <v>8666.24</v>
      </c>
      <c r="F486" s="36" t="n">
        <v>11800</v>
      </c>
      <c r="G486" s="36" t="n">
        <v>11800</v>
      </c>
      <c r="H486" s="36" t="n">
        <v>7895.43</v>
      </c>
      <c r="I486" s="37" t="n">
        <v>17562</v>
      </c>
      <c r="J486" s="37" t="n">
        <v>22550</v>
      </c>
      <c r="K486" s="38" t="n">
        <v>26.81</v>
      </c>
    </row>
    <row r="487">
      <c r="A487" s="35" t="inlineStr">
        <is>
          <t>ITCHOTELS</t>
        </is>
      </c>
      <c r="C487" s="36" t="n">
        <v>163.54</v>
      </c>
      <c r="D487" s="36" t="n">
        <v>164</v>
      </c>
      <c r="E487" s="36" t="n">
        <v>190.17</v>
      </c>
      <c r="F487" s="36" t="n">
        <v>261.62</v>
      </c>
      <c r="G487" s="36" t="n">
        <v>195.7</v>
      </c>
      <c r="H487" s="36" t="n">
        <v>137.87</v>
      </c>
      <c r="I487" s="37" t="n">
        <v>5787975</v>
      </c>
      <c r="J487" s="37" t="n">
        <v>4011508</v>
      </c>
      <c r="K487" s="38" t="n">
        <v>-15.02</v>
      </c>
    </row>
    <row r="488">
      <c r="A488" s="35" t="inlineStr">
        <is>
          <t>THANGAMAYL</t>
        </is>
      </c>
      <c r="C488" s="36" t="n">
        <v>4022.9</v>
      </c>
      <c r="D488" s="36" t="n">
        <v>3728.77</v>
      </c>
      <c r="E488" s="36" t="n">
        <v>3084.82</v>
      </c>
      <c r="F488" s="36" t="n">
        <v>4373</v>
      </c>
      <c r="G488" s="36" t="n">
        <v>4373</v>
      </c>
      <c r="H488" s="36" t="n">
        <v>3158.8</v>
      </c>
      <c r="I488" s="37" t="n">
        <v>111588</v>
      </c>
      <c r="J488" s="37" t="n">
        <v>111588</v>
      </c>
      <c r="K488" s="38" t="n">
        <v>4.98</v>
      </c>
    </row>
    <row r="489">
      <c r="A489" s="35" t="inlineStr">
        <is>
          <t>GSPL</t>
        </is>
      </c>
      <c r="C489" s="36" t="n">
        <v>281.61</v>
      </c>
      <c r="D489" s="36" t="n">
        <v>268.77</v>
      </c>
      <c r="E489" s="36" t="n">
        <v>293.09</v>
      </c>
      <c r="F489" s="36" t="n">
        <v>354.65</v>
      </c>
      <c r="G489" s="36" t="n">
        <v>316.1</v>
      </c>
      <c r="H489" s="36" t="n">
        <v>229.65</v>
      </c>
      <c r="I489" s="37" t="n">
        <v>864094</v>
      </c>
      <c r="J489" s="37" t="n">
        <v>635784</v>
      </c>
      <c r="K489" s="38" t="n">
        <v>-5.58</v>
      </c>
    </row>
    <row r="490">
      <c r="A490" s="35" t="inlineStr">
        <is>
          <t>CAPILLARY</t>
        </is>
      </c>
    </row>
    <row r="491">
      <c r="A491" s="35" t="inlineStr">
        <is>
          <t>KEC</t>
        </is>
      </c>
      <c r="C491" s="36" t="n">
        <v>588.95</v>
      </c>
      <c r="D491" s="36" t="n">
        <v>579.9299999999999</v>
      </c>
      <c r="E491" s="36" t="n">
        <v>683.89</v>
      </c>
      <c r="F491" s="36" t="n">
        <v>941.0599999999999</v>
      </c>
      <c r="G491" s="36" t="n">
        <v>704</v>
      </c>
      <c r="H491" s="36" t="n">
        <v>511.3</v>
      </c>
      <c r="I491" s="37" t="n">
        <v>733030</v>
      </c>
      <c r="J491" s="37" t="n">
        <v>670320</v>
      </c>
      <c r="K491" s="38" t="n">
        <v>-15.77</v>
      </c>
    </row>
    <row r="492">
      <c r="A492" s="35" t="inlineStr">
        <is>
          <t>KRBL</t>
        </is>
      </c>
      <c r="C492" s="36" t="n">
        <v>376.35</v>
      </c>
      <c r="D492" s="36" t="n">
        <v>332.52</v>
      </c>
      <c r="E492" s="36" t="n">
        <v>354.94</v>
      </c>
      <c r="F492" s="36" t="n">
        <v>490.71</v>
      </c>
      <c r="G492" s="36" t="n">
        <v>396.2</v>
      </c>
      <c r="H492" s="36" t="n">
        <v>278.95</v>
      </c>
      <c r="I492" s="37" t="n">
        <v>544673</v>
      </c>
      <c r="J492" s="37" t="n">
        <v>490881</v>
      </c>
      <c r="K492" s="38" t="n">
        <v>5.2</v>
      </c>
    </row>
    <row r="493">
      <c r="A493" s="35" t="inlineStr">
        <is>
          <t>HDBFS</t>
        </is>
      </c>
    </row>
    <row r="494">
      <c r="A494" s="35" t="inlineStr">
        <is>
          <t>BLUESTONE</t>
        </is>
      </c>
    </row>
    <row r="495">
      <c r="A495" s="35" t="inlineStr">
        <is>
          <t>GMRP&amp;UI</t>
        </is>
      </c>
      <c r="C495" s="36" t="n">
        <v>111.03</v>
      </c>
      <c r="D495" s="36" t="n">
        <v>105.81</v>
      </c>
      <c r="E495" s="36" t="n">
        <v>111.14</v>
      </c>
      <c r="F495" s="36" t="n">
        <v>136.95</v>
      </c>
      <c r="G495" s="36" t="n">
        <v>123</v>
      </c>
      <c r="H495" s="36" t="n">
        <v>89.73999999999999</v>
      </c>
      <c r="I495" s="37" t="n">
        <v>1408270</v>
      </c>
      <c r="J495" s="37" t="n">
        <v>1426804</v>
      </c>
      <c r="K495" s="38" t="n">
        <v>6.05</v>
      </c>
    </row>
    <row r="496">
      <c r="A496" s="35" t="inlineStr">
        <is>
          <t>GESHIP</t>
        </is>
      </c>
      <c r="C496" s="36" t="n">
        <v>1449.1</v>
      </c>
      <c r="D496" s="36" t="n">
        <v>1358.67</v>
      </c>
      <c r="E496" s="36" t="n">
        <v>1166.46</v>
      </c>
      <c r="F496" s="36" t="n">
        <v>1509</v>
      </c>
      <c r="G496" s="36" t="n">
        <v>1509</v>
      </c>
      <c r="H496" s="36" t="n">
        <v>1074.66</v>
      </c>
      <c r="I496" s="37" t="n">
        <v>506870</v>
      </c>
      <c r="J496" s="37" t="n">
        <v>501108</v>
      </c>
      <c r="K496" s="38" t="n">
        <v>30.05</v>
      </c>
    </row>
    <row r="497">
      <c r="A497" s="35" t="inlineStr">
        <is>
          <t>EQUITASBNK</t>
        </is>
      </c>
      <c r="C497" s="36" t="n">
        <v>65.23</v>
      </c>
      <c r="D497" s="36" t="n">
        <v>61.27</v>
      </c>
      <c r="E497" s="36" t="n">
        <v>62.11</v>
      </c>
      <c r="F497" s="36" t="n">
        <v>73.40000000000001</v>
      </c>
      <c r="G497" s="36" t="n">
        <v>73.40000000000001</v>
      </c>
      <c r="H497" s="36" t="n">
        <v>51.73</v>
      </c>
      <c r="I497" s="37" t="n">
        <v>2370829</v>
      </c>
      <c r="J497" s="37" t="n">
        <v>2955805</v>
      </c>
      <c r="K497" s="38" t="n">
        <v>-5.79</v>
      </c>
    </row>
    <row r="498">
      <c r="A498" s="35" t="inlineStr">
        <is>
          <t>WELSPUNLIV</t>
        </is>
      </c>
      <c r="C498" s="36" t="n">
        <v>133.37</v>
      </c>
      <c r="D498" s="36" t="n">
        <v>123.43</v>
      </c>
      <c r="E498" s="36" t="n">
        <v>127.04</v>
      </c>
      <c r="F498" s="36" t="n">
        <v>152.85</v>
      </c>
      <c r="G498" s="36" t="n">
        <v>152.85</v>
      </c>
      <c r="H498" s="36" t="n">
        <v>108.32</v>
      </c>
      <c r="I498" s="37" t="n">
        <v>1473929</v>
      </c>
      <c r="J498" s="37" t="n">
        <v>1914016</v>
      </c>
      <c r="K498" s="38" t="n">
        <v>6.07</v>
      </c>
    </row>
    <row r="499">
      <c r="A499" s="35" t="inlineStr">
        <is>
          <t>TARIL</t>
        </is>
      </c>
      <c r="C499" s="36" t="n">
        <v>309.6</v>
      </c>
      <c r="D499" s="36" t="n">
        <v>290.41</v>
      </c>
      <c r="E499" s="36" t="n">
        <v>354.1</v>
      </c>
      <c r="F499" s="36" t="n">
        <v>578.5</v>
      </c>
      <c r="G499" s="36" t="n">
        <v>335</v>
      </c>
      <c r="H499" s="36" t="n">
        <v>229.58</v>
      </c>
      <c r="I499" s="37" t="n">
        <v>4133994</v>
      </c>
      <c r="J499" s="37" t="n">
        <v>3646232</v>
      </c>
      <c r="K499" s="38" t="n">
        <v>14.12</v>
      </c>
    </row>
    <row r="500">
      <c r="A500" s="35" t="inlineStr">
        <is>
          <t>ELECON</t>
        </is>
      </c>
      <c r="C500" s="36" t="n">
        <v>504.1</v>
      </c>
      <c r="D500" s="36" t="n">
        <v>417.95</v>
      </c>
      <c r="E500" s="36" t="n">
        <v>480.56</v>
      </c>
      <c r="F500" s="36" t="n">
        <v>713.99</v>
      </c>
      <c r="G500" s="36" t="n">
        <v>511</v>
      </c>
      <c r="H500" s="36" t="n">
        <v>354.75</v>
      </c>
      <c r="I500" s="37" t="n">
        <v>586379</v>
      </c>
      <c r="J500" s="37" t="n">
        <v>447390</v>
      </c>
      <c r="K500" s="38" t="n">
        <v>27.31</v>
      </c>
    </row>
    <row r="501">
      <c r="A501" s="35" t="inlineStr">
        <is>
          <t>AFFLE</t>
        </is>
      </c>
      <c r="C501" s="36" t="n">
        <v>1446.4</v>
      </c>
      <c r="D501" s="36" t="n">
        <v>1455.98</v>
      </c>
      <c r="E501" s="36" t="n">
        <v>1637.41</v>
      </c>
      <c r="F501" s="36" t="n">
        <v>2185.9</v>
      </c>
      <c r="G501" s="36" t="n">
        <v>1757.5</v>
      </c>
      <c r="H501" s="36" t="n">
        <v>1268.7</v>
      </c>
      <c r="I501" s="37" t="n">
        <v>264594</v>
      </c>
      <c r="J501" s="37" t="n">
        <v>237245</v>
      </c>
      <c r="K501" s="38" t="n">
        <v>-16.6</v>
      </c>
    </row>
    <row r="502">
      <c r="A502" s="35" t="inlineStr">
        <is>
          <t>MSTCLTD</t>
        </is>
      </c>
      <c r="C502" s="36" t="n">
        <v>452.2</v>
      </c>
      <c r="D502" s="36" t="n">
        <v>437.14</v>
      </c>
      <c r="E502" s="36" t="n">
        <v>472.08</v>
      </c>
      <c r="F502" s="36" t="n">
        <v>573.26</v>
      </c>
      <c r="G502" s="36" t="n">
        <v>501.31</v>
      </c>
      <c r="H502" s="36" t="n">
        <v>365.85</v>
      </c>
      <c r="I502" s="37" t="n">
        <v>285519</v>
      </c>
      <c r="J502" s="37" t="n">
        <v>162269</v>
      </c>
      <c r="K502" s="38" t="n">
        <v>-5.13</v>
      </c>
    </row>
    <row r="503">
      <c r="A503" s="35" t="inlineStr">
        <is>
          <t>YESBANK</t>
        </is>
      </c>
      <c r="C503" s="36" t="n">
        <v>19.99</v>
      </c>
      <c r="D503" s="36" t="n">
        <v>19.69</v>
      </c>
      <c r="E503" s="36" t="n">
        <v>20.48</v>
      </c>
      <c r="F503" s="36" t="n">
        <v>24.3</v>
      </c>
      <c r="G503" s="36" t="n">
        <v>23.99</v>
      </c>
      <c r="H503" s="36" t="n">
        <v>17.25</v>
      </c>
      <c r="I503" s="37" t="n">
        <v>98191539</v>
      </c>
      <c r="J503" s="37" t="n">
        <v>89076218</v>
      </c>
      <c r="K503" s="38" t="n">
        <v>-12.9</v>
      </c>
    </row>
    <row r="504">
      <c r="A504" s="35" t="inlineStr">
        <is>
          <t>JSLL</t>
        </is>
      </c>
      <c r="C504" s="36" t="n">
        <v>681.85</v>
      </c>
      <c r="D504" s="36" t="n">
        <v>648.22</v>
      </c>
      <c r="E504" s="36" t="n">
        <v>833.54</v>
      </c>
      <c r="F504" s="36" t="n">
        <v>2446.7</v>
      </c>
      <c r="G504" s="36" t="n">
        <v>809</v>
      </c>
      <c r="H504" s="36" t="n">
        <v>539.7</v>
      </c>
      <c r="I504" s="37" t="n">
        <v>239009</v>
      </c>
      <c r="J504" s="37" t="n">
        <v>212769</v>
      </c>
      <c r="K504" s="38" t="n">
        <v>-6.54</v>
      </c>
    </row>
    <row r="505">
      <c r="A505" s="35" t="inlineStr">
        <is>
          <t>KTKBANK</t>
        </is>
      </c>
      <c r="C505" s="36" t="n">
        <v>250.64</v>
      </c>
      <c r="D505" s="36" t="n">
        <v>223.85</v>
      </c>
      <c r="E505" s="36" t="n">
        <v>202.14</v>
      </c>
      <c r="F505" s="36" t="n">
        <v>255.5</v>
      </c>
      <c r="G505" s="36" t="n">
        <v>255.5</v>
      </c>
      <c r="H505" s="36" t="n">
        <v>178.79</v>
      </c>
      <c r="I505" s="37" t="n">
        <v>3658477</v>
      </c>
      <c r="J505" s="37" t="n">
        <v>3262658</v>
      </c>
      <c r="K505" s="38" t="n">
        <v>32.4</v>
      </c>
    </row>
    <row r="506">
      <c r="A506" s="35" t="inlineStr">
        <is>
          <t>TANLA</t>
        </is>
      </c>
      <c r="C506" s="36" t="n">
        <v>500.15</v>
      </c>
      <c r="D506" s="36" t="n">
        <v>460.26</v>
      </c>
      <c r="E506" s="36" t="n">
        <v>520.03</v>
      </c>
      <c r="F506" s="36" t="n">
        <v>758.51</v>
      </c>
      <c r="G506" s="36" t="n">
        <v>526.3</v>
      </c>
      <c r="H506" s="36" t="n">
        <v>377.45</v>
      </c>
      <c r="I506" s="37" t="n">
        <v>483153</v>
      </c>
      <c r="J506" s="37" t="n">
        <v>420893</v>
      </c>
      <c r="K506" s="38" t="n">
        <v>3.47</v>
      </c>
    </row>
    <row r="507">
      <c r="A507" s="35" t="inlineStr">
        <is>
          <t>SOUTHBANK</t>
        </is>
      </c>
      <c r="C507" s="36" t="n">
        <v>39.85</v>
      </c>
      <c r="D507" s="36" t="n">
        <v>38.63</v>
      </c>
      <c r="E507" s="36" t="n">
        <v>36.12</v>
      </c>
      <c r="F507" s="36" t="n">
        <v>46.84</v>
      </c>
      <c r="G507" s="36" t="n">
        <v>46.84</v>
      </c>
      <c r="H507" s="36" t="n">
        <v>33.6</v>
      </c>
      <c r="I507" s="37" t="n">
        <v>17019364</v>
      </c>
      <c r="J507" s="37" t="n">
        <v>15933063</v>
      </c>
      <c r="K507" s="38" t="n">
        <v>-6.15</v>
      </c>
    </row>
    <row r="508">
      <c r="A508" s="35" t="inlineStr">
        <is>
          <t>JWL</t>
        </is>
      </c>
      <c r="C508" s="36" t="n">
        <v>286.57</v>
      </c>
      <c r="D508" s="36" t="n">
        <v>277.26</v>
      </c>
      <c r="E508" s="36" t="n">
        <v>307.84</v>
      </c>
      <c r="F508" s="36" t="n">
        <v>455.87</v>
      </c>
      <c r="G508" s="36" t="n">
        <v>334.9</v>
      </c>
      <c r="H508" s="36" t="n">
        <v>238.1</v>
      </c>
      <c r="I508" s="37" t="n">
        <v>2200473</v>
      </c>
      <c r="J508" s="37" t="n">
        <v>2023874</v>
      </c>
      <c r="K508" s="38" t="n">
        <v>-13.46</v>
      </c>
    </row>
    <row r="509">
      <c r="A509" s="35" t="inlineStr">
        <is>
          <t>VTL</t>
        </is>
      </c>
      <c r="C509" s="36" t="n">
        <v>566.05</v>
      </c>
      <c r="D509" s="36" t="n">
        <v>526.4400000000001</v>
      </c>
      <c r="E509" s="36" t="n">
        <v>477.86</v>
      </c>
      <c r="F509" s="36" t="n">
        <v>602.6</v>
      </c>
      <c r="G509" s="36" t="n">
        <v>602.6</v>
      </c>
      <c r="H509" s="36" t="n">
        <v>402.85</v>
      </c>
      <c r="I509" s="37" t="n">
        <v>393243</v>
      </c>
      <c r="J509" s="37" t="n">
        <v>393243</v>
      </c>
      <c r="K509" s="38" t="n">
        <v>34.47</v>
      </c>
    </row>
    <row r="510">
      <c r="A510" s="35" t="inlineStr">
        <is>
          <t>FIRSTCRY</t>
        </is>
      </c>
      <c r="C510" s="36" t="n">
        <v>253.08</v>
      </c>
      <c r="D510" s="36" t="n">
        <v>241.96</v>
      </c>
      <c r="E510" s="36" t="n">
        <v>290.32</v>
      </c>
      <c r="F510" s="36" t="n">
        <v>438.7</v>
      </c>
      <c r="G510" s="36" t="n">
        <v>289.7</v>
      </c>
      <c r="H510" s="36" t="n">
        <v>208.34</v>
      </c>
      <c r="I510" s="37" t="n">
        <v>3489324</v>
      </c>
      <c r="J510" s="37" t="n">
        <v>1654543</v>
      </c>
      <c r="K510" s="38" t="n">
        <v>-6.25</v>
      </c>
    </row>
    <row r="511">
      <c r="A511" s="35" t="inlineStr">
        <is>
          <t>AARTIIND</t>
        </is>
      </c>
      <c r="C511" s="36" t="n">
        <v>470.4</v>
      </c>
      <c r="D511" s="36" t="n">
        <v>423.26</v>
      </c>
      <c r="E511" s="36" t="n">
        <v>410.24</v>
      </c>
      <c r="F511" s="36" t="n">
        <v>493.68</v>
      </c>
      <c r="G511" s="36" t="n">
        <v>474.7</v>
      </c>
      <c r="H511" s="36" t="n">
        <v>340</v>
      </c>
      <c r="I511" s="37" t="n">
        <v>849799</v>
      </c>
      <c r="J511" s="37" t="n">
        <v>739623</v>
      </c>
      <c r="K511" s="38" t="n">
        <v>29.94</v>
      </c>
    </row>
    <row r="512">
      <c r="A512" s="35" t="inlineStr">
        <is>
          <t>ORIENTCEM</t>
        </is>
      </c>
      <c r="C512" s="36" t="n">
        <v>148.21</v>
      </c>
      <c r="D512" s="36" t="n">
        <v>145.79</v>
      </c>
      <c r="E512" s="36" t="n">
        <v>193.36</v>
      </c>
      <c r="F512" s="36" t="n">
        <v>358.2</v>
      </c>
      <c r="G512" s="36" t="n">
        <v>171.5</v>
      </c>
      <c r="H512" s="36" t="n">
        <v>122.89</v>
      </c>
      <c r="I512" s="37" t="n">
        <v>445508</v>
      </c>
      <c r="J512" s="37" t="n">
        <v>415202</v>
      </c>
      <c r="K512" s="38" t="n">
        <v>-12.34</v>
      </c>
    </row>
    <row r="513">
      <c r="A513" s="35" t="inlineStr">
        <is>
          <t>VMART</t>
        </is>
      </c>
      <c r="C513" s="36" t="n">
        <v>645.85</v>
      </c>
      <c r="D513" s="36" t="n">
        <v>589.1</v>
      </c>
      <c r="E513" s="36" t="n">
        <v>685.11</v>
      </c>
      <c r="F513" s="36" t="n">
        <v>945</v>
      </c>
      <c r="G513" s="36" t="n">
        <v>661.05</v>
      </c>
      <c r="H513" s="36" t="n">
        <v>477.2</v>
      </c>
      <c r="I513" s="37" t="n">
        <v>451503</v>
      </c>
      <c r="J513" s="37" t="n">
        <v>130652</v>
      </c>
      <c r="K513" s="38" t="n">
        <v>5.2</v>
      </c>
    </row>
    <row r="514">
      <c r="A514" s="35" t="inlineStr">
        <is>
          <t>PCBL</t>
        </is>
      </c>
      <c r="C514" s="36" t="n">
        <v>290.12</v>
      </c>
      <c r="D514" s="36" t="n">
        <v>276.85</v>
      </c>
      <c r="E514" s="36" t="n">
        <v>317.45</v>
      </c>
      <c r="F514" s="36" t="n">
        <v>430.16</v>
      </c>
      <c r="G514" s="36" t="n">
        <v>330.65</v>
      </c>
      <c r="H514" s="36" t="n">
        <v>232.15</v>
      </c>
      <c r="I514" s="37" t="n">
        <v>1583103</v>
      </c>
      <c r="J514" s="37" t="n">
        <v>1285225</v>
      </c>
      <c r="K514" s="38" t="n">
        <v>3.45</v>
      </c>
    </row>
    <row r="515">
      <c r="A515" s="35" t="inlineStr">
        <is>
          <t>BANCOINDIA</t>
        </is>
      </c>
      <c r="C515" s="36" t="n">
        <v>624.25</v>
      </c>
      <c r="D515" s="36" t="n">
        <v>591.28</v>
      </c>
      <c r="E515" s="36" t="n">
        <v>605.9</v>
      </c>
      <c r="F515" s="36" t="n">
        <v>859.79</v>
      </c>
      <c r="G515" s="36" t="n">
        <v>695.22</v>
      </c>
      <c r="H515" s="36" t="n">
        <v>504.35</v>
      </c>
      <c r="I515" s="37" t="n">
        <v>208283</v>
      </c>
      <c r="J515" s="37" t="n">
        <v>210154</v>
      </c>
      <c r="K515" s="38" t="n">
        <v>-1.22</v>
      </c>
    </row>
    <row r="516">
      <c r="A516" s="35" t="inlineStr">
        <is>
          <t>CRAMC</t>
        </is>
      </c>
    </row>
    <row r="517">
      <c r="A517" s="35" t="inlineStr">
        <is>
          <t>SWIGGY</t>
        </is>
      </c>
      <c r="C517" s="36" t="n">
        <v>294.7</v>
      </c>
      <c r="D517" s="36" t="n">
        <v>296.38</v>
      </c>
      <c r="E517" s="36" t="n">
        <v>344.11</v>
      </c>
      <c r="F517" s="36" t="n">
        <v>474</v>
      </c>
      <c r="G517" s="36" t="n">
        <v>359</v>
      </c>
      <c r="H517" s="36" t="n">
        <v>260.05</v>
      </c>
      <c r="I517" s="37" t="n">
        <v>11375088</v>
      </c>
      <c r="J517" s="37" t="n">
        <v>9816756</v>
      </c>
      <c r="K517" s="38" t="n">
        <v>-15.08</v>
      </c>
    </row>
    <row r="518">
      <c r="A518" s="35" t="inlineStr">
        <is>
          <t>RVNL</t>
        </is>
      </c>
      <c r="C518" s="36" t="n">
        <v>307.41</v>
      </c>
      <c r="D518" s="36" t="n">
        <v>289.67</v>
      </c>
      <c r="E518" s="36" t="n">
        <v>320.54</v>
      </c>
      <c r="F518" s="36" t="n">
        <v>444.08</v>
      </c>
      <c r="G518" s="36" t="n">
        <v>351.7</v>
      </c>
      <c r="H518" s="36" t="n">
        <v>249.65</v>
      </c>
      <c r="I518" s="37" t="n">
        <v>7409927</v>
      </c>
      <c r="J518" s="37" t="n">
        <v>7152702</v>
      </c>
      <c r="K518" s="38" t="n">
        <v>-8.85</v>
      </c>
    </row>
    <row r="519">
      <c r="A519" s="35" t="inlineStr">
        <is>
          <t>FINCABLES</t>
        </is>
      </c>
      <c r="C519" s="36" t="n">
        <v>975.8</v>
      </c>
      <c r="D519" s="36" t="n">
        <v>851.22</v>
      </c>
      <c r="E519" s="36" t="n">
        <v>829.63</v>
      </c>
      <c r="F519" s="36" t="n">
        <v>1018.4</v>
      </c>
      <c r="G519" s="36" t="n">
        <v>993.8</v>
      </c>
      <c r="H519" s="36" t="n">
        <v>710.8</v>
      </c>
      <c r="I519" s="37" t="n">
        <v>435552</v>
      </c>
      <c r="J519" s="37" t="n">
        <v>371219</v>
      </c>
      <c r="K519" s="38" t="n">
        <v>25.6</v>
      </c>
    </row>
    <row r="520">
      <c r="A520" s="35" t="inlineStr">
        <is>
          <t>ABFRL</t>
        </is>
      </c>
      <c r="C520" s="36" t="n">
        <v>64.98999999999999</v>
      </c>
      <c r="D520" s="36" t="n">
        <v>63.66</v>
      </c>
      <c r="E520" s="36" t="n">
        <v>91.81</v>
      </c>
      <c r="F520" s="36" t="n">
        <v>295.7</v>
      </c>
      <c r="G520" s="36" t="n">
        <v>75.09999999999999</v>
      </c>
      <c r="H520" s="36" t="n">
        <v>53.89</v>
      </c>
      <c r="I520" s="37" t="n">
        <v>5825807</v>
      </c>
      <c r="J520" s="37" t="n">
        <v>4821195</v>
      </c>
      <c r="K520" s="38" t="n">
        <v>-10.73</v>
      </c>
    </row>
    <row r="521">
      <c r="A521" s="35" t="inlineStr">
        <is>
          <t>HYUNDAI</t>
        </is>
      </c>
      <c r="C521" s="36" t="n">
        <v>1849.5</v>
      </c>
      <c r="D521" s="36" t="n">
        <v>1968.45</v>
      </c>
      <c r="E521" s="36" t="n">
        <v>2112.24</v>
      </c>
      <c r="F521" s="36" t="n">
        <v>2890</v>
      </c>
      <c r="G521" s="36" t="n">
        <v>2366.5</v>
      </c>
      <c r="H521" s="36" t="n">
        <v>1691.4</v>
      </c>
      <c r="I521" s="37" t="n">
        <v>1078720</v>
      </c>
      <c r="J521" s="37" t="n">
        <v>609576</v>
      </c>
      <c r="K521" s="38" t="n">
        <v>-20.18</v>
      </c>
    </row>
    <row r="522">
      <c r="A522" s="35" t="inlineStr">
        <is>
          <t>AURIONPRO</t>
        </is>
      </c>
      <c r="C522" s="36" t="n">
        <v>887.35</v>
      </c>
      <c r="D522" s="36" t="n">
        <v>883.0700000000001</v>
      </c>
      <c r="E522" s="36" t="n">
        <v>1074.97</v>
      </c>
      <c r="F522" s="36" t="n">
        <v>1659.18</v>
      </c>
      <c r="G522" s="36" t="n">
        <v>1042.55</v>
      </c>
      <c r="H522" s="36" t="n">
        <v>724.7</v>
      </c>
      <c r="I522" s="37" t="n">
        <v>184254</v>
      </c>
      <c r="J522" s="37" t="n">
        <v>172773</v>
      </c>
      <c r="K522" s="38" t="n">
        <v>-12.47</v>
      </c>
    </row>
    <row r="523">
      <c r="A523" s="35" t="inlineStr">
        <is>
          <t>ELECTCAST</t>
        </is>
      </c>
      <c r="C523" s="36" t="n">
        <v>79.83</v>
      </c>
      <c r="D523" s="36" t="n">
        <v>76.22</v>
      </c>
      <c r="E523" s="36" t="n">
        <v>83.53</v>
      </c>
      <c r="F523" s="36" t="n">
        <v>136.8</v>
      </c>
      <c r="G523" s="36" t="n">
        <v>86.5</v>
      </c>
      <c r="H523" s="36" t="n">
        <v>61.1</v>
      </c>
      <c r="I523" s="37" t="n">
        <v>3666825</v>
      </c>
      <c r="J523" s="37" t="n">
        <v>1937640</v>
      </c>
      <c r="K523" s="38" t="n">
        <v>10.63</v>
      </c>
    </row>
    <row r="524">
      <c r="A524" s="35" t="inlineStr">
        <is>
          <t>THYROCARE</t>
        </is>
      </c>
      <c r="C524" s="36" t="n">
        <v>395.6</v>
      </c>
      <c r="D524" s="36" t="n">
        <v>391.52</v>
      </c>
      <c r="E524" s="36" t="n">
        <v>399.75</v>
      </c>
      <c r="F524" s="36" t="n">
        <v>536.67</v>
      </c>
      <c r="G524" s="36" t="n">
        <v>484</v>
      </c>
      <c r="H524" s="36" t="n">
        <v>349.55</v>
      </c>
      <c r="I524" s="37" t="n">
        <v>237577</v>
      </c>
      <c r="J524" s="37" t="n">
        <v>247599</v>
      </c>
      <c r="K524" s="38" t="n">
        <v>-14.87</v>
      </c>
    </row>
    <row r="525">
      <c r="A525" s="35" t="inlineStr">
        <is>
          <t>KEI</t>
        </is>
      </c>
      <c r="C525" s="36" t="n">
        <v>4909.7</v>
      </c>
      <c r="D525" s="36" t="n">
        <v>4458.95</v>
      </c>
      <c r="E525" s="36" t="n">
        <v>4151.99</v>
      </c>
      <c r="F525" s="36" t="n">
        <v>5303</v>
      </c>
      <c r="G525" s="36" t="n">
        <v>5303</v>
      </c>
      <c r="H525" s="36" t="n">
        <v>3800.7</v>
      </c>
      <c r="I525" s="37" t="n">
        <v>400852</v>
      </c>
      <c r="J525" s="37" t="n">
        <v>370258</v>
      </c>
      <c r="K525" s="38" t="n">
        <v>12.11</v>
      </c>
    </row>
    <row r="526">
      <c r="A526" s="35" t="inlineStr">
        <is>
          <t>ENGINERSIN</t>
        </is>
      </c>
      <c r="C526" s="36" t="n">
        <v>245.58</v>
      </c>
      <c r="D526" s="36" t="n">
        <v>206.32</v>
      </c>
      <c r="E526" s="36" t="n">
        <v>198.23</v>
      </c>
      <c r="F526" s="36" t="n">
        <v>250.39</v>
      </c>
      <c r="G526" s="36" t="n">
        <v>250.39</v>
      </c>
      <c r="H526" s="36" t="n">
        <v>163.36</v>
      </c>
      <c r="I526" s="37" t="n">
        <v>4106709</v>
      </c>
      <c r="J526" s="37" t="n">
        <v>3381646</v>
      </c>
      <c r="K526" s="38" t="n">
        <v>25.7</v>
      </c>
    </row>
    <row r="527">
      <c r="A527" s="35" t="inlineStr">
        <is>
          <t>UTLSOLAR</t>
        </is>
      </c>
    </row>
    <row r="528">
      <c r="A528" s="35" t="inlineStr">
        <is>
          <t>ANANTRAJ</t>
        </is>
      </c>
      <c r="C528" s="36" t="n">
        <v>518.4</v>
      </c>
      <c r="D528" s="36" t="n">
        <v>496.57</v>
      </c>
      <c r="E528" s="36" t="n">
        <v>530.4299999999999</v>
      </c>
      <c r="F528" s="36" t="n">
        <v>743.65</v>
      </c>
      <c r="G528" s="36" t="n">
        <v>587</v>
      </c>
      <c r="H528" s="36" t="n">
        <v>405.7</v>
      </c>
      <c r="I528" s="37" t="n">
        <v>1997409</v>
      </c>
      <c r="J528" s="37" t="n">
        <v>2040997</v>
      </c>
      <c r="K528" s="38" t="n">
        <v>-6.09</v>
      </c>
    </row>
    <row r="529">
      <c r="A529" s="35" t="inlineStr">
        <is>
          <t>JAIBALAJI</t>
        </is>
      </c>
      <c r="C529" s="36" t="n">
        <v>72.58</v>
      </c>
      <c r="D529" s="36" t="n">
        <v>65.48</v>
      </c>
      <c r="E529" s="36" t="n">
        <v>80.66</v>
      </c>
      <c r="F529" s="36" t="n">
        <v>139</v>
      </c>
      <c r="G529" s="36" t="n">
        <v>76.40000000000001</v>
      </c>
      <c r="H529" s="36" t="n">
        <v>54.14</v>
      </c>
      <c r="I529" s="37" t="n">
        <v>2609682</v>
      </c>
      <c r="J529" s="37" t="n">
        <v>1946667</v>
      </c>
      <c r="K529" s="38" t="n">
        <v>10.19</v>
      </c>
    </row>
    <row r="530">
      <c r="A530" s="35" t="inlineStr">
        <is>
          <t>ESCORTS</t>
        </is>
      </c>
      <c r="C530" s="36" t="n">
        <v>3338.6</v>
      </c>
      <c r="D530" s="36" t="n">
        <v>3248.54</v>
      </c>
      <c r="E530" s="36" t="n">
        <v>3429.05</v>
      </c>
      <c r="F530" s="36" t="n">
        <v>4159.02</v>
      </c>
      <c r="G530" s="36" t="n">
        <v>3852.87</v>
      </c>
      <c r="H530" s="36" t="n">
        <v>2740.3</v>
      </c>
      <c r="I530" s="37" t="n">
        <v>152950</v>
      </c>
      <c r="J530" s="37" t="n">
        <v>107390</v>
      </c>
      <c r="K530" s="38" t="n">
        <v>-9.07</v>
      </c>
    </row>
    <row r="531">
      <c r="A531" s="35" t="inlineStr">
        <is>
          <t>HOMEFIRST</t>
        </is>
      </c>
      <c r="C531" s="36" t="n">
        <v>1173.7</v>
      </c>
      <c r="D531" s="36" t="n">
        <v>1070.72</v>
      </c>
      <c r="E531" s="36" t="n">
        <v>1146.58</v>
      </c>
      <c r="F531" s="36" t="n">
        <v>1519</v>
      </c>
      <c r="G531" s="36" t="n">
        <v>1317.7</v>
      </c>
      <c r="H531" s="36" t="n">
        <v>904.8</v>
      </c>
      <c r="I531" s="37" t="n">
        <v>265336</v>
      </c>
      <c r="J531" s="37" t="n">
        <v>279142</v>
      </c>
      <c r="K531" s="38" t="n">
        <v>8.41</v>
      </c>
    </row>
    <row r="532">
      <c r="A532" s="35" t="inlineStr">
        <is>
          <t>RAMCOCEM</t>
        </is>
      </c>
      <c r="C532" s="36" t="n">
        <v>991.9</v>
      </c>
      <c r="D532" s="36" t="n">
        <v>1013.15</v>
      </c>
      <c r="E532" s="36" t="n">
        <v>1035.93</v>
      </c>
      <c r="F532" s="36" t="n">
        <v>1214.5</v>
      </c>
      <c r="G532" s="36" t="n">
        <v>1214.5</v>
      </c>
      <c r="H532" s="36" t="n">
        <v>867.4</v>
      </c>
      <c r="I532" s="37" t="n">
        <v>183752</v>
      </c>
      <c r="J532" s="37" t="n">
        <v>170148</v>
      </c>
      <c r="K532" s="38" t="n">
        <v>-8.57</v>
      </c>
    </row>
    <row r="533">
      <c r="A533" s="35" t="inlineStr">
        <is>
          <t>TCS</t>
        </is>
      </c>
      <c r="C533" s="36" t="n">
        <v>2538.5</v>
      </c>
      <c r="D533" s="36" t="n">
        <v>2615.01</v>
      </c>
      <c r="E533" s="36" t="n">
        <v>2916.94</v>
      </c>
      <c r="F533" s="36" t="n">
        <v>3509.22</v>
      </c>
      <c r="G533" s="36" t="n">
        <v>3350</v>
      </c>
      <c r="H533" s="36" t="n">
        <v>2356</v>
      </c>
      <c r="I533" s="37" t="n">
        <v>4206320</v>
      </c>
      <c r="J533" s="37" t="n">
        <v>3621285</v>
      </c>
      <c r="K533" s="38" t="n">
        <v>-19.04</v>
      </c>
    </row>
    <row r="534">
      <c r="A534" s="35" t="inlineStr">
        <is>
          <t>CEMPRO</t>
        </is>
      </c>
    </row>
    <row r="535">
      <c r="A535" s="35" t="inlineStr">
        <is>
          <t>AHLUCONT</t>
        </is>
      </c>
      <c r="C535" s="36" t="n">
        <v>890.2</v>
      </c>
      <c r="D535" s="36" t="n">
        <v>793.59</v>
      </c>
      <c r="E535" s="36" t="n">
        <v>872.48</v>
      </c>
      <c r="F535" s="36" t="n">
        <v>1124.32</v>
      </c>
      <c r="G535" s="36" t="n">
        <v>960</v>
      </c>
      <c r="H535" s="36" t="n">
        <v>655.35</v>
      </c>
      <c r="I535" s="37" t="n">
        <v>85221</v>
      </c>
      <c r="J535" s="37" t="n">
        <v>86808</v>
      </c>
      <c r="K535" s="38" t="n">
        <v>-0.6</v>
      </c>
    </row>
    <row r="536">
      <c r="A536" s="35" t="inlineStr">
        <is>
          <t>COCHINSHIP</t>
        </is>
      </c>
      <c r="C536" s="36" t="n">
        <v>1583.1</v>
      </c>
      <c r="D536" s="36" t="n">
        <v>1453.73</v>
      </c>
      <c r="E536" s="36" t="n">
        <v>1578.57</v>
      </c>
      <c r="F536" s="36" t="n">
        <v>2529.76</v>
      </c>
      <c r="G536" s="36" t="n">
        <v>1662.14</v>
      </c>
      <c r="H536" s="36" t="n">
        <v>1193.1</v>
      </c>
      <c r="I536" s="37" t="n">
        <v>1612096</v>
      </c>
      <c r="J536" s="37" t="n">
        <v>957703</v>
      </c>
      <c r="K536" s="38" t="n">
        <v>3.41</v>
      </c>
    </row>
    <row r="537">
      <c r="A537" s="35" t="inlineStr">
        <is>
          <t>GODREJIND</t>
        </is>
      </c>
      <c r="C537" s="36" t="n">
        <v>943.15</v>
      </c>
      <c r="D537" s="36" t="n">
        <v>912.12</v>
      </c>
      <c r="E537" s="36" t="n">
        <v>1020.56</v>
      </c>
      <c r="F537" s="36" t="n">
        <v>1390</v>
      </c>
      <c r="G537" s="36" t="n">
        <v>1063</v>
      </c>
      <c r="H537" s="36" t="n">
        <v>749</v>
      </c>
      <c r="I537" s="37" t="n">
        <v>73135</v>
      </c>
      <c r="J537" s="37" t="n">
        <v>69890</v>
      </c>
      <c r="K537" s="38" t="n">
        <v>-6</v>
      </c>
    </row>
    <row r="538">
      <c r="A538" s="35" t="inlineStr">
        <is>
          <t>SYRMA</t>
        </is>
      </c>
      <c r="C538" s="36" t="n">
        <v>997.75</v>
      </c>
      <c r="D538" s="36" t="n">
        <v>831.72</v>
      </c>
      <c r="E538" s="36" t="n">
        <v>753.21</v>
      </c>
      <c r="F538" s="36" t="n">
        <v>1032</v>
      </c>
      <c r="G538" s="36" t="n">
        <v>1032</v>
      </c>
      <c r="H538" s="36" t="n">
        <v>640.15</v>
      </c>
      <c r="I538" s="37" t="n">
        <v>1174159</v>
      </c>
      <c r="J538" s="37" t="n">
        <v>995381</v>
      </c>
      <c r="K538" s="38" t="n">
        <v>41.31</v>
      </c>
    </row>
    <row r="539">
      <c r="A539" s="35" t="inlineStr">
        <is>
          <t>IKS</t>
        </is>
      </c>
      <c r="C539" s="36" t="n">
        <v>1426.9</v>
      </c>
      <c r="D539" s="36" t="n">
        <v>1460.46</v>
      </c>
      <c r="E539" s="36" t="n">
        <v>1536.02</v>
      </c>
      <c r="F539" s="36" t="n">
        <v>1876</v>
      </c>
      <c r="G539" s="36" t="n">
        <v>1772.5</v>
      </c>
      <c r="H539" s="36" t="n">
        <v>1274.9</v>
      </c>
      <c r="I539" s="37" t="n">
        <v>224607</v>
      </c>
      <c r="J539" s="37" t="n">
        <v>181350</v>
      </c>
      <c r="K539" s="38" t="n">
        <v>-15.92</v>
      </c>
    </row>
    <row r="540">
      <c r="A540" s="35" t="inlineStr">
        <is>
          <t>CGPOWER</t>
        </is>
      </c>
      <c r="C540" s="36" t="n">
        <v>824.35</v>
      </c>
      <c r="D540" s="36" t="n">
        <v>708.59</v>
      </c>
      <c r="E540" s="36" t="n">
        <v>685.12</v>
      </c>
      <c r="F540" s="36" t="n">
        <v>835</v>
      </c>
      <c r="G540" s="36" t="n">
        <v>835</v>
      </c>
      <c r="H540" s="36" t="n">
        <v>529.48</v>
      </c>
      <c r="I540" s="37" t="n">
        <v>2887427</v>
      </c>
      <c r="J540" s="37" t="n">
        <v>2887427</v>
      </c>
      <c r="K540" s="38" t="n">
        <v>43.21</v>
      </c>
    </row>
    <row r="541">
      <c r="A541" s="35" t="inlineStr">
        <is>
          <t>ENRIN</t>
        </is>
      </c>
      <c r="C541" s="36" t="n">
        <v>3188.2</v>
      </c>
      <c r="D541" s="36" t="n">
        <v>2813.39</v>
      </c>
      <c r="E541" s="36" t="n">
        <v>2865.24</v>
      </c>
      <c r="F541" s="36" t="n">
        <v>3619.16</v>
      </c>
      <c r="G541" s="36" t="n">
        <v>3268.4</v>
      </c>
      <c r="H541" s="36" t="n">
        <v>2121.97</v>
      </c>
      <c r="I541" s="37" t="n">
        <v>357797</v>
      </c>
      <c r="J541" s="37" t="n">
        <v>412862</v>
      </c>
      <c r="K541" s="38" t="n">
        <v>32.81</v>
      </c>
    </row>
    <row r="542">
      <c r="A542" s="35" t="inlineStr">
        <is>
          <t>BHARATFORG</t>
        </is>
      </c>
      <c r="C542" s="36" t="n">
        <v>1903.2</v>
      </c>
      <c r="D542" s="36" t="n">
        <v>1731.43</v>
      </c>
      <c r="E542" s="36" t="n">
        <v>1487.1</v>
      </c>
      <c r="F542" s="36" t="n">
        <v>1935.5</v>
      </c>
      <c r="G542" s="36" t="n">
        <v>1935.5</v>
      </c>
      <c r="H542" s="36" t="n">
        <v>1378.42</v>
      </c>
      <c r="I542" s="37" t="n">
        <v>1227249</v>
      </c>
      <c r="J542" s="37" t="n">
        <v>1279566</v>
      </c>
      <c r="K542" s="38" t="n">
        <v>30.48</v>
      </c>
    </row>
    <row r="543">
      <c r="A543" s="35" t="inlineStr">
        <is>
          <t>ABSLAMC</t>
        </is>
      </c>
      <c r="C543" s="36" t="n">
        <v>1019.95</v>
      </c>
      <c r="D543" s="36" t="n">
        <v>935.51</v>
      </c>
      <c r="E543" s="36" t="n">
        <v>833.8200000000001</v>
      </c>
      <c r="F543" s="36" t="n">
        <v>1082.25</v>
      </c>
      <c r="G543" s="36" t="n">
        <v>1082.25</v>
      </c>
      <c r="H543" s="36" t="n">
        <v>759.45</v>
      </c>
      <c r="I543" s="37" t="n">
        <v>323399</v>
      </c>
      <c r="J543" s="37" t="n">
        <v>371333</v>
      </c>
      <c r="K543" s="38" t="n">
        <v>25.86</v>
      </c>
    </row>
    <row r="544">
      <c r="A544" s="35" t="inlineStr">
        <is>
          <t>ACC</t>
        </is>
      </c>
      <c r="C544" s="36" t="n">
        <v>1446.4</v>
      </c>
      <c r="D544" s="36" t="n">
        <v>1478.9</v>
      </c>
      <c r="E544" s="36" t="n">
        <v>1685.31</v>
      </c>
      <c r="F544" s="36" t="n">
        <v>2028.8</v>
      </c>
      <c r="G544" s="36" t="n">
        <v>1763</v>
      </c>
      <c r="H544" s="36" t="n">
        <v>1254.6</v>
      </c>
      <c r="I544" s="37" t="n">
        <v>249566</v>
      </c>
      <c r="J544" s="37" t="n">
        <v>196798</v>
      </c>
      <c r="K544" s="38" t="n">
        <v>-16.3</v>
      </c>
    </row>
    <row r="545">
      <c r="A545" s="35" t="inlineStr">
        <is>
          <t>BBTC</t>
        </is>
      </c>
      <c r="C545" s="36" t="n">
        <v>1551.8</v>
      </c>
      <c r="D545" s="36" t="n">
        <v>1566.72</v>
      </c>
      <c r="E545" s="36" t="n">
        <v>1747.82</v>
      </c>
      <c r="F545" s="36" t="n">
        <v>2134.48</v>
      </c>
      <c r="G545" s="36" t="n">
        <v>1884.88</v>
      </c>
      <c r="H545" s="36" t="n">
        <v>1322</v>
      </c>
      <c r="I545" s="37" t="n">
        <v>73894</v>
      </c>
      <c r="J545" s="37" t="n">
        <v>39853</v>
      </c>
      <c r="K545" s="38" t="n">
        <v>-15.14</v>
      </c>
    </row>
    <row r="546">
      <c r="A546" s="35" t="inlineStr">
        <is>
          <t>AMBUJACEM</t>
        </is>
      </c>
      <c r="C546" s="36" t="n">
        <v>460.9</v>
      </c>
      <c r="D546" s="36" t="n">
        <v>464.76</v>
      </c>
      <c r="E546" s="36" t="n">
        <v>519.2</v>
      </c>
      <c r="F546" s="36" t="n">
        <v>624.95</v>
      </c>
      <c r="G546" s="36" t="n">
        <v>558.45</v>
      </c>
      <c r="H546" s="36" t="n">
        <v>395.35</v>
      </c>
      <c r="I546" s="37" t="n">
        <v>2825450</v>
      </c>
      <c r="J546" s="37" t="n">
        <v>2249388</v>
      </c>
      <c r="K546" s="38" t="n">
        <v>-16.13</v>
      </c>
    </row>
    <row r="547">
      <c r="A547" s="35" t="inlineStr">
        <is>
          <t>IDEA</t>
        </is>
      </c>
      <c r="C547" s="36" t="n">
        <v>9.539999999999999</v>
      </c>
      <c r="D547" s="36" t="n">
        <v>9.720000000000001</v>
      </c>
      <c r="E547" s="36" t="n">
        <v>9.42</v>
      </c>
      <c r="F547" s="36" t="n">
        <v>12.8</v>
      </c>
      <c r="G547" s="36" t="n">
        <v>11.9</v>
      </c>
      <c r="H547" s="36" t="n">
        <v>8.529999999999999</v>
      </c>
      <c r="I547" s="37" t="n">
        <v>468683513</v>
      </c>
      <c r="J547" s="37" t="n">
        <v>479791170</v>
      </c>
      <c r="K547" s="38" t="n">
        <v>-13.9</v>
      </c>
    </row>
    <row r="548">
      <c r="A548" s="35" t="inlineStr">
        <is>
          <t>SPARC</t>
        </is>
      </c>
      <c r="C548" s="36" t="n">
        <v>143.54</v>
      </c>
      <c r="D548" s="36" t="n">
        <v>132.11</v>
      </c>
      <c r="E548" s="36" t="n">
        <v>136.86</v>
      </c>
      <c r="F548" s="36" t="n">
        <v>204.4</v>
      </c>
      <c r="G548" s="36" t="n">
        <v>157.4</v>
      </c>
      <c r="H548" s="36" t="n">
        <v>108.71</v>
      </c>
      <c r="I548" s="37" t="n">
        <v>939621</v>
      </c>
      <c r="J548" s="37" t="n">
        <v>569428</v>
      </c>
      <c r="K548" s="38" t="n">
        <v>5.98</v>
      </c>
    </row>
    <row r="549">
      <c r="A549" s="35" t="inlineStr">
        <is>
          <t>GODFRYPHLP</t>
        </is>
      </c>
      <c r="C549" s="36" t="n">
        <v>2164.6</v>
      </c>
      <c r="D549" s="36" t="n">
        <v>2106.39</v>
      </c>
      <c r="E549" s="36" t="n">
        <v>2508.9</v>
      </c>
      <c r="F549" s="36" t="n">
        <v>3924.86</v>
      </c>
      <c r="G549" s="36" t="n">
        <v>2635</v>
      </c>
      <c r="H549" s="36" t="n">
        <v>1844</v>
      </c>
      <c r="I549" s="37" t="n">
        <v>937618</v>
      </c>
      <c r="J549" s="37" t="n">
        <v>535433</v>
      </c>
      <c r="K549" s="38" t="n">
        <v>-2.81</v>
      </c>
    </row>
    <row r="550">
      <c r="A550" s="35" t="inlineStr">
        <is>
          <t>AAVAS</t>
        </is>
      </c>
      <c r="C550" s="36" t="n">
        <v>1392</v>
      </c>
      <c r="D550" s="36" t="n">
        <v>1266.58</v>
      </c>
      <c r="E550" s="36" t="n">
        <v>1490.35</v>
      </c>
      <c r="F550" s="36" t="n">
        <v>2152.9</v>
      </c>
      <c r="G550" s="36" t="n">
        <v>1520</v>
      </c>
      <c r="H550" s="36" t="n">
        <v>1073.9</v>
      </c>
      <c r="I550" s="37" t="n">
        <v>181266</v>
      </c>
      <c r="J550" s="37" t="n">
        <v>185722</v>
      </c>
      <c r="K550" s="38" t="n">
        <v>-3.57</v>
      </c>
    </row>
    <row r="551">
      <c r="A551" s="35" t="inlineStr">
        <is>
          <t>GRSE</t>
        </is>
      </c>
      <c r="C551" s="36" t="n">
        <v>2817.8</v>
      </c>
      <c r="D551" s="36" t="n">
        <v>2446.87</v>
      </c>
      <c r="E551" s="36" t="n">
        <v>2432.96</v>
      </c>
      <c r="F551" s="36" t="n">
        <v>3513.72</v>
      </c>
      <c r="G551" s="36" t="n">
        <v>2828</v>
      </c>
      <c r="H551" s="36" t="n">
        <v>1972.8</v>
      </c>
      <c r="I551" s="37" t="n">
        <v>1745029</v>
      </c>
      <c r="J551" s="37" t="n">
        <v>1014010</v>
      </c>
      <c r="K551" s="38" t="n">
        <v>16.23</v>
      </c>
    </row>
    <row r="552">
      <c r="A552" s="35" t="inlineStr">
        <is>
          <t>ABDL</t>
        </is>
      </c>
      <c r="C552" s="36" t="n">
        <v>553.1</v>
      </c>
      <c r="D552" s="36" t="n">
        <v>486.23</v>
      </c>
      <c r="E552" s="36" t="n">
        <v>494.68</v>
      </c>
      <c r="F552" s="36" t="n">
        <v>696.8</v>
      </c>
      <c r="G552" s="36" t="n">
        <v>588</v>
      </c>
      <c r="H552" s="36" t="n">
        <v>384.15</v>
      </c>
      <c r="I552" s="37" t="n">
        <v>560110</v>
      </c>
      <c r="J552" s="37" t="n">
        <v>422574</v>
      </c>
      <c r="K552" s="38" t="n">
        <v>16.41</v>
      </c>
    </row>
    <row r="553">
      <c r="A553" s="35" t="inlineStr">
        <is>
          <t>SHRIPISTON</t>
        </is>
      </c>
      <c r="C553" s="36" t="n">
        <v>3591.6</v>
      </c>
      <c r="D553" s="36" t="n">
        <v>3174.17</v>
      </c>
      <c r="E553" s="36" t="n">
        <v>2823.57</v>
      </c>
      <c r="F553" s="36" t="n">
        <v>3764.9</v>
      </c>
      <c r="G553" s="36" t="n">
        <v>3764.9</v>
      </c>
      <c r="H553" s="36" t="n">
        <v>2664.21</v>
      </c>
      <c r="I553" s="37" t="n">
        <v>89311</v>
      </c>
      <c r="J553" s="37" t="n">
        <v>70983</v>
      </c>
      <c r="K553" s="38" t="n">
        <v>20.32</v>
      </c>
    </row>
    <row r="554">
      <c r="A554" s="35" t="inlineStr">
        <is>
          <t>INDIACEM</t>
        </is>
      </c>
      <c r="C554" s="36" t="n">
        <v>422.95</v>
      </c>
      <c r="D554" s="36" t="n">
        <v>395.5</v>
      </c>
      <c r="E554" s="36" t="n">
        <v>390.4</v>
      </c>
      <c r="F554" s="36" t="n">
        <v>485.8</v>
      </c>
      <c r="G554" s="36" t="n">
        <v>482</v>
      </c>
      <c r="H554" s="36" t="n">
        <v>343.8</v>
      </c>
      <c r="I554" s="37" t="n">
        <v>194859</v>
      </c>
      <c r="J554" s="37" t="n">
        <v>211418</v>
      </c>
      <c r="K554" s="38" t="n">
        <v>-10.69</v>
      </c>
    </row>
    <row r="555">
      <c r="A555" s="35" t="inlineStr">
        <is>
          <t>BIRLACORPN</t>
        </is>
      </c>
      <c r="C555" s="36" t="n">
        <v>948.35</v>
      </c>
      <c r="D555" s="36" t="n">
        <v>941.54</v>
      </c>
      <c r="E555" s="36" t="n">
        <v>1069.14</v>
      </c>
      <c r="F555" s="36" t="n">
        <v>1523.31</v>
      </c>
      <c r="G555" s="36" t="n">
        <v>1116</v>
      </c>
      <c r="H555" s="36" t="n">
        <v>782.4</v>
      </c>
      <c r="I555" s="37" t="n">
        <v>93843</v>
      </c>
      <c r="J555" s="37" t="n">
        <v>67062</v>
      </c>
      <c r="K555" s="38" t="n">
        <v>-10.03</v>
      </c>
    </row>
    <row r="556">
      <c r="A556" s="35" t="inlineStr">
        <is>
          <t>IRFC</t>
        </is>
      </c>
      <c r="C556" s="36" t="n">
        <v>105.82</v>
      </c>
      <c r="D556" s="36" t="n">
        <v>102.27</v>
      </c>
      <c r="E556" s="36" t="n">
        <v>113.9</v>
      </c>
      <c r="F556" s="36" t="n">
        <v>146.15</v>
      </c>
      <c r="G556" s="36" t="n">
        <v>122.59</v>
      </c>
      <c r="H556" s="36" t="n">
        <v>87.23</v>
      </c>
      <c r="I556" s="37" t="n">
        <v>18343826</v>
      </c>
      <c r="J556" s="37" t="n">
        <v>16588277</v>
      </c>
      <c r="K556" s="38" t="n">
        <v>-12.35</v>
      </c>
    </row>
    <row r="557">
      <c r="A557" s="35" t="inlineStr">
        <is>
          <t>UPL</t>
        </is>
      </c>
      <c r="C557" s="36" t="n">
        <v>653.85</v>
      </c>
      <c r="D557" s="36" t="n">
        <v>655.62</v>
      </c>
      <c r="E557" s="36" t="n">
        <v>689.53</v>
      </c>
      <c r="F557" s="36" t="n">
        <v>812.2</v>
      </c>
      <c r="G557" s="36" t="n">
        <v>800.05</v>
      </c>
      <c r="H557" s="36" t="n">
        <v>567.95</v>
      </c>
      <c r="I557" s="37" t="n">
        <v>1737923</v>
      </c>
      <c r="J557" s="37" t="n">
        <v>2249941</v>
      </c>
      <c r="K557" s="38" t="n">
        <v>-16.22</v>
      </c>
    </row>
    <row r="558">
      <c r="A558" s="35" t="inlineStr">
        <is>
          <t>POLYMED</t>
        </is>
      </c>
      <c r="C558" s="36" t="n">
        <v>1473.2</v>
      </c>
      <c r="D558" s="36" t="n">
        <v>1410.09</v>
      </c>
      <c r="E558" s="36" t="n">
        <v>1739.99</v>
      </c>
      <c r="F558" s="36" t="n">
        <v>2932.45</v>
      </c>
      <c r="G558" s="36" t="n">
        <v>1717.2</v>
      </c>
      <c r="H558" s="36" t="n">
        <v>1191.1</v>
      </c>
      <c r="I558" s="37" t="n">
        <v>136708</v>
      </c>
      <c r="J558" s="37" t="n">
        <v>182938</v>
      </c>
      <c r="K558" s="38" t="n">
        <v>-11.62</v>
      </c>
    </row>
    <row r="559">
      <c r="A559" s="35" t="inlineStr">
        <is>
          <t>DEEPAKFERT</t>
        </is>
      </c>
      <c r="C559" s="36" t="n">
        <v>1270.1</v>
      </c>
      <c r="D559" s="36" t="n">
        <v>1071.01</v>
      </c>
      <c r="E559" s="36" t="n">
        <v>1220.43</v>
      </c>
      <c r="F559" s="36" t="n">
        <v>1765.95</v>
      </c>
      <c r="G559" s="36" t="n">
        <v>1292.5</v>
      </c>
      <c r="H559" s="36" t="n">
        <v>872.1</v>
      </c>
      <c r="I559" s="37" t="n">
        <v>510412</v>
      </c>
      <c r="J559" s="37" t="n">
        <v>282085</v>
      </c>
      <c r="K559" s="38" t="n">
        <v>4.38</v>
      </c>
    </row>
    <row r="560">
      <c r="A560" s="35" t="inlineStr">
        <is>
          <t>VOLTAMP</t>
        </is>
      </c>
      <c r="C560" s="36" t="n">
        <v>11051</v>
      </c>
      <c r="D560" s="36" t="n">
        <v>8887.379999999999</v>
      </c>
      <c r="E560" s="36" t="n">
        <v>8185.68</v>
      </c>
      <c r="F560" s="36" t="n">
        <v>11168</v>
      </c>
      <c r="G560" s="36" t="n">
        <v>11168</v>
      </c>
      <c r="H560" s="36" t="n">
        <v>6778.5</v>
      </c>
      <c r="I560" s="37" t="n">
        <v>43584</v>
      </c>
      <c r="J560" s="37" t="n">
        <v>37286</v>
      </c>
      <c r="K560" s="38" t="n">
        <v>54.53</v>
      </c>
    </row>
    <row r="561">
      <c r="A561" s="35" t="inlineStr">
        <is>
          <t>IOC</t>
        </is>
      </c>
      <c r="C561" s="36" t="n">
        <v>147.36</v>
      </c>
      <c r="D561" s="36" t="n">
        <v>151.4</v>
      </c>
      <c r="E561" s="36" t="n">
        <v>150.73</v>
      </c>
      <c r="F561" s="36" t="n">
        <v>186.61</v>
      </c>
      <c r="G561" s="36" t="n">
        <v>186.61</v>
      </c>
      <c r="H561" s="36" t="n">
        <v>134.05</v>
      </c>
      <c r="I561" s="37" t="n">
        <v>21941388</v>
      </c>
      <c r="J561" s="37" t="n">
        <v>20318430</v>
      </c>
      <c r="K561" s="38" t="n">
        <v>-6.25</v>
      </c>
    </row>
    <row r="562">
      <c r="A562" s="35" t="inlineStr">
        <is>
          <t>M&amp;MFIN</t>
        </is>
      </c>
      <c r="C562" s="36" t="n">
        <v>300.25</v>
      </c>
      <c r="D562" s="36" t="n">
        <v>324.11</v>
      </c>
      <c r="E562" s="36" t="n">
        <v>319.07</v>
      </c>
      <c r="F562" s="36" t="n">
        <v>412.2</v>
      </c>
      <c r="G562" s="36" t="n">
        <v>396.9</v>
      </c>
      <c r="H562" s="36" t="n">
        <v>277.5</v>
      </c>
      <c r="I562" s="37" t="n">
        <v>2203036</v>
      </c>
      <c r="J562" s="37" t="n">
        <v>1835572</v>
      </c>
      <c r="K562" s="38" t="n">
        <v>-15.41</v>
      </c>
    </row>
    <row r="563">
      <c r="A563" s="35" t="inlineStr">
        <is>
          <t>CHOICEIN</t>
        </is>
      </c>
      <c r="C563" s="36" t="n">
        <v>708.75</v>
      </c>
      <c r="D563" s="36" t="n">
        <v>700.35</v>
      </c>
      <c r="E563" s="36" t="n">
        <v>733.21</v>
      </c>
      <c r="F563" s="36" t="n">
        <v>860.5</v>
      </c>
      <c r="G563" s="36" t="n">
        <v>838</v>
      </c>
      <c r="H563" s="36" t="n">
        <v>583.95</v>
      </c>
      <c r="I563" s="37" t="n">
        <v>694296</v>
      </c>
      <c r="J563" s="37" t="n">
        <v>595108</v>
      </c>
      <c r="K563" s="38" t="n">
        <v>-14.77</v>
      </c>
    </row>
    <row r="564">
      <c r="A564" s="35" t="inlineStr">
        <is>
          <t>SURYAROSNI</t>
        </is>
      </c>
      <c r="C564" s="36" t="n">
        <v>242.35</v>
      </c>
      <c r="D564" s="36" t="n">
        <v>226.08</v>
      </c>
      <c r="E564" s="36" t="n">
        <v>254.57</v>
      </c>
      <c r="F564" s="36" t="n">
        <v>352.28</v>
      </c>
      <c r="G564" s="36" t="n">
        <v>271.35</v>
      </c>
      <c r="H564" s="36" t="n">
        <v>188.08</v>
      </c>
      <c r="I564" s="37" t="n">
        <v>449077</v>
      </c>
      <c r="J564" s="37" t="n">
        <v>353409</v>
      </c>
      <c r="K564" s="38" t="n">
        <v>-8.869999999999999</v>
      </c>
    </row>
    <row r="565">
      <c r="A565" s="35" t="inlineStr">
        <is>
          <t>NATCOPHARM</t>
        </is>
      </c>
      <c r="C565" s="36" t="n">
        <v>1071</v>
      </c>
      <c r="D565" s="36" t="n">
        <v>993.37</v>
      </c>
      <c r="E565" s="36" t="n">
        <v>915.96</v>
      </c>
      <c r="F565" s="36" t="n">
        <v>1134.85</v>
      </c>
      <c r="G565" s="36" t="n">
        <v>1134.85</v>
      </c>
      <c r="H565" s="36" t="n">
        <v>811.8200000000001</v>
      </c>
      <c r="I565" s="37" t="n">
        <v>703695</v>
      </c>
      <c r="J565" s="37" t="n">
        <v>690459</v>
      </c>
      <c r="K565" s="38" t="n">
        <v>20.28</v>
      </c>
    </row>
    <row r="566">
      <c r="A566" s="35" t="inlineStr">
        <is>
          <t>INFY</t>
        </is>
      </c>
      <c r="C566" s="36" t="n">
        <v>1268.6</v>
      </c>
      <c r="D566" s="36" t="n">
        <v>1345.43</v>
      </c>
      <c r="E566" s="36" t="n">
        <v>1450.83</v>
      </c>
      <c r="F566" s="36" t="n">
        <v>1728</v>
      </c>
      <c r="G566" s="36" t="n">
        <v>1728</v>
      </c>
      <c r="H566" s="36" t="n">
        <v>1220.8</v>
      </c>
      <c r="I566" s="37" t="n">
        <v>12873492</v>
      </c>
      <c r="J566" s="37" t="n">
        <v>11493914</v>
      </c>
      <c r="K566" s="38" t="n">
        <v>-20.7</v>
      </c>
    </row>
    <row r="567">
      <c r="A567" s="35" t="inlineStr">
        <is>
          <t>ZEEL</t>
        </is>
      </c>
      <c r="C567" s="36" t="n">
        <v>87.58</v>
      </c>
      <c r="D567" s="36" t="n">
        <v>82.2</v>
      </c>
      <c r="E567" s="36" t="n">
        <v>95.41</v>
      </c>
      <c r="F567" s="36" t="n">
        <v>148.58</v>
      </c>
      <c r="G567" s="36" t="n">
        <v>99.09999999999999</v>
      </c>
      <c r="H567" s="36" t="n">
        <v>68.39</v>
      </c>
      <c r="I567" s="37" t="n">
        <v>17756007</v>
      </c>
      <c r="J567" s="37" t="n">
        <v>9330106</v>
      </c>
      <c r="K567" s="38" t="n">
        <v>-3</v>
      </c>
    </row>
    <row r="568">
      <c r="A568" s="35" t="inlineStr">
        <is>
          <t>EMMVEE</t>
        </is>
      </c>
    </row>
    <row r="569">
      <c r="A569" s="35" t="inlineStr">
        <is>
          <t>CRIZAC</t>
        </is>
      </c>
    </row>
    <row r="570">
      <c r="A570" s="35" t="inlineStr">
        <is>
          <t>INOXGREEN</t>
        </is>
      </c>
      <c r="C570" s="36" t="n">
        <v>178.26</v>
      </c>
      <c r="D570" s="36" t="n">
        <v>161.45</v>
      </c>
      <c r="E570" s="36" t="n">
        <v>176.5</v>
      </c>
      <c r="F570" s="36" t="n">
        <v>279</v>
      </c>
      <c r="G570" s="36" t="n">
        <v>193.51</v>
      </c>
      <c r="H570" s="36" t="n">
        <v>135.01</v>
      </c>
      <c r="I570" s="37" t="n">
        <v>2485547</v>
      </c>
      <c r="J570" s="37" t="n">
        <v>1222390</v>
      </c>
      <c r="K570" s="38" t="n">
        <v>-4.75</v>
      </c>
    </row>
    <row r="571">
      <c r="A571" s="35" t="inlineStr">
        <is>
          <t>FORCEMOT</t>
        </is>
      </c>
      <c r="C571" s="36" t="n">
        <v>21770</v>
      </c>
      <c r="D571" s="36" t="n">
        <v>21565.89</v>
      </c>
      <c r="E571" s="36" t="n">
        <v>18747.08</v>
      </c>
      <c r="F571" s="36" t="n">
        <v>26450</v>
      </c>
      <c r="G571" s="36" t="n">
        <v>26450</v>
      </c>
      <c r="H571" s="36" t="n">
        <v>18435</v>
      </c>
      <c r="I571" s="37" t="n">
        <v>92429</v>
      </c>
      <c r="J571" s="37" t="n">
        <v>94543</v>
      </c>
      <c r="K571" s="38" t="n">
        <v>6.22</v>
      </c>
    </row>
    <row r="572">
      <c r="A572" s="35" t="inlineStr">
        <is>
          <t>OLECTRA</t>
        </is>
      </c>
      <c r="C572" s="36" t="n">
        <v>1223.1</v>
      </c>
      <c r="D572" s="36" t="n">
        <v>1085.8</v>
      </c>
      <c r="E572" s="36" t="n">
        <v>1190.15</v>
      </c>
      <c r="F572" s="36" t="n">
        <v>1714.2</v>
      </c>
      <c r="G572" s="36" t="n">
        <v>1255.85</v>
      </c>
      <c r="H572" s="36" t="n">
        <v>880.45</v>
      </c>
      <c r="I572" s="37" t="n">
        <v>931379</v>
      </c>
      <c r="J572" s="37" t="n">
        <v>458824</v>
      </c>
      <c r="K572" s="38" t="n">
        <v>9.73</v>
      </c>
    </row>
    <row r="573">
      <c r="A573" s="35" t="inlineStr">
        <is>
          <t>ASHOKLEY</t>
        </is>
      </c>
      <c r="C573" s="36" t="n">
        <v>178.97</v>
      </c>
      <c r="D573" s="36" t="n">
        <v>177.8</v>
      </c>
      <c r="E573" s="36" t="n">
        <v>161.44</v>
      </c>
      <c r="F573" s="36" t="n">
        <v>215.42</v>
      </c>
      <c r="G573" s="36" t="n">
        <v>215.42</v>
      </c>
      <c r="H573" s="36" t="n">
        <v>148.44</v>
      </c>
      <c r="I573" s="37" t="n">
        <v>21631702</v>
      </c>
      <c r="J573" s="37" t="n">
        <v>20044566</v>
      </c>
      <c r="K573" s="38" t="n">
        <v>-4.24</v>
      </c>
    </row>
    <row r="574">
      <c r="A574" s="35" t="inlineStr">
        <is>
          <t>INOXINDIA</t>
        </is>
      </c>
      <c r="C574" s="36" t="n">
        <v>1592.9</v>
      </c>
      <c r="D574" s="36" t="n">
        <v>1256.67</v>
      </c>
      <c r="E574" s="36" t="n">
        <v>1174</v>
      </c>
      <c r="F574" s="36" t="n">
        <v>1604.4</v>
      </c>
      <c r="G574" s="36" t="n">
        <v>1604.4</v>
      </c>
      <c r="H574" s="36" t="n">
        <v>1073.4</v>
      </c>
      <c r="I574" s="37" t="n">
        <v>203621</v>
      </c>
      <c r="J574" s="37" t="n">
        <v>58762</v>
      </c>
      <c r="K574" s="38" t="n">
        <v>42.46</v>
      </c>
    </row>
    <row r="575">
      <c r="A575" s="35" t="inlineStr">
        <is>
          <t>BALUFORGE</t>
        </is>
      </c>
      <c r="C575" s="36" t="n">
        <v>478.55</v>
      </c>
      <c r="D575" s="36" t="n">
        <v>466.44</v>
      </c>
      <c r="E575" s="36" t="n">
        <v>535.55</v>
      </c>
      <c r="F575" s="36" t="n">
        <v>783.8200000000001</v>
      </c>
      <c r="G575" s="36" t="n">
        <v>527.9</v>
      </c>
      <c r="H575" s="36" t="n">
        <v>356.3</v>
      </c>
      <c r="I575" s="37" t="n">
        <v>499589</v>
      </c>
      <c r="J575" s="37" t="n">
        <v>631253</v>
      </c>
      <c r="K575" s="38" t="n">
        <v>4.59</v>
      </c>
    </row>
    <row r="576">
      <c r="A576" s="35" t="inlineStr">
        <is>
          <t>PGEL</t>
        </is>
      </c>
      <c r="C576" s="36" t="n">
        <v>568.65</v>
      </c>
      <c r="D576" s="36" t="n">
        <v>538.5599999999999</v>
      </c>
      <c r="E576" s="36" t="n">
        <v>605.9299999999999</v>
      </c>
      <c r="F576" s="36" t="n">
        <v>916.3</v>
      </c>
      <c r="G576" s="36" t="n">
        <v>634.65</v>
      </c>
      <c r="H576" s="36" t="n">
        <v>440.65</v>
      </c>
      <c r="I576" s="37" t="n">
        <v>3987020</v>
      </c>
      <c r="J576" s="37" t="n">
        <v>2879058</v>
      </c>
      <c r="K576" s="38" t="n">
        <v>-3.18</v>
      </c>
    </row>
    <row r="577">
      <c r="A577" s="35" t="inlineStr">
        <is>
          <t>REDINGTON</t>
        </is>
      </c>
      <c r="C577" s="36" t="n">
        <v>225.8</v>
      </c>
      <c r="D577" s="36" t="n">
        <v>234.11</v>
      </c>
      <c r="E577" s="36" t="n">
        <v>255.21</v>
      </c>
      <c r="F577" s="36" t="n">
        <v>327.51</v>
      </c>
      <c r="G577" s="36" t="n">
        <v>286</v>
      </c>
      <c r="H577" s="36" t="n">
        <v>199.95</v>
      </c>
      <c r="I577" s="37" t="n">
        <v>4259331</v>
      </c>
      <c r="J577" s="37" t="n">
        <v>2760465</v>
      </c>
      <c r="K577" s="38" t="n">
        <v>-17.49</v>
      </c>
    </row>
    <row r="578">
      <c r="A578" s="35" t="inlineStr">
        <is>
          <t>PRESTIGE</t>
        </is>
      </c>
      <c r="C578" s="36" t="n">
        <v>1405.5</v>
      </c>
      <c r="D578" s="36" t="n">
        <v>1351.96</v>
      </c>
      <c r="E578" s="36" t="n">
        <v>1476.7</v>
      </c>
      <c r="F578" s="36" t="n">
        <v>1811.91</v>
      </c>
      <c r="G578" s="36" t="n">
        <v>1604.7</v>
      </c>
      <c r="H578" s="36" t="n">
        <v>1126.5</v>
      </c>
      <c r="I578" s="37" t="n">
        <v>1244993</v>
      </c>
      <c r="J578" s="37" t="n">
        <v>847595</v>
      </c>
      <c r="K578" s="38" t="n">
        <v>-6.31</v>
      </c>
    </row>
    <row r="579">
      <c r="A579" s="35" t="inlineStr">
        <is>
          <t>ANGELONE</t>
        </is>
      </c>
      <c r="C579" s="36" t="n">
        <v>328.59</v>
      </c>
      <c r="D579" s="36" t="n">
        <v>259.36</v>
      </c>
      <c r="E579" s="36" t="n">
        <v>250.23</v>
      </c>
      <c r="F579" s="36" t="n">
        <v>330.23</v>
      </c>
      <c r="G579" s="36" t="n">
        <v>330.23</v>
      </c>
      <c r="H579" s="36" t="n">
        <v>211.53</v>
      </c>
      <c r="I579" s="37" t="n">
        <v>9009539</v>
      </c>
      <c r="J579" s="37" t="n">
        <v>8535370</v>
      </c>
      <c r="K579" s="38" t="n">
        <v>32.22</v>
      </c>
    </row>
    <row r="580">
      <c r="A580" s="35" t="inlineStr">
        <is>
          <t>SANSERA</t>
        </is>
      </c>
      <c r="C580" s="36" t="n">
        <v>2547</v>
      </c>
      <c r="D580" s="36" t="n">
        <v>2161.1</v>
      </c>
      <c r="E580" s="36" t="n">
        <v>1773.89</v>
      </c>
      <c r="F580" s="36" t="n">
        <v>2567.9</v>
      </c>
      <c r="G580" s="36" t="n">
        <v>2567.9</v>
      </c>
      <c r="H580" s="36" t="n">
        <v>1646.5</v>
      </c>
      <c r="I580" s="37" t="n">
        <v>224495</v>
      </c>
      <c r="J580" s="37" t="n">
        <v>215456</v>
      </c>
      <c r="K580" s="38" t="n">
        <v>43.23</v>
      </c>
    </row>
    <row r="581">
      <c r="A581" s="35" t="inlineStr">
        <is>
          <t>BSOFT</t>
        </is>
      </c>
      <c r="C581" s="36" t="n">
        <v>387.85</v>
      </c>
      <c r="D581" s="36" t="n">
        <v>380.01</v>
      </c>
      <c r="E581" s="36" t="n">
        <v>390.84</v>
      </c>
      <c r="F581" s="36" t="n">
        <v>474</v>
      </c>
      <c r="G581" s="36" t="n">
        <v>474</v>
      </c>
      <c r="H581" s="36" t="n">
        <v>332.55</v>
      </c>
      <c r="I581" s="37" t="n">
        <v>1086249</v>
      </c>
      <c r="J581" s="37" t="n">
        <v>1271616</v>
      </c>
      <c r="K581" s="38" t="n">
        <v>-7.57</v>
      </c>
    </row>
    <row r="582">
      <c r="A582" s="35" t="inlineStr">
        <is>
          <t>IRCON</t>
        </is>
      </c>
      <c r="C582" s="36" t="n">
        <v>155.6</v>
      </c>
      <c r="D582" s="36" t="n">
        <v>140.65</v>
      </c>
      <c r="E582" s="36" t="n">
        <v>155.28</v>
      </c>
      <c r="F582" s="36" t="n">
        <v>222.46</v>
      </c>
      <c r="G582" s="36" t="n">
        <v>166.41</v>
      </c>
      <c r="H582" s="36" t="n">
        <v>115.24</v>
      </c>
      <c r="I582" s="37" t="n">
        <v>4720612</v>
      </c>
      <c r="J582" s="37" t="n">
        <v>3252843</v>
      </c>
      <c r="K582" s="38" t="n">
        <v>-4.93</v>
      </c>
    </row>
    <row r="583">
      <c r="A583" s="35" t="inlineStr">
        <is>
          <t>LXCHEM</t>
        </is>
      </c>
      <c r="C583" s="36" t="n">
        <v>144.23</v>
      </c>
      <c r="D583" s="36" t="n">
        <v>132.36</v>
      </c>
      <c r="E583" s="36" t="n">
        <v>160.82</v>
      </c>
      <c r="F583" s="36" t="n">
        <v>241</v>
      </c>
      <c r="G583" s="36" t="n">
        <v>155.39</v>
      </c>
      <c r="H583" s="36" t="n">
        <v>108.11</v>
      </c>
      <c r="I583" s="37" t="n">
        <v>837194</v>
      </c>
      <c r="J583" s="37" t="n">
        <v>600306</v>
      </c>
      <c r="K583" s="38" t="n">
        <v>-3.52</v>
      </c>
    </row>
    <row r="584">
      <c r="A584" s="35" t="inlineStr">
        <is>
          <t>ZYDUSWELL</t>
        </is>
      </c>
      <c r="C584" s="36" t="n">
        <v>503.25</v>
      </c>
      <c r="D584" s="36" t="n">
        <v>449.28</v>
      </c>
      <c r="E584" s="36" t="n">
        <v>428.25</v>
      </c>
      <c r="F584" s="36" t="n">
        <v>552.4</v>
      </c>
      <c r="G584" s="36" t="n">
        <v>552.4</v>
      </c>
      <c r="H584" s="36" t="n">
        <v>373.5</v>
      </c>
      <c r="I584" s="37" t="n">
        <v>679380</v>
      </c>
      <c r="J584" s="37" t="n">
        <v>194843</v>
      </c>
      <c r="K584" s="38" t="n">
        <v>13.4</v>
      </c>
    </row>
    <row r="585">
      <c r="A585" s="35" t="inlineStr">
        <is>
          <t>ADANIPOWER</t>
        </is>
      </c>
      <c r="C585" s="36" t="n">
        <v>215.65</v>
      </c>
      <c r="D585" s="36" t="n">
        <v>162.28</v>
      </c>
      <c r="E585" s="36" t="n">
        <v>143.69</v>
      </c>
      <c r="F585" s="36" t="n">
        <v>216.5</v>
      </c>
      <c r="G585" s="36" t="n">
        <v>216.5</v>
      </c>
      <c r="H585" s="36" t="n">
        <v>132.96</v>
      </c>
      <c r="I585" s="37" t="n">
        <v>51497511</v>
      </c>
      <c r="J585" s="37" t="n">
        <v>21762199</v>
      </c>
      <c r="K585" s="38" t="n">
        <v>51.05</v>
      </c>
    </row>
    <row r="586">
      <c r="A586" s="35" t="inlineStr">
        <is>
          <t>ABREL</t>
        </is>
      </c>
      <c r="C586" s="36" t="n">
        <v>1413.9</v>
      </c>
      <c r="D586" s="36" t="n">
        <v>1310.39</v>
      </c>
      <c r="E586" s="36" t="n">
        <v>1570.54</v>
      </c>
      <c r="F586" s="36" t="n">
        <v>2535.63</v>
      </c>
      <c r="G586" s="36" t="n">
        <v>1565.9</v>
      </c>
      <c r="H586" s="36" t="n">
        <v>1094.9</v>
      </c>
      <c r="I586" s="37" t="n">
        <v>233457</v>
      </c>
      <c r="J586" s="37" t="n">
        <v>204699</v>
      </c>
      <c r="K586" s="38" t="n">
        <v>-7.75</v>
      </c>
    </row>
    <row r="587">
      <c r="A587" s="35" t="inlineStr">
        <is>
          <t>PCJEWELLER</t>
        </is>
      </c>
      <c r="C587" s="36" t="n">
        <v>9.779999999999999</v>
      </c>
      <c r="D587" s="36" t="n">
        <v>9.27</v>
      </c>
      <c r="E587" s="36" t="n">
        <v>10.81</v>
      </c>
      <c r="F587" s="36" t="n">
        <v>19.65</v>
      </c>
      <c r="G587" s="36" t="n">
        <v>11</v>
      </c>
      <c r="H587" s="36" t="n">
        <v>7.57</v>
      </c>
      <c r="I587" s="37" t="n">
        <v>64784513</v>
      </c>
      <c r="J587" s="37" t="n">
        <v>44273208</v>
      </c>
      <c r="K587" s="38" t="n">
        <v>-3.36</v>
      </c>
    </row>
    <row r="588">
      <c r="A588" s="35" t="inlineStr">
        <is>
          <t>BPCL</t>
        </is>
      </c>
      <c r="C588" s="36" t="n">
        <v>314.4</v>
      </c>
      <c r="D588" s="36" t="n">
        <v>320.12</v>
      </c>
      <c r="E588" s="36" t="n">
        <v>328.27</v>
      </c>
      <c r="F588" s="36" t="n">
        <v>391.65</v>
      </c>
      <c r="G588" s="36" t="n">
        <v>391.65</v>
      </c>
      <c r="H588" s="36" t="n">
        <v>271.3</v>
      </c>
      <c r="I588" s="37" t="n">
        <v>14504057</v>
      </c>
      <c r="J588" s="37" t="n">
        <v>11887552</v>
      </c>
      <c r="K588" s="38" t="n">
        <v>-9.42</v>
      </c>
    </row>
    <row r="589">
      <c r="A589" s="35" t="inlineStr">
        <is>
          <t>PAYTM</t>
        </is>
      </c>
      <c r="C589" s="36" t="n">
        <v>1162.15</v>
      </c>
      <c r="D589" s="36" t="n">
        <v>1111.37</v>
      </c>
      <c r="E589" s="36" t="n">
        <v>1134.02</v>
      </c>
      <c r="F589" s="36" t="n">
        <v>1381.8</v>
      </c>
      <c r="G589" s="36" t="n">
        <v>1353.8</v>
      </c>
      <c r="H589" s="36" t="n">
        <v>959</v>
      </c>
      <c r="I589" s="37" t="n">
        <v>2219237</v>
      </c>
      <c r="J589" s="37" t="n">
        <v>2484739</v>
      </c>
      <c r="K589" s="38" t="n">
        <v>-11.51</v>
      </c>
    </row>
    <row r="590">
      <c r="A590" s="35" t="inlineStr">
        <is>
          <t>TATAELXSI</t>
        </is>
      </c>
      <c r="C590" s="36" t="n">
        <v>4362.5</v>
      </c>
      <c r="D590" s="36" t="n">
        <v>4559.4</v>
      </c>
      <c r="E590" s="36" t="n">
        <v>5127.93</v>
      </c>
      <c r="F590" s="36" t="n">
        <v>6680</v>
      </c>
      <c r="G590" s="36" t="n">
        <v>5766</v>
      </c>
      <c r="H590" s="36" t="n">
        <v>3976.6</v>
      </c>
      <c r="I590" s="37" t="n">
        <v>291011</v>
      </c>
      <c r="J590" s="37" t="n">
        <v>268719</v>
      </c>
      <c r="K590" s="38" t="n">
        <v>-20.75</v>
      </c>
    </row>
    <row r="591">
      <c r="A591" s="35" t="inlineStr">
        <is>
          <t>TITAGARH</t>
        </is>
      </c>
      <c r="C591" s="36" t="n">
        <v>743.05</v>
      </c>
      <c r="D591" s="36" t="n">
        <v>704.38</v>
      </c>
      <c r="E591" s="36" t="n">
        <v>780.98</v>
      </c>
      <c r="F591" s="36" t="n">
        <v>973.1900000000001</v>
      </c>
      <c r="G591" s="36" t="n">
        <v>834</v>
      </c>
      <c r="H591" s="36" t="n">
        <v>574.85</v>
      </c>
      <c r="I591" s="37" t="n">
        <v>862889</v>
      </c>
      <c r="J591" s="37" t="n">
        <v>601766</v>
      </c>
      <c r="K591" s="38" t="n">
        <v>-9.15</v>
      </c>
    </row>
    <row r="592">
      <c r="A592" s="35" t="inlineStr">
        <is>
          <t>ETERNAL</t>
        </is>
      </c>
      <c r="C592" s="36" t="n">
        <v>262.99</v>
      </c>
      <c r="D592" s="36" t="n">
        <v>250.65</v>
      </c>
      <c r="E592" s="36" t="n">
        <v>270.73</v>
      </c>
      <c r="F592" s="36" t="n">
        <v>368.45</v>
      </c>
      <c r="G592" s="36" t="n">
        <v>308.55</v>
      </c>
      <c r="H592" s="36" t="n">
        <v>215.68</v>
      </c>
      <c r="I592" s="37" t="n">
        <v>45709250</v>
      </c>
      <c r="J592" s="37" t="n">
        <v>48878950</v>
      </c>
      <c r="K592" s="38" t="n">
        <v>-10.71</v>
      </c>
    </row>
    <row r="593">
      <c r="A593" s="35" t="inlineStr">
        <is>
          <t>SKYGOLD</t>
        </is>
      </c>
      <c r="C593" s="36" t="n">
        <v>421.4</v>
      </c>
      <c r="D593" s="36" t="n">
        <v>362.55</v>
      </c>
      <c r="E593" s="36" t="n">
        <v>336.89</v>
      </c>
      <c r="F593" s="36" t="n">
        <v>440</v>
      </c>
      <c r="G593" s="36" t="n">
        <v>440</v>
      </c>
      <c r="H593" s="36" t="n">
        <v>301.5</v>
      </c>
      <c r="I593" s="37" t="n">
        <v>760366</v>
      </c>
      <c r="J593" s="37" t="n">
        <v>587499</v>
      </c>
      <c r="K593" s="38" t="n">
        <v>29.78</v>
      </c>
    </row>
    <row r="594">
      <c r="A594" s="35" t="inlineStr">
        <is>
          <t>WAAREEENER</t>
        </is>
      </c>
      <c r="C594" s="36" t="n">
        <v>3427.8</v>
      </c>
      <c r="D594" s="36" t="n">
        <v>3087.57</v>
      </c>
      <c r="E594" s="36" t="n">
        <v>3021</v>
      </c>
      <c r="F594" s="36" t="n">
        <v>3862.83</v>
      </c>
      <c r="G594" s="36" t="n">
        <v>3557</v>
      </c>
      <c r="H594" s="36" t="n">
        <v>2419</v>
      </c>
      <c r="I594" s="37" t="n">
        <v>1799109</v>
      </c>
      <c r="J594" s="37" t="n">
        <v>1511526</v>
      </c>
      <c r="K594" s="38" t="n">
        <v>33.9</v>
      </c>
    </row>
    <row r="595">
      <c r="A595" s="35" t="inlineStr">
        <is>
          <t>KSB</t>
        </is>
      </c>
      <c r="C595" s="36" t="n">
        <v>996.1</v>
      </c>
      <c r="D595" s="36" t="n">
        <v>823.78</v>
      </c>
      <c r="E595" s="36" t="n">
        <v>783.91</v>
      </c>
      <c r="F595" s="36" t="n">
        <v>1011.5</v>
      </c>
      <c r="G595" s="36" t="n">
        <v>1011.5</v>
      </c>
      <c r="H595" s="36" t="n">
        <v>680</v>
      </c>
      <c r="I595" s="37" t="n">
        <v>383477</v>
      </c>
      <c r="J595" s="37" t="n">
        <v>136023</v>
      </c>
      <c r="K595" s="38" t="n">
        <v>36.75</v>
      </c>
    </row>
    <row r="596">
      <c r="A596" s="35" t="inlineStr">
        <is>
          <t>MIDHANI</t>
        </is>
      </c>
      <c r="C596" s="36" t="n">
        <v>385.9</v>
      </c>
      <c r="D596" s="36" t="n">
        <v>336.49</v>
      </c>
      <c r="E596" s="36" t="n">
        <v>348.57</v>
      </c>
      <c r="F596" s="36" t="n">
        <v>467.76</v>
      </c>
      <c r="G596" s="36" t="n">
        <v>395.45</v>
      </c>
      <c r="H596" s="36" t="n">
        <v>270.45</v>
      </c>
      <c r="I596" s="37" t="n">
        <v>790878</v>
      </c>
      <c r="J596" s="37" t="n">
        <v>616982</v>
      </c>
      <c r="K596" s="38" t="n">
        <v>10.35</v>
      </c>
    </row>
    <row r="597">
      <c r="A597" s="35" t="inlineStr">
        <is>
          <t>JINDALSAW</t>
        </is>
      </c>
      <c r="C597" s="36" t="n">
        <v>244.97</v>
      </c>
      <c r="D597" s="36" t="n">
        <v>196.88</v>
      </c>
      <c r="E597" s="36" t="n">
        <v>196.52</v>
      </c>
      <c r="F597" s="36" t="n">
        <v>265.04</v>
      </c>
      <c r="G597" s="36" t="n">
        <v>246.99</v>
      </c>
      <c r="H597" s="36" t="n">
        <v>154.64</v>
      </c>
      <c r="I597" s="37" t="n">
        <v>2986563</v>
      </c>
      <c r="J597" s="37" t="n">
        <v>2972025</v>
      </c>
      <c r="K597" s="38" t="n">
        <v>53.13</v>
      </c>
    </row>
    <row r="598">
      <c r="A598" s="35" t="inlineStr">
        <is>
          <t>MPHASIS</t>
        </is>
      </c>
      <c r="C598" s="36" t="n">
        <v>2331</v>
      </c>
      <c r="D598" s="36" t="n">
        <v>2355.71</v>
      </c>
      <c r="E598" s="36" t="n">
        <v>2563.68</v>
      </c>
      <c r="F598" s="36" t="n">
        <v>3037.2</v>
      </c>
      <c r="G598" s="36" t="n">
        <v>2975</v>
      </c>
      <c r="H598" s="36" t="n">
        <v>2047.4</v>
      </c>
      <c r="I598" s="37" t="n">
        <v>747214</v>
      </c>
      <c r="J598" s="37" t="n">
        <v>614479</v>
      </c>
      <c r="K598" s="38" t="n">
        <v>-16.42</v>
      </c>
    </row>
    <row r="599">
      <c r="A599" s="35" t="inlineStr">
        <is>
          <t>GREAVESCOT</t>
        </is>
      </c>
      <c r="C599" s="36" t="n">
        <v>161.34</v>
      </c>
      <c r="D599" s="36" t="n">
        <v>152.14</v>
      </c>
      <c r="E599" s="36" t="n">
        <v>176.94</v>
      </c>
      <c r="F599" s="36" t="n">
        <v>244.3</v>
      </c>
      <c r="G599" s="36" t="n">
        <v>177.8</v>
      </c>
      <c r="H599" s="36" t="n">
        <v>120.61</v>
      </c>
      <c r="I599" s="37" t="n">
        <v>1211788</v>
      </c>
      <c r="J599" s="37" t="n">
        <v>1024430</v>
      </c>
      <c r="K599" s="38" t="n">
        <v>-5.44</v>
      </c>
    </row>
    <row r="600">
      <c r="A600" s="35" t="inlineStr">
        <is>
          <t>ZENSARTECH</t>
        </is>
      </c>
      <c r="C600" s="36" t="n">
        <v>579.85</v>
      </c>
      <c r="D600" s="36" t="n">
        <v>583.89</v>
      </c>
      <c r="E600" s="36" t="n">
        <v>673.8200000000001</v>
      </c>
      <c r="F600" s="36" t="n">
        <v>879.3099999999999</v>
      </c>
      <c r="G600" s="36" t="n">
        <v>736.92</v>
      </c>
      <c r="H600" s="36" t="n">
        <v>514.55</v>
      </c>
      <c r="I600" s="37" t="n">
        <v>404990</v>
      </c>
      <c r="J600" s="37" t="n">
        <v>434770</v>
      </c>
      <c r="K600" s="38" t="n">
        <v>-18.02</v>
      </c>
    </row>
    <row r="601">
      <c r="A601" s="35" t="inlineStr">
        <is>
          <t>PARKHOSPS</t>
        </is>
      </c>
    </row>
    <row r="602">
      <c r="A602" s="35" t="inlineStr">
        <is>
          <t>RAILTEL</t>
        </is>
      </c>
      <c r="C602" s="36" t="n">
        <v>331.59</v>
      </c>
      <c r="D602" s="36" t="n">
        <v>302.88</v>
      </c>
      <c r="E602" s="36" t="n">
        <v>330.35</v>
      </c>
      <c r="F602" s="36" t="n">
        <v>474.82</v>
      </c>
      <c r="G602" s="36" t="n">
        <v>357.35</v>
      </c>
      <c r="H602" s="36" t="n">
        <v>246.1</v>
      </c>
      <c r="I602" s="37" t="n">
        <v>1527908</v>
      </c>
      <c r="J602" s="37" t="n">
        <v>1216332</v>
      </c>
      <c r="K602" s="38" t="n">
        <v>-5.72</v>
      </c>
    </row>
    <row r="603">
      <c r="A603" s="35" t="inlineStr">
        <is>
          <t>APOLLO</t>
        </is>
      </c>
      <c r="C603" s="36" t="n">
        <v>287.25</v>
      </c>
      <c r="D603" s="36" t="n">
        <v>231.02</v>
      </c>
      <c r="E603" s="36" t="n">
        <v>228.45</v>
      </c>
      <c r="F603" s="36" t="n">
        <v>354.7</v>
      </c>
      <c r="G603" s="36" t="n">
        <v>299.6</v>
      </c>
      <c r="H603" s="36" t="n">
        <v>182.16</v>
      </c>
      <c r="I603" s="37" t="n">
        <v>6927611</v>
      </c>
      <c r="J603" s="37" t="n">
        <v>4400391</v>
      </c>
      <c r="K603" s="38" t="n">
        <v>15.92</v>
      </c>
    </row>
    <row r="604">
      <c r="A604" s="35" t="inlineStr">
        <is>
          <t>SAATVIKGL</t>
        </is>
      </c>
    </row>
    <row r="605">
      <c r="A605" s="35" t="inlineStr">
        <is>
          <t>NAUKRI</t>
        </is>
      </c>
      <c r="C605" s="36" t="n">
        <v>1052.7</v>
      </c>
      <c r="D605" s="36" t="n">
        <v>1061.01</v>
      </c>
      <c r="E605" s="36" t="n">
        <v>1228.7</v>
      </c>
      <c r="F605" s="36" t="n">
        <v>1540.07</v>
      </c>
      <c r="G605" s="36" t="n">
        <v>1384.96</v>
      </c>
      <c r="H605" s="36" t="n">
        <v>949.6</v>
      </c>
      <c r="I605" s="37" t="n">
        <v>1573502</v>
      </c>
      <c r="J605" s="37" t="n">
        <v>1721809</v>
      </c>
      <c r="K605" s="38" t="n">
        <v>-19.21</v>
      </c>
    </row>
    <row r="606">
      <c r="A606" s="35" t="inlineStr">
        <is>
          <t>ADANIGREEN</t>
        </is>
      </c>
      <c r="C606" s="36" t="n">
        <v>1198.95</v>
      </c>
      <c r="D606" s="36" t="n">
        <v>973.37</v>
      </c>
      <c r="E606" s="36" t="n">
        <v>973.62</v>
      </c>
      <c r="F606" s="36" t="n">
        <v>1205</v>
      </c>
      <c r="G606" s="36" t="n">
        <v>1205</v>
      </c>
      <c r="H606" s="36" t="n">
        <v>772.8</v>
      </c>
      <c r="I606" s="37" t="n">
        <v>4139485</v>
      </c>
      <c r="J606" s="37" t="n">
        <v>2938260</v>
      </c>
      <c r="K606" s="38" t="n">
        <v>28.19</v>
      </c>
    </row>
    <row r="607">
      <c r="A607" s="35" t="inlineStr">
        <is>
          <t>RAYMONDLSL</t>
        </is>
      </c>
      <c r="C607" s="36" t="n">
        <v>811.2</v>
      </c>
      <c r="D607" s="36" t="n">
        <v>845.88</v>
      </c>
      <c r="E607" s="36" t="n">
        <v>988.3099999999999</v>
      </c>
      <c r="F607" s="36" t="n">
        <v>1411.9</v>
      </c>
      <c r="G607" s="36" t="n">
        <v>1094.5</v>
      </c>
      <c r="H607" s="36" t="n">
        <v>737.75</v>
      </c>
      <c r="I607" s="37" t="n">
        <v>166436</v>
      </c>
      <c r="J607" s="37" t="n">
        <v>94661</v>
      </c>
      <c r="K607" s="38" t="n">
        <v>-16.56</v>
      </c>
    </row>
    <row r="608">
      <c r="A608" s="35" t="inlineStr">
        <is>
          <t>BORORENEW</t>
        </is>
      </c>
      <c r="C608" s="36" t="n">
        <v>516.75</v>
      </c>
      <c r="D608" s="36" t="n">
        <v>462.79</v>
      </c>
      <c r="E608" s="36" t="n">
        <v>515.64</v>
      </c>
      <c r="F608" s="36" t="n">
        <v>721</v>
      </c>
      <c r="G608" s="36" t="n">
        <v>551</v>
      </c>
      <c r="H608" s="36" t="n">
        <v>377</v>
      </c>
      <c r="I608" s="37" t="n">
        <v>627985</v>
      </c>
      <c r="J608" s="37" t="n">
        <v>475368</v>
      </c>
      <c r="K608" s="38" t="n">
        <v>1.36</v>
      </c>
    </row>
    <row r="609">
      <c r="A609" s="35" t="inlineStr">
        <is>
          <t>WEWORK</t>
        </is>
      </c>
    </row>
    <row r="610">
      <c r="A610" s="35" t="inlineStr">
        <is>
          <t>GROWW</t>
        </is>
      </c>
    </row>
    <row r="611">
      <c r="A611" s="35" t="inlineStr">
        <is>
          <t>LLOYDSME</t>
        </is>
      </c>
      <c r="C611" s="36" t="n">
        <v>1679.5</v>
      </c>
      <c r="D611" s="36" t="n">
        <v>1354.56</v>
      </c>
      <c r="E611" s="36" t="n">
        <v>1303.08</v>
      </c>
      <c r="F611" s="36" t="n">
        <v>1684</v>
      </c>
      <c r="G611" s="36" t="n">
        <v>1684</v>
      </c>
      <c r="H611" s="36" t="n">
        <v>1098.2</v>
      </c>
      <c r="I611" s="37" t="n">
        <v>760276</v>
      </c>
      <c r="J611" s="37" t="n">
        <v>464686</v>
      </c>
      <c r="K611" s="38" t="n">
        <v>35.59</v>
      </c>
    </row>
    <row r="612">
      <c r="A612" s="35" t="inlineStr">
        <is>
          <t>LEMONTREE</t>
        </is>
      </c>
      <c r="C612" s="36" t="n">
        <v>122.71</v>
      </c>
      <c r="D612" s="36" t="n">
        <v>117.13</v>
      </c>
      <c r="E612" s="36" t="n">
        <v>136.64</v>
      </c>
      <c r="F612" s="36" t="n">
        <v>180.68</v>
      </c>
      <c r="G612" s="36" t="n">
        <v>152.51</v>
      </c>
      <c r="H612" s="36" t="n">
        <v>100.42</v>
      </c>
      <c r="I612" s="37" t="n">
        <v>3842041</v>
      </c>
      <c r="J612" s="37" t="n">
        <v>4265479</v>
      </c>
      <c r="K612" s="38" t="n">
        <v>-17.9</v>
      </c>
    </row>
    <row r="613">
      <c r="A613" s="35" t="inlineStr">
        <is>
          <t>PERSISTENT</t>
        </is>
      </c>
      <c r="C613" s="36" t="n">
        <v>5073.3</v>
      </c>
      <c r="D613" s="36" t="n">
        <v>5269.35</v>
      </c>
      <c r="E613" s="36" t="n">
        <v>5535.57</v>
      </c>
      <c r="F613" s="36" t="n">
        <v>6575.41</v>
      </c>
      <c r="G613" s="36" t="n">
        <v>6552.5</v>
      </c>
      <c r="H613" s="36" t="n">
        <v>4529.4</v>
      </c>
      <c r="I613" s="37" t="n">
        <v>841855</v>
      </c>
      <c r="J613" s="37" t="n">
        <v>686833</v>
      </c>
      <c r="K613" s="38" t="n">
        <v>-18.85</v>
      </c>
    </row>
    <row r="614">
      <c r="A614" s="35" t="inlineStr">
        <is>
          <t>JKLAKSHMI</t>
        </is>
      </c>
      <c r="C614" s="36" t="n">
        <v>659.95</v>
      </c>
      <c r="D614" s="36" t="n">
        <v>657.84</v>
      </c>
      <c r="E614" s="36" t="n">
        <v>755.45</v>
      </c>
      <c r="F614" s="36" t="n">
        <v>1021.2</v>
      </c>
      <c r="G614" s="36" t="n">
        <v>810.95</v>
      </c>
      <c r="H614" s="36" t="n">
        <v>558.05</v>
      </c>
      <c r="I614" s="37" t="n">
        <v>110192</v>
      </c>
      <c r="J614" s="37" t="n">
        <v>119937</v>
      </c>
      <c r="K614" s="38" t="n">
        <v>-14.88</v>
      </c>
    </row>
    <row r="615">
      <c r="A615" s="35" t="inlineStr">
        <is>
          <t>HINDPETRO</t>
        </is>
      </c>
      <c r="C615" s="36" t="n">
        <v>382.55</v>
      </c>
      <c r="D615" s="36" t="n">
        <v>384.11</v>
      </c>
      <c r="E615" s="36" t="n">
        <v>412.85</v>
      </c>
      <c r="F615" s="36" t="n">
        <v>508.45</v>
      </c>
      <c r="G615" s="36" t="n">
        <v>475.75</v>
      </c>
      <c r="H615" s="36" t="n">
        <v>319.15</v>
      </c>
      <c r="I615" s="37" t="n">
        <v>10264622</v>
      </c>
      <c r="J615" s="37" t="n">
        <v>6429392</v>
      </c>
      <c r="K615" s="38" t="n">
        <v>-13.09</v>
      </c>
    </row>
    <row r="616">
      <c r="A616" s="35" t="inlineStr">
        <is>
          <t>LUMAXTECH</t>
        </is>
      </c>
      <c r="C616" s="36" t="n">
        <v>1794.4</v>
      </c>
      <c r="D616" s="36" t="n">
        <v>1633.31</v>
      </c>
      <c r="E616" s="36" t="n">
        <v>1365.51</v>
      </c>
      <c r="F616" s="36" t="n">
        <v>1898</v>
      </c>
      <c r="G616" s="36" t="n">
        <v>1898</v>
      </c>
      <c r="H616" s="36" t="n">
        <v>1324.8</v>
      </c>
      <c r="I616" s="37" t="n">
        <v>225627</v>
      </c>
      <c r="J616" s="37" t="n">
        <v>250412</v>
      </c>
      <c r="K616" s="38" t="n">
        <v>19.73</v>
      </c>
    </row>
    <row r="617">
      <c r="A617" s="35" t="inlineStr">
        <is>
          <t>KNRCON</t>
        </is>
      </c>
      <c r="C617" s="36" t="n">
        <v>123.59</v>
      </c>
      <c r="D617" s="36" t="n">
        <v>127.37</v>
      </c>
      <c r="E617" s="36" t="n">
        <v>161.62</v>
      </c>
      <c r="F617" s="36" t="n">
        <v>244.69</v>
      </c>
      <c r="G617" s="36" t="n">
        <v>161</v>
      </c>
      <c r="H617" s="36" t="n">
        <v>109.62</v>
      </c>
      <c r="I617" s="37" t="n">
        <v>2505781</v>
      </c>
      <c r="J617" s="37" t="n">
        <v>1443921</v>
      </c>
      <c r="K617" s="38" t="n">
        <v>-12.87</v>
      </c>
    </row>
    <row r="618">
      <c r="A618" s="35" t="inlineStr">
        <is>
          <t>SWANCORP</t>
        </is>
      </c>
      <c r="C618" s="36" t="n">
        <v>346.9</v>
      </c>
      <c r="D618" s="36" t="n">
        <v>356.94</v>
      </c>
      <c r="E618" s="36" t="n">
        <v>409.06</v>
      </c>
      <c r="F618" s="36" t="n">
        <v>526.59</v>
      </c>
      <c r="G618" s="36" t="n">
        <v>438.9</v>
      </c>
      <c r="H618" s="36" t="n">
        <v>300</v>
      </c>
      <c r="I618" s="37" t="n">
        <v>1162299</v>
      </c>
      <c r="J618" s="37" t="n">
        <v>974660</v>
      </c>
      <c r="K618" s="38" t="n">
        <v>-17.65</v>
      </c>
    </row>
    <row r="619">
      <c r="A619" s="35" t="inlineStr">
        <is>
          <t>DEVYANI</t>
        </is>
      </c>
      <c r="C619" s="36" t="n">
        <v>113.2</v>
      </c>
      <c r="D619" s="36" t="n">
        <v>113.47</v>
      </c>
      <c r="E619" s="36" t="n">
        <v>138.38</v>
      </c>
      <c r="F619" s="36" t="n">
        <v>191</v>
      </c>
      <c r="G619" s="36" t="n">
        <v>137.42</v>
      </c>
      <c r="H619" s="36" t="n">
        <v>94.59</v>
      </c>
      <c r="I619" s="37" t="n">
        <v>3371788</v>
      </c>
      <c r="J619" s="37" t="n">
        <v>2664306</v>
      </c>
      <c r="K619" s="38" t="n">
        <v>-16.02</v>
      </c>
    </row>
    <row r="620">
      <c r="A620" s="35" t="inlineStr">
        <is>
          <t>BDL</t>
        </is>
      </c>
      <c r="C620" s="36" t="n">
        <v>1380.2</v>
      </c>
      <c r="D620" s="36" t="n">
        <v>1313.76</v>
      </c>
      <c r="E620" s="36" t="n">
        <v>1432.78</v>
      </c>
      <c r="F620" s="36" t="n">
        <v>2088.32</v>
      </c>
      <c r="G620" s="36" t="n">
        <v>1588.25</v>
      </c>
      <c r="H620" s="36" t="n">
        <v>1096.6</v>
      </c>
      <c r="I620" s="37" t="n">
        <v>1427573</v>
      </c>
      <c r="J620" s="37" t="n">
        <v>1390335</v>
      </c>
      <c r="K620" s="38" t="n">
        <v>-8.49</v>
      </c>
    </row>
    <row r="621">
      <c r="A621" s="35" t="inlineStr">
        <is>
          <t>YATHARTH</t>
        </is>
      </c>
      <c r="C621" s="36" t="n">
        <v>740.85</v>
      </c>
      <c r="D621" s="36" t="n">
        <v>691.38</v>
      </c>
      <c r="E621" s="36" t="n">
        <v>669.22</v>
      </c>
      <c r="F621" s="36" t="n">
        <v>843.7</v>
      </c>
      <c r="G621" s="36" t="n">
        <v>799</v>
      </c>
      <c r="H621" s="36" t="n">
        <v>550.8</v>
      </c>
      <c r="I621" s="37" t="n">
        <v>381813</v>
      </c>
      <c r="J621" s="37" t="n">
        <v>376992</v>
      </c>
      <c r="K621" s="38" t="n">
        <v>16.83</v>
      </c>
    </row>
    <row r="622">
      <c r="A622" s="35" t="inlineStr">
        <is>
          <t>IDFCFIRSTB</t>
        </is>
      </c>
      <c r="C622" s="36" t="n">
        <v>68.38</v>
      </c>
      <c r="D622" s="36" t="n">
        <v>69.25</v>
      </c>
      <c r="E622" s="36" t="n">
        <v>73.48</v>
      </c>
      <c r="F622" s="36" t="n">
        <v>87</v>
      </c>
      <c r="G622" s="36" t="n">
        <v>86.19</v>
      </c>
      <c r="H622" s="36" t="n">
        <v>58.85</v>
      </c>
      <c r="I622" s="37" t="n">
        <v>25908484</v>
      </c>
      <c r="J622" s="37" t="n">
        <v>28941537</v>
      </c>
      <c r="K622" s="38" t="n">
        <v>-17.68</v>
      </c>
    </row>
    <row r="623">
      <c r="A623" s="35" t="inlineStr">
        <is>
          <t>JPPOWER</t>
        </is>
      </c>
      <c r="C623" s="36" t="n">
        <v>20.13</v>
      </c>
      <c r="D623" s="36" t="n">
        <v>16.24</v>
      </c>
      <c r="E623" s="36" t="n">
        <v>16.69</v>
      </c>
      <c r="F623" s="36" t="n">
        <v>27.7</v>
      </c>
      <c r="G623" s="36" t="n">
        <v>20.4</v>
      </c>
      <c r="H623" s="36" t="n">
        <v>13.37</v>
      </c>
      <c r="I623" s="37" t="n">
        <v>98375618</v>
      </c>
      <c r="J623" s="37" t="n">
        <v>49422582</v>
      </c>
      <c r="K623" s="38" t="n">
        <v>22.15</v>
      </c>
    </row>
    <row r="624">
      <c r="A624" s="35" t="inlineStr">
        <is>
          <t>VIKRAMSOLR</t>
        </is>
      </c>
    </row>
    <row r="625">
      <c r="A625" s="35" t="inlineStr">
        <is>
          <t>APTUS</t>
        </is>
      </c>
      <c r="C625" s="36" t="n">
        <v>260.89</v>
      </c>
      <c r="D625" s="36" t="n">
        <v>234.6</v>
      </c>
      <c r="E625" s="36" t="n">
        <v>274.32</v>
      </c>
      <c r="F625" s="36" t="n">
        <v>361.53</v>
      </c>
      <c r="G625" s="36" t="n">
        <v>292.55</v>
      </c>
      <c r="H625" s="36" t="n">
        <v>194.57</v>
      </c>
      <c r="I625" s="37" t="n">
        <v>3041628</v>
      </c>
      <c r="J625" s="37" t="n">
        <v>1528414</v>
      </c>
      <c r="K625" s="38" t="n">
        <v>-3.48</v>
      </c>
    </row>
    <row r="626">
      <c r="A626" s="35" t="inlineStr">
        <is>
          <t>AEGISVOPAK</t>
        </is>
      </c>
      <c r="C626" s="36" t="n">
        <v>195</v>
      </c>
      <c r="D626" s="36" t="n">
        <v>198.48</v>
      </c>
      <c r="E626" s="36" t="n">
        <v>228.04</v>
      </c>
      <c r="F626" s="36" t="n">
        <v>302</v>
      </c>
      <c r="G626" s="36" t="n">
        <v>240.01</v>
      </c>
      <c r="H626" s="36" t="n">
        <v>161.65</v>
      </c>
      <c r="I626" s="37" t="n">
        <v>809721</v>
      </c>
      <c r="J626" s="37" t="n">
        <v>725461</v>
      </c>
      <c r="K626" s="38" t="n">
        <v>-13.74</v>
      </c>
    </row>
    <row r="627">
      <c r="A627" s="35" t="inlineStr">
        <is>
          <t>ACMESOLAR</t>
        </is>
      </c>
      <c r="C627" s="36" t="n">
        <v>303.55</v>
      </c>
      <c r="D627" s="36" t="n">
        <v>258.26</v>
      </c>
      <c r="E627" s="36" t="n">
        <v>247.58</v>
      </c>
      <c r="F627" s="36" t="n">
        <v>324.01</v>
      </c>
      <c r="G627" s="36" t="n">
        <v>314.4</v>
      </c>
      <c r="H627" s="36" t="n">
        <v>198.78</v>
      </c>
      <c r="I627" s="37" t="n">
        <v>1849760</v>
      </c>
      <c r="J627" s="37" t="n">
        <v>743878</v>
      </c>
      <c r="K627" s="38" t="n">
        <v>37</v>
      </c>
    </row>
    <row r="628">
      <c r="A628" s="35" t="inlineStr">
        <is>
          <t>RHIM</t>
        </is>
      </c>
      <c r="C628" s="36" t="n">
        <v>414.15</v>
      </c>
      <c r="D628" s="36" t="n">
        <v>399.49</v>
      </c>
      <c r="E628" s="36" t="n">
        <v>435.37</v>
      </c>
      <c r="F628" s="36" t="n">
        <v>534.89</v>
      </c>
      <c r="G628" s="36" t="n">
        <v>489.9</v>
      </c>
      <c r="H628" s="36" t="n">
        <v>334.1</v>
      </c>
      <c r="I628" s="37" t="n">
        <v>191185</v>
      </c>
      <c r="J628" s="37" t="n">
        <v>186847</v>
      </c>
      <c r="K628" s="38" t="n">
        <v>-10</v>
      </c>
    </row>
    <row r="629">
      <c r="A629" s="35" t="inlineStr">
        <is>
          <t>SAMHI</t>
        </is>
      </c>
      <c r="C629" s="36" t="n">
        <v>165.2</v>
      </c>
      <c r="D629" s="36" t="n">
        <v>157.64</v>
      </c>
      <c r="E629" s="36" t="n">
        <v>177.21</v>
      </c>
      <c r="F629" s="36" t="n">
        <v>254.5</v>
      </c>
      <c r="G629" s="36" t="n">
        <v>191.9</v>
      </c>
      <c r="H629" s="36" t="n">
        <v>128.15</v>
      </c>
      <c r="I629" s="37" t="n">
        <v>1197579</v>
      </c>
      <c r="J629" s="37" t="n">
        <v>887070</v>
      </c>
      <c r="K629" s="38" t="n">
        <v>-12.66</v>
      </c>
    </row>
    <row r="630">
      <c r="A630" s="35" t="inlineStr">
        <is>
          <t>ALOKINDS</t>
        </is>
      </c>
      <c r="C630" s="36" t="n">
        <v>14.11</v>
      </c>
      <c r="D630" s="36" t="n">
        <v>13.86</v>
      </c>
      <c r="E630" s="36" t="n">
        <v>15.82</v>
      </c>
      <c r="F630" s="36" t="n">
        <v>23.5</v>
      </c>
      <c r="G630" s="36" t="n">
        <v>17</v>
      </c>
      <c r="H630" s="36" t="n">
        <v>11.18</v>
      </c>
      <c r="I630" s="37" t="n">
        <v>7485829</v>
      </c>
      <c r="J630" s="37" t="n">
        <v>5345505</v>
      </c>
      <c r="K630" s="38" t="n">
        <v>-10.81</v>
      </c>
    </row>
    <row r="631">
      <c r="A631" s="35" t="inlineStr">
        <is>
          <t>SWSOLAR</t>
        </is>
      </c>
      <c r="C631" s="36" t="n">
        <v>218.65</v>
      </c>
      <c r="D631" s="36" t="n">
        <v>187.04</v>
      </c>
      <c r="E631" s="36" t="n">
        <v>221.89</v>
      </c>
      <c r="F631" s="36" t="n">
        <v>348.9</v>
      </c>
      <c r="G631" s="36" t="n">
        <v>226.9</v>
      </c>
      <c r="H631" s="36" t="n">
        <v>148.88</v>
      </c>
      <c r="I631" s="37" t="n">
        <v>1981424</v>
      </c>
      <c r="J631" s="37" t="n">
        <v>1825292</v>
      </c>
      <c r="K631" s="38" t="n">
        <v>10.38</v>
      </c>
    </row>
    <row r="632">
      <c r="A632" s="35" t="inlineStr">
        <is>
          <t>TTML</t>
        </is>
      </c>
      <c r="C632" s="36" t="n">
        <v>44.33</v>
      </c>
      <c r="D632" s="36" t="n">
        <v>41.24</v>
      </c>
      <c r="E632" s="36" t="n">
        <v>48.84</v>
      </c>
      <c r="F632" s="36" t="n">
        <v>81.12</v>
      </c>
      <c r="G632" s="36" t="n">
        <v>48.28</v>
      </c>
      <c r="H632" s="36" t="n">
        <v>31.36</v>
      </c>
      <c r="I632" s="37" t="n">
        <v>4766573</v>
      </c>
      <c r="J632" s="37" t="n">
        <v>2435392</v>
      </c>
      <c r="K632" s="38" t="n">
        <v>-4.67</v>
      </c>
    </row>
    <row r="633">
      <c r="A633" s="35" t="inlineStr">
        <is>
          <t>PGIL</t>
        </is>
      </c>
      <c r="C633" s="36" t="n">
        <v>1595.9</v>
      </c>
      <c r="D633" s="36" t="n">
        <v>1535.77</v>
      </c>
      <c r="E633" s="36" t="n">
        <v>1454.93</v>
      </c>
      <c r="F633" s="36" t="n">
        <v>1986.22</v>
      </c>
      <c r="G633" s="36" t="n">
        <v>1970.1</v>
      </c>
      <c r="H633" s="36" t="n">
        <v>1354</v>
      </c>
      <c r="I633" s="37" t="n">
        <v>42017</v>
      </c>
      <c r="J633" s="37" t="n">
        <v>50748</v>
      </c>
      <c r="K633" s="38" t="n">
        <v>9.65</v>
      </c>
    </row>
    <row r="634">
      <c r="A634" s="35" t="inlineStr">
        <is>
          <t>ADANIENSOL</t>
        </is>
      </c>
      <c r="C634" s="36" t="n">
        <v>1368.1</v>
      </c>
      <c r="D634" s="36" t="n">
        <v>1057.99</v>
      </c>
      <c r="E634" s="36" t="n">
        <v>972.72</v>
      </c>
      <c r="F634" s="36" t="n">
        <v>1383.4</v>
      </c>
      <c r="G634" s="36" t="n">
        <v>1383.4</v>
      </c>
      <c r="H634" s="36" t="n">
        <v>812.7</v>
      </c>
      <c r="I634" s="37" t="n">
        <v>2083508</v>
      </c>
      <c r="J634" s="37" t="n">
        <v>1645647</v>
      </c>
      <c r="K634" s="38" t="n">
        <v>46.71</v>
      </c>
    </row>
    <row r="635">
      <c r="A635" s="35" t="inlineStr">
        <is>
          <t>PNCINFRA</t>
        </is>
      </c>
      <c r="C635" s="36" t="n">
        <v>222.23</v>
      </c>
      <c r="D635" s="36" t="n">
        <v>200.59</v>
      </c>
      <c r="E635" s="36" t="n">
        <v>241.29</v>
      </c>
      <c r="F635" s="36" t="n">
        <v>331.15</v>
      </c>
      <c r="G635" s="36" t="n">
        <v>243.65</v>
      </c>
      <c r="H635" s="36" t="n">
        <v>160.55</v>
      </c>
      <c r="I635" s="37" t="n">
        <v>567714</v>
      </c>
      <c r="J635" s="37" t="n">
        <v>482879</v>
      </c>
      <c r="K635" s="38" t="n">
        <v>-7.6</v>
      </c>
    </row>
    <row r="636">
      <c r="A636" s="35" t="inlineStr">
        <is>
          <t>AMBER</t>
        </is>
      </c>
      <c r="C636" s="36" t="n">
        <v>7803.5</v>
      </c>
      <c r="D636" s="36" t="n">
        <v>7104.61</v>
      </c>
      <c r="E636" s="36" t="n">
        <v>7044.06</v>
      </c>
      <c r="F636" s="36" t="n">
        <v>8626</v>
      </c>
      <c r="G636" s="36" t="n">
        <v>8142.5</v>
      </c>
      <c r="H636" s="36" t="n">
        <v>5510</v>
      </c>
      <c r="I636" s="37" t="n">
        <v>342884</v>
      </c>
      <c r="J636" s="37" t="n">
        <v>311173</v>
      </c>
      <c r="K636" s="38" t="n">
        <v>27.64</v>
      </c>
    </row>
    <row r="637">
      <c r="A637" s="35" t="inlineStr">
        <is>
          <t>NETWORK18</t>
        </is>
      </c>
      <c r="C637" s="36" t="n">
        <v>36.29</v>
      </c>
      <c r="D637" s="36" t="n">
        <v>34.29</v>
      </c>
      <c r="E637" s="36" t="n">
        <v>41.48</v>
      </c>
      <c r="F637" s="36" t="n">
        <v>65.29000000000001</v>
      </c>
      <c r="G637" s="36" t="n">
        <v>41.24</v>
      </c>
      <c r="H637" s="36" t="n">
        <v>27.52</v>
      </c>
      <c r="I637" s="37" t="n">
        <v>5014141</v>
      </c>
      <c r="J637" s="37" t="n">
        <v>4064871</v>
      </c>
      <c r="K637" s="38" t="n">
        <v>-11.31</v>
      </c>
    </row>
    <row r="638">
      <c r="A638" s="35" t="inlineStr">
        <is>
          <t>MRPL</t>
        </is>
      </c>
      <c r="C638" s="36" t="n">
        <v>187.22</v>
      </c>
      <c r="D638" s="36" t="n">
        <v>179.55</v>
      </c>
      <c r="E638" s="36" t="n">
        <v>160.14</v>
      </c>
      <c r="F638" s="36" t="n">
        <v>212</v>
      </c>
      <c r="G638" s="36" t="n">
        <v>212</v>
      </c>
      <c r="H638" s="36" t="n">
        <v>136.53</v>
      </c>
      <c r="I638" s="37" t="n">
        <v>7186644</v>
      </c>
      <c r="J638" s="37" t="n">
        <v>10306016</v>
      </c>
      <c r="K638" s="38" t="n">
        <v>20.73</v>
      </c>
    </row>
    <row r="639">
      <c r="A639" s="35" t="inlineStr">
        <is>
          <t>ABB</t>
        </is>
      </c>
      <c r="C639" s="36" t="n">
        <v>7587</v>
      </c>
      <c r="D639" s="36" t="n">
        <v>6268.79</v>
      </c>
      <c r="E639" s="36" t="n">
        <v>5677.93</v>
      </c>
      <c r="F639" s="36" t="n">
        <v>7822.5</v>
      </c>
      <c r="G639" s="36" t="n">
        <v>7822.5</v>
      </c>
      <c r="H639" s="36" t="n">
        <v>4691.5</v>
      </c>
      <c r="I639" s="37" t="n">
        <v>339497</v>
      </c>
      <c r="J639" s="37" t="n">
        <v>297126</v>
      </c>
      <c r="K639" s="38" t="n">
        <v>53.74</v>
      </c>
    </row>
    <row r="640">
      <c r="A640" s="35" t="inlineStr">
        <is>
          <t>WIPRO</t>
        </is>
      </c>
      <c r="C640" s="36" t="n">
        <v>204</v>
      </c>
      <c r="D640" s="36" t="n">
        <v>207.42</v>
      </c>
      <c r="E640" s="36" t="n">
        <v>227.16</v>
      </c>
      <c r="F640" s="36" t="n">
        <v>266.23</v>
      </c>
      <c r="G640" s="36" t="n">
        <v>263.01</v>
      </c>
      <c r="H640" s="36" t="n">
        <v>187.54</v>
      </c>
      <c r="I640" s="37" t="n">
        <v>22084158</v>
      </c>
      <c r="J640" s="37" t="n">
        <v>16796201</v>
      </c>
      <c r="K640" s="38" t="n">
        <v>-19.57</v>
      </c>
    </row>
    <row r="641">
      <c r="A641" s="35" t="inlineStr">
        <is>
          <t>KIRLOSENG</t>
        </is>
      </c>
      <c r="C641" s="36" t="n">
        <v>1640.1</v>
      </c>
      <c r="D641" s="36" t="n">
        <v>1418.86</v>
      </c>
      <c r="E641" s="36" t="n">
        <v>1166.29</v>
      </c>
      <c r="F641" s="36" t="n">
        <v>1687.5</v>
      </c>
      <c r="G641" s="36" t="n">
        <v>1687.5</v>
      </c>
      <c r="H641" s="36" t="n">
        <v>1092.28</v>
      </c>
      <c r="I641" s="37" t="n">
        <v>306560</v>
      </c>
      <c r="J641" s="37" t="n">
        <v>290173</v>
      </c>
      <c r="K641" s="38" t="n">
        <v>42.78</v>
      </c>
    </row>
    <row r="642">
      <c r="A642" s="35" t="inlineStr">
        <is>
          <t>TVSSCS</t>
        </is>
      </c>
      <c r="C642" s="36" t="n">
        <v>115.67</v>
      </c>
      <c r="D642" s="36" t="n">
        <v>107.75</v>
      </c>
      <c r="E642" s="36" t="n">
        <v>114.12</v>
      </c>
      <c r="F642" s="36" t="n">
        <v>147</v>
      </c>
      <c r="G642" s="36" t="n">
        <v>137</v>
      </c>
      <c r="H642" s="36" t="n">
        <v>90.97</v>
      </c>
      <c r="I642" s="37" t="n">
        <v>304040</v>
      </c>
      <c r="J642" s="37" t="n">
        <v>473589</v>
      </c>
      <c r="K642" s="38" t="n">
        <v>6.05</v>
      </c>
    </row>
    <row r="643">
      <c r="A643" s="35" t="inlineStr">
        <is>
          <t>KANSAINER</t>
        </is>
      </c>
      <c r="C643" s="36" t="n">
        <v>204.04</v>
      </c>
      <c r="D643" s="36" t="n">
        <v>194.74</v>
      </c>
      <c r="E643" s="36" t="n">
        <v>221.43</v>
      </c>
      <c r="F643" s="36" t="n">
        <v>265.48</v>
      </c>
      <c r="G643" s="36" t="n">
        <v>238</v>
      </c>
      <c r="H643" s="36" t="n">
        <v>159.07</v>
      </c>
      <c r="I643" s="37" t="n">
        <v>442172</v>
      </c>
      <c r="J643" s="37" t="n">
        <v>397058</v>
      </c>
      <c r="K643" s="38" t="n">
        <v>-12.15</v>
      </c>
    </row>
    <row r="644">
      <c r="A644" s="35" t="inlineStr">
        <is>
          <t>JUSTDIAL</t>
        </is>
      </c>
      <c r="C644" s="36" t="n">
        <v>545.35</v>
      </c>
      <c r="D644" s="36" t="n">
        <v>571.33</v>
      </c>
      <c r="E644" s="36" t="n">
        <v>705.6900000000001</v>
      </c>
      <c r="F644" s="36" t="n">
        <v>965</v>
      </c>
      <c r="G644" s="36" t="n">
        <v>748.8</v>
      </c>
      <c r="H644" s="36" t="n">
        <v>490.7</v>
      </c>
      <c r="I644" s="37" t="n">
        <v>230956</v>
      </c>
      <c r="J644" s="37" t="n">
        <v>184313</v>
      </c>
      <c r="K644" s="38" t="n">
        <v>-24.23</v>
      </c>
    </row>
    <row r="645">
      <c r="A645" s="35" t="inlineStr">
        <is>
          <t>ANUP</t>
        </is>
      </c>
      <c r="C645" s="36" t="n">
        <v>2052.6</v>
      </c>
      <c r="D645" s="36" t="n">
        <v>1822.45</v>
      </c>
      <c r="E645" s="36" t="n">
        <v>2147.21</v>
      </c>
      <c r="F645" s="36" t="n">
        <v>3348.02</v>
      </c>
      <c r="G645" s="36" t="n">
        <v>2211.6</v>
      </c>
      <c r="H645" s="36" t="n">
        <v>1449.6</v>
      </c>
      <c r="I645" s="37" t="n">
        <v>51617</v>
      </c>
      <c r="J645" s="37" t="n">
        <v>49827</v>
      </c>
      <c r="K645" s="38" t="n">
        <v>2.53</v>
      </c>
    </row>
    <row r="646">
      <c r="A646" s="35" t="inlineStr">
        <is>
          <t>VAIBHAVGBL</t>
        </is>
      </c>
      <c r="C646" s="36" t="n">
        <v>223.57</v>
      </c>
      <c r="D646" s="36" t="n">
        <v>215.3</v>
      </c>
      <c r="E646" s="36" t="n">
        <v>225.17</v>
      </c>
      <c r="F646" s="36" t="n">
        <v>289.7</v>
      </c>
      <c r="G646" s="36" t="n">
        <v>268.08</v>
      </c>
      <c r="H646" s="36" t="n">
        <v>175.36</v>
      </c>
      <c r="I646" s="37" t="n">
        <v>333243</v>
      </c>
      <c r="J646" s="37" t="n">
        <v>402805</v>
      </c>
      <c r="K646" s="38" t="n">
        <v>1.67</v>
      </c>
    </row>
    <row r="647">
      <c r="A647" s="35" t="inlineStr">
        <is>
          <t>NIACL</t>
        </is>
      </c>
      <c r="C647" s="36" t="n">
        <v>162.8</v>
      </c>
      <c r="D647" s="36" t="n">
        <v>146.02</v>
      </c>
      <c r="E647" s="36" t="n">
        <v>160.44</v>
      </c>
      <c r="F647" s="36" t="n">
        <v>212.81</v>
      </c>
      <c r="G647" s="36" t="n">
        <v>180.4</v>
      </c>
      <c r="H647" s="36" t="n">
        <v>117.82</v>
      </c>
      <c r="I647" s="37" t="n">
        <v>857735</v>
      </c>
      <c r="J647" s="37" t="n">
        <v>412778</v>
      </c>
      <c r="K647" s="38" t="n">
        <v>8.69</v>
      </c>
    </row>
    <row r="648">
      <c r="A648" s="35" t="inlineStr">
        <is>
          <t>CCAVENUE</t>
        </is>
      </c>
    </row>
    <row r="649">
      <c r="A649" s="35" t="inlineStr">
        <is>
          <t>HFCL</t>
        </is>
      </c>
      <c r="C649" s="36" t="n">
        <v>100.37</v>
      </c>
      <c r="D649" s="36" t="n">
        <v>76.61</v>
      </c>
      <c r="E649" s="36" t="n">
        <v>74.15000000000001</v>
      </c>
      <c r="F649" s="36" t="n">
        <v>101.5</v>
      </c>
      <c r="G649" s="36" t="n">
        <v>101.5</v>
      </c>
      <c r="H649" s="36" t="n">
        <v>60.95</v>
      </c>
      <c r="I649" s="37" t="n">
        <v>22442676</v>
      </c>
      <c r="J649" s="37" t="n">
        <v>18090046</v>
      </c>
      <c r="K649" s="38" t="n">
        <v>55.83</v>
      </c>
    </row>
    <row r="650">
      <c r="A650" s="35" t="inlineStr">
        <is>
          <t>TDPOWERSYS</t>
        </is>
      </c>
      <c r="C650" s="36" t="n">
        <v>1062.7</v>
      </c>
      <c r="D650" s="36" t="n">
        <v>870.0599999999999</v>
      </c>
      <c r="E650" s="36" t="n">
        <v>716.4299999999999</v>
      </c>
      <c r="F650" s="36" t="n">
        <v>1066.9</v>
      </c>
      <c r="G650" s="36" t="n">
        <v>1066.9</v>
      </c>
      <c r="H650" s="36" t="n">
        <v>624.3</v>
      </c>
      <c r="I650" s="37" t="n">
        <v>1004726</v>
      </c>
      <c r="J650" s="37" t="n">
        <v>882288</v>
      </c>
      <c r="K650" s="38" t="n">
        <v>56.72</v>
      </c>
    </row>
    <row r="651">
      <c r="A651" s="35" t="inlineStr">
        <is>
          <t>LLOYDSENGG</t>
        </is>
      </c>
      <c r="C651" s="36" t="n">
        <v>59.07</v>
      </c>
      <c r="D651" s="36" t="n">
        <v>48.26</v>
      </c>
      <c r="E651" s="36" t="n">
        <v>53.7</v>
      </c>
      <c r="F651" s="36" t="n">
        <v>83.97</v>
      </c>
      <c r="G651" s="36" t="n">
        <v>60.57</v>
      </c>
      <c r="H651" s="36" t="n">
        <v>37.73</v>
      </c>
      <c r="I651" s="37" t="n">
        <v>7931175</v>
      </c>
      <c r="J651" s="37" t="n">
        <v>4134224</v>
      </c>
      <c r="K651" s="38" t="n">
        <v>15.64</v>
      </c>
    </row>
    <row r="652">
      <c r="A652" s="35" t="inlineStr">
        <is>
          <t>ICIL</t>
        </is>
      </c>
      <c r="C652" s="36" t="n">
        <v>274.44</v>
      </c>
      <c r="D652" s="36" t="n">
        <v>260.1</v>
      </c>
      <c r="E652" s="36" t="n">
        <v>272.49</v>
      </c>
      <c r="F652" s="36" t="n">
        <v>348.34</v>
      </c>
      <c r="G652" s="36" t="n">
        <v>343</v>
      </c>
      <c r="H652" s="36" t="n">
        <v>224.5</v>
      </c>
      <c r="I652" s="37" t="n">
        <v>429579</v>
      </c>
      <c r="J652" s="37" t="n">
        <v>397577</v>
      </c>
      <c r="K652" s="38" t="n">
        <v>8.24</v>
      </c>
    </row>
    <row r="653">
      <c r="A653" s="35" t="inlineStr">
        <is>
          <t>PREMIERENE</t>
        </is>
      </c>
      <c r="C653" s="36" t="n">
        <v>990.8</v>
      </c>
      <c r="D653" s="36" t="n">
        <v>881.37</v>
      </c>
      <c r="E653" s="36" t="n">
        <v>910.37</v>
      </c>
      <c r="F653" s="36" t="n">
        <v>1163.04</v>
      </c>
      <c r="G653" s="36" t="n">
        <v>1050.8</v>
      </c>
      <c r="H653" s="36" t="n">
        <v>683.1</v>
      </c>
      <c r="I653" s="37" t="n">
        <v>2193891</v>
      </c>
      <c r="J653" s="37" t="n">
        <v>1671737</v>
      </c>
      <c r="K653" s="38" t="n">
        <v>36.02</v>
      </c>
    </row>
    <row r="654">
      <c r="A654" s="35" t="inlineStr">
        <is>
          <t>HCC</t>
        </is>
      </c>
      <c r="C654" s="36" t="n">
        <v>20.18</v>
      </c>
      <c r="D654" s="36" t="n">
        <v>17.51</v>
      </c>
      <c r="E654" s="36" t="n">
        <v>21.54</v>
      </c>
      <c r="F654" s="36" t="n">
        <v>37.39</v>
      </c>
      <c r="G654" s="36" t="n">
        <v>21.29</v>
      </c>
      <c r="H654" s="36" t="n">
        <v>13.73</v>
      </c>
      <c r="I654" s="37" t="n">
        <v>35644501</v>
      </c>
      <c r="J654" s="37" t="n">
        <v>23372394</v>
      </c>
      <c r="K654" s="38" t="n">
        <v>0.35</v>
      </c>
    </row>
    <row r="655">
      <c r="A655" s="35" t="inlineStr">
        <is>
          <t>WAKEFIT</t>
        </is>
      </c>
    </row>
    <row r="656">
      <c r="A656" s="35" t="inlineStr">
        <is>
          <t>SAGILITY</t>
        </is>
      </c>
      <c r="C656" s="36" t="n">
        <v>41.59</v>
      </c>
      <c r="D656" s="36" t="n">
        <v>42.78</v>
      </c>
      <c r="E656" s="36" t="n">
        <v>45.02</v>
      </c>
      <c r="F656" s="36" t="n">
        <v>57.83</v>
      </c>
      <c r="G656" s="36" t="n">
        <v>54.3</v>
      </c>
      <c r="H656" s="36" t="n">
        <v>36.35</v>
      </c>
      <c r="I656" s="37" t="n">
        <v>18708869</v>
      </c>
      <c r="J656" s="37" t="n">
        <v>23136069</v>
      </c>
      <c r="K656" s="38" t="n">
        <v>-19.01</v>
      </c>
    </row>
    <row r="657">
      <c r="A657" s="35" t="inlineStr">
        <is>
          <t>BLUEJET</t>
        </is>
      </c>
      <c r="C657" s="36" t="n">
        <v>416.85</v>
      </c>
      <c r="D657" s="36" t="n">
        <v>399.82</v>
      </c>
      <c r="E657" s="36" t="n">
        <v>535.8</v>
      </c>
      <c r="F657" s="36" t="n">
        <v>1026</v>
      </c>
      <c r="G657" s="36" t="n">
        <v>503.6</v>
      </c>
      <c r="H657" s="36" t="n">
        <v>327.25</v>
      </c>
      <c r="I657" s="37" t="n">
        <v>509522</v>
      </c>
      <c r="J657" s="37" t="n">
        <v>509522</v>
      </c>
      <c r="K657" s="38" t="n">
        <v>-15.03</v>
      </c>
    </row>
    <row r="658">
      <c r="A658" s="35" t="inlineStr">
        <is>
          <t>TARC</t>
        </is>
      </c>
      <c r="C658" s="36" t="n">
        <v>140.35</v>
      </c>
      <c r="D658" s="36" t="n">
        <v>135.31</v>
      </c>
      <c r="E658" s="36" t="n">
        <v>150.19</v>
      </c>
      <c r="F658" s="36" t="n">
        <v>206.1</v>
      </c>
      <c r="G658" s="36" t="n">
        <v>176.37</v>
      </c>
      <c r="H658" s="36" t="n">
        <v>111.59</v>
      </c>
      <c r="I658" s="37" t="n">
        <v>771924</v>
      </c>
      <c r="J658" s="37" t="n">
        <v>715703</v>
      </c>
      <c r="K658" s="38" t="n">
        <v>-18.43</v>
      </c>
    </row>
    <row r="659">
      <c r="A659" s="35" t="inlineStr">
        <is>
          <t>SUNTECK</t>
        </is>
      </c>
      <c r="C659" s="36" t="n">
        <v>357.85</v>
      </c>
      <c r="D659" s="36" t="n">
        <v>345.19</v>
      </c>
      <c r="E659" s="36" t="n">
        <v>388.86</v>
      </c>
      <c r="F659" s="36" t="n">
        <v>477.14</v>
      </c>
      <c r="G659" s="36" t="n">
        <v>426.5</v>
      </c>
      <c r="H659" s="36" t="n">
        <v>273.2</v>
      </c>
      <c r="I659" s="37" t="n">
        <v>265882</v>
      </c>
      <c r="J659" s="37" t="n">
        <v>190987</v>
      </c>
      <c r="K659" s="38" t="n">
        <v>-15.55</v>
      </c>
    </row>
    <row r="660">
      <c r="A660" s="35" t="inlineStr">
        <is>
          <t>BATAINDIA</t>
        </is>
      </c>
      <c r="C660" s="36" t="n">
        <v>774.3</v>
      </c>
      <c r="D660" s="36" t="n">
        <v>752.11</v>
      </c>
      <c r="E660" s="36" t="n">
        <v>942.35</v>
      </c>
      <c r="F660" s="36" t="n">
        <v>1290.87</v>
      </c>
      <c r="G660" s="36" t="n">
        <v>958.55</v>
      </c>
      <c r="H660" s="36" t="n">
        <v>607.5</v>
      </c>
      <c r="I660" s="37" t="n">
        <v>257851</v>
      </c>
      <c r="J660" s="37" t="n">
        <v>139166</v>
      </c>
      <c r="K660" s="38" t="n">
        <v>-14.51</v>
      </c>
    </row>
    <row r="661">
      <c r="A661" s="35" t="inlineStr">
        <is>
          <t>SMLMAH</t>
        </is>
      </c>
    </row>
    <row r="662">
      <c r="A662" s="35" t="inlineStr">
        <is>
          <t>FIVESTAR</t>
        </is>
      </c>
      <c r="C662" s="36" t="n">
        <v>501</v>
      </c>
      <c r="D662" s="36" t="n">
        <v>428.63</v>
      </c>
      <c r="E662" s="36" t="n">
        <v>528.1900000000001</v>
      </c>
      <c r="F662" s="36" t="n">
        <v>825.14</v>
      </c>
      <c r="G662" s="36" t="n">
        <v>527.95</v>
      </c>
      <c r="H662" s="36" t="n">
        <v>347.3</v>
      </c>
      <c r="I662" s="37" t="n">
        <v>1428855</v>
      </c>
      <c r="J662" s="37" t="n">
        <v>1087207</v>
      </c>
      <c r="K662" s="38" t="n">
        <v>-2.42</v>
      </c>
    </row>
    <row r="663">
      <c r="A663" s="35" t="inlineStr">
        <is>
          <t>LOTUSDEV</t>
        </is>
      </c>
    </row>
    <row r="664">
      <c r="A664" s="35" t="inlineStr">
        <is>
          <t>HINDZINC</t>
        </is>
      </c>
      <c r="C664" s="36" t="n">
        <v>604.75</v>
      </c>
      <c r="D664" s="36" t="n">
        <v>569.87</v>
      </c>
      <c r="E664" s="36" t="n">
        <v>536.04</v>
      </c>
      <c r="F664" s="36" t="n">
        <v>733</v>
      </c>
      <c r="G664" s="36" t="n">
        <v>733</v>
      </c>
      <c r="H664" s="36" t="n">
        <v>487.65</v>
      </c>
      <c r="I664" s="37" t="n">
        <v>6322713</v>
      </c>
      <c r="J664" s="37" t="n">
        <v>6904276</v>
      </c>
      <c r="K664" s="38" t="n">
        <v>-7.56</v>
      </c>
    </row>
    <row r="665">
      <c r="A665" s="35" t="inlineStr">
        <is>
          <t>WELCORP</t>
        </is>
      </c>
      <c r="C665" s="36" t="n">
        <v>1139.2</v>
      </c>
      <c r="D665" s="36" t="n">
        <v>889.1799999999999</v>
      </c>
      <c r="E665" s="36" t="n">
        <v>844.45</v>
      </c>
      <c r="F665" s="36" t="n">
        <v>1151</v>
      </c>
      <c r="G665" s="36" t="n">
        <v>1151</v>
      </c>
      <c r="H665" s="36" t="n">
        <v>721.85</v>
      </c>
      <c r="I665" s="37" t="n">
        <v>578775</v>
      </c>
      <c r="J665" s="37" t="n">
        <v>489483</v>
      </c>
      <c r="K665" s="38" t="n">
        <v>54.23</v>
      </c>
    </row>
    <row r="666">
      <c r="A666" s="35" t="inlineStr">
        <is>
          <t>INOXWIND</t>
        </is>
      </c>
      <c r="C666" s="36" t="n">
        <v>104.56</v>
      </c>
      <c r="D666" s="36" t="n">
        <v>93.06999999999999</v>
      </c>
      <c r="E666" s="36" t="n">
        <v>122.35</v>
      </c>
      <c r="F666" s="36" t="n">
        <v>201</v>
      </c>
      <c r="G666" s="36" t="n">
        <v>118.49</v>
      </c>
      <c r="H666" s="36" t="n">
        <v>75.48999999999999</v>
      </c>
      <c r="I666" s="37" t="n">
        <v>15427630</v>
      </c>
      <c r="J666" s="37" t="n">
        <v>10440348</v>
      </c>
      <c r="K666" s="38" t="n">
        <v>-8.67</v>
      </c>
    </row>
    <row r="667">
      <c r="A667" s="35" t="inlineStr">
        <is>
          <t>SAPPHIRE</t>
        </is>
      </c>
      <c r="C667" s="36" t="n">
        <v>176.58</v>
      </c>
      <c r="D667" s="36" t="n">
        <v>182.3</v>
      </c>
      <c r="E667" s="36" t="n">
        <v>238.81</v>
      </c>
      <c r="F667" s="36" t="n">
        <v>368</v>
      </c>
      <c r="G667" s="36" t="n">
        <v>229.05</v>
      </c>
      <c r="H667" s="36" t="n">
        <v>150.42</v>
      </c>
      <c r="I667" s="37" t="n">
        <v>910592</v>
      </c>
      <c r="J667" s="37" t="n">
        <v>741953</v>
      </c>
      <c r="K667" s="38" t="n">
        <v>-21.19</v>
      </c>
    </row>
    <row r="668">
      <c r="A668" s="35" t="inlineStr">
        <is>
          <t>LLOYDSENT</t>
        </is>
      </c>
      <c r="C668" s="36" t="n">
        <v>69.16</v>
      </c>
      <c r="D668" s="36" t="n">
        <v>54.95</v>
      </c>
      <c r="E668" s="36" t="n">
        <v>59.35</v>
      </c>
      <c r="F668" s="36" t="n">
        <v>96.13</v>
      </c>
      <c r="G668" s="36" t="n">
        <v>70</v>
      </c>
      <c r="H668" s="36" t="n">
        <v>41.38</v>
      </c>
      <c r="I668" s="37" t="n">
        <v>4593855</v>
      </c>
      <c r="J668" s="37" t="n">
        <v>3328362</v>
      </c>
      <c r="K668" s="38" t="n">
        <v>15.59</v>
      </c>
    </row>
    <row r="669">
      <c r="A669" s="35" t="inlineStr">
        <is>
          <t>SPLPETRO</t>
        </is>
      </c>
      <c r="C669" s="36" t="n">
        <v>804.15</v>
      </c>
      <c r="D669" s="36" t="n">
        <v>698.74</v>
      </c>
      <c r="E669" s="36" t="n">
        <v>685.88</v>
      </c>
      <c r="F669" s="36" t="n">
        <v>975.75</v>
      </c>
      <c r="G669" s="36" t="n">
        <v>814.4</v>
      </c>
      <c r="H669" s="36" t="n">
        <v>501.45</v>
      </c>
      <c r="I669" s="37" t="n">
        <v>89510</v>
      </c>
      <c r="J669" s="37" t="n">
        <v>59137</v>
      </c>
      <c r="K669" s="38" t="n">
        <v>47.86</v>
      </c>
    </row>
    <row r="670">
      <c r="A670" s="35" t="inlineStr">
        <is>
          <t>ELLEN</t>
        </is>
      </c>
    </row>
    <row r="671">
      <c r="A671" s="35" t="inlineStr">
        <is>
          <t>THERMAX</t>
        </is>
      </c>
      <c r="C671" s="36" t="n">
        <v>4053.1</v>
      </c>
      <c r="D671" s="36" t="n">
        <v>3393.26</v>
      </c>
      <c r="E671" s="36" t="n">
        <v>3230.45</v>
      </c>
      <c r="F671" s="36" t="n">
        <v>4305</v>
      </c>
      <c r="G671" s="36" t="n">
        <v>4305</v>
      </c>
      <c r="H671" s="36" t="n">
        <v>2795.2</v>
      </c>
      <c r="I671" s="37" t="n">
        <v>217151</v>
      </c>
      <c r="J671" s="37" t="n">
        <v>133302</v>
      </c>
      <c r="K671" s="38" t="n">
        <v>36.74</v>
      </c>
    </row>
    <row r="672">
      <c r="A672" s="35" t="inlineStr">
        <is>
          <t>SAFARI</t>
        </is>
      </c>
      <c r="C672" s="36" t="n">
        <v>1545.9</v>
      </c>
      <c r="D672" s="36" t="n">
        <v>1674.57</v>
      </c>
      <c r="E672" s="36" t="n">
        <v>1952.96</v>
      </c>
      <c r="F672" s="36" t="n">
        <v>2507.1</v>
      </c>
      <c r="G672" s="36" t="n">
        <v>2207</v>
      </c>
      <c r="H672" s="36" t="n">
        <v>1431</v>
      </c>
      <c r="I672" s="37" t="n">
        <v>53735</v>
      </c>
      <c r="J672" s="37" t="n">
        <v>35163</v>
      </c>
      <c r="K672" s="38" t="n">
        <v>-27.21</v>
      </c>
    </row>
    <row r="673">
      <c r="A673" s="35" t="inlineStr">
        <is>
          <t>IXIGO</t>
        </is>
      </c>
      <c r="C673" s="36" t="n">
        <v>178.37</v>
      </c>
      <c r="D673" s="36" t="n">
        <v>183.76</v>
      </c>
      <c r="E673" s="36" t="n">
        <v>211.33</v>
      </c>
      <c r="F673" s="36" t="n">
        <v>339.15</v>
      </c>
      <c r="G673" s="36" t="n">
        <v>247.5</v>
      </c>
      <c r="H673" s="36" t="n">
        <v>160.79</v>
      </c>
      <c r="I673" s="37" t="n">
        <v>1684886</v>
      </c>
      <c r="J673" s="37" t="n">
        <v>1767944</v>
      </c>
      <c r="K673" s="38" t="n">
        <v>-22.97</v>
      </c>
    </row>
    <row r="674">
      <c r="A674" s="35" t="inlineStr">
        <is>
          <t>RATEGAIN</t>
        </is>
      </c>
      <c r="C674" s="36" t="n">
        <v>574</v>
      </c>
      <c r="D674" s="36" t="n">
        <v>544.16</v>
      </c>
      <c r="E674" s="36" t="n">
        <v>565.08</v>
      </c>
      <c r="F674" s="36" t="n">
        <v>741.6</v>
      </c>
      <c r="G674" s="36" t="n">
        <v>679</v>
      </c>
      <c r="H674" s="36" t="n">
        <v>438.15</v>
      </c>
      <c r="I674" s="37" t="n">
        <v>318682</v>
      </c>
      <c r="J674" s="37" t="n">
        <v>291283</v>
      </c>
      <c r="K674" s="38" t="n">
        <v>-13.26</v>
      </c>
    </row>
    <row r="675">
      <c r="A675" s="35" t="inlineStr">
        <is>
          <t>OPTIEMUS</t>
        </is>
      </c>
      <c r="C675" s="36" t="n">
        <v>427.55</v>
      </c>
      <c r="D675" s="36" t="n">
        <v>384.8</v>
      </c>
      <c r="E675" s="36" t="n">
        <v>477.69</v>
      </c>
      <c r="F675" s="36" t="n">
        <v>713</v>
      </c>
      <c r="G675" s="36" t="n">
        <v>474.55</v>
      </c>
      <c r="H675" s="36" t="n">
        <v>292.75</v>
      </c>
      <c r="I675" s="37" t="n">
        <v>203026</v>
      </c>
      <c r="J675" s="37" t="n">
        <v>176599</v>
      </c>
      <c r="K675" s="38" t="n">
        <v>-8.470000000000001</v>
      </c>
    </row>
    <row r="676">
      <c r="A676" s="35" t="inlineStr">
        <is>
          <t>MOIL</t>
        </is>
      </c>
      <c r="C676" s="36" t="n">
        <v>326.2</v>
      </c>
      <c r="D676" s="36" t="n">
        <v>306.38</v>
      </c>
      <c r="E676" s="36" t="n">
        <v>325.17</v>
      </c>
      <c r="F676" s="36" t="n">
        <v>398.62</v>
      </c>
      <c r="G676" s="36" t="n">
        <v>376.66</v>
      </c>
      <c r="H676" s="36" t="n">
        <v>248.05</v>
      </c>
      <c r="I676" s="37" t="n">
        <v>1499590</v>
      </c>
      <c r="J676" s="37" t="n">
        <v>955568</v>
      </c>
      <c r="K676" s="38" t="n">
        <v>-5.56</v>
      </c>
    </row>
    <row r="677">
      <c r="A677" s="35" t="inlineStr">
        <is>
          <t>CPPLUS</t>
        </is>
      </c>
    </row>
    <row r="678">
      <c r="A678" s="35" t="inlineStr">
        <is>
          <t>ATHERENERG</t>
        </is>
      </c>
      <c r="C678" s="36" t="n">
        <v>905.5</v>
      </c>
      <c r="D678" s="36" t="n">
        <v>768.09</v>
      </c>
      <c r="E678" s="36" t="n">
        <v>628.83</v>
      </c>
      <c r="F678" s="36" t="n">
        <v>948</v>
      </c>
      <c r="G678" s="36" t="n">
        <v>948</v>
      </c>
      <c r="H678" s="36" t="n">
        <v>601.35</v>
      </c>
      <c r="I678" s="37" t="n">
        <v>4166172</v>
      </c>
      <c r="J678" s="37" t="n">
        <v>1807314</v>
      </c>
      <c r="K678" s="38" t="n">
        <v>40.04</v>
      </c>
    </row>
    <row r="679">
      <c r="A679" s="35" t="inlineStr">
        <is>
          <t>CSBBANK</t>
        </is>
      </c>
      <c r="C679" s="36" t="n">
        <v>396.35</v>
      </c>
      <c r="D679" s="36" t="n">
        <v>391.47</v>
      </c>
      <c r="E679" s="36" t="n">
        <v>399.8</v>
      </c>
      <c r="F679" s="36" t="n">
        <v>574.4</v>
      </c>
      <c r="G679" s="36" t="n">
        <v>535.55</v>
      </c>
      <c r="H679" s="36" t="n">
        <v>332.3</v>
      </c>
      <c r="I679" s="37" t="n">
        <v>482946</v>
      </c>
      <c r="J679" s="37" t="n">
        <v>577955</v>
      </c>
      <c r="K679" s="38" t="n">
        <v>-23.94</v>
      </c>
    </row>
    <row r="680">
      <c r="A680" s="35" t="inlineStr">
        <is>
          <t>TBOTEK</t>
        </is>
      </c>
      <c r="C680" s="36" t="n">
        <v>1277.2</v>
      </c>
      <c r="D680" s="36" t="n">
        <v>1252.1</v>
      </c>
      <c r="E680" s="36" t="n">
        <v>1365.27</v>
      </c>
      <c r="F680" s="36" t="n">
        <v>1764.8</v>
      </c>
      <c r="G680" s="36" t="n">
        <v>1601.6</v>
      </c>
      <c r="H680" s="36" t="n">
        <v>1018</v>
      </c>
      <c r="I680" s="37" t="n">
        <v>125562</v>
      </c>
      <c r="J680" s="37" t="n">
        <v>93240</v>
      </c>
      <c r="K680" s="38" t="n">
        <v>-17.79</v>
      </c>
    </row>
    <row r="681">
      <c r="A681" s="35" t="inlineStr">
        <is>
          <t>KITEX</t>
        </is>
      </c>
      <c r="C681" s="36" t="n">
        <v>172.37</v>
      </c>
      <c r="D681" s="36" t="n">
        <v>170.08</v>
      </c>
      <c r="E681" s="36" t="n">
        <v>193.63</v>
      </c>
      <c r="F681" s="36" t="n">
        <v>323.55</v>
      </c>
      <c r="G681" s="36" t="n">
        <v>230.9</v>
      </c>
      <c r="H681" s="36" t="n">
        <v>140.94</v>
      </c>
      <c r="I681" s="37" t="n">
        <v>882652</v>
      </c>
      <c r="J681" s="37" t="n">
        <v>898850</v>
      </c>
      <c r="K681" s="38" t="n">
        <v>12.73</v>
      </c>
    </row>
    <row r="682">
      <c r="A682" s="35" t="inlineStr">
        <is>
          <t>ROUTE</t>
        </is>
      </c>
      <c r="C682" s="36" t="n">
        <v>518.75</v>
      </c>
      <c r="D682" s="36" t="n">
        <v>509.88</v>
      </c>
      <c r="E682" s="36" t="n">
        <v>667.5599999999999</v>
      </c>
      <c r="F682" s="36" t="n">
        <v>1140.59</v>
      </c>
      <c r="G682" s="36" t="n">
        <v>651.54</v>
      </c>
      <c r="H682" s="36" t="n">
        <v>415.6</v>
      </c>
      <c r="I682" s="37" t="n">
        <v>253862</v>
      </c>
      <c r="J682" s="37" t="n">
        <v>196344</v>
      </c>
      <c r="K682" s="38" t="n">
        <v>-18.83</v>
      </c>
    </row>
    <row r="683">
      <c r="A683" s="35" t="inlineStr">
        <is>
          <t>HERITGFOOD</t>
        </is>
      </c>
      <c r="C683" s="36" t="n">
        <v>366.8</v>
      </c>
      <c r="D683" s="36" t="n">
        <v>344.26</v>
      </c>
      <c r="E683" s="36" t="n">
        <v>403.13</v>
      </c>
      <c r="F683" s="36" t="n">
        <v>540</v>
      </c>
      <c r="G683" s="36" t="n">
        <v>447.6</v>
      </c>
      <c r="H683" s="36" t="n">
        <v>293.95</v>
      </c>
      <c r="I683" s="37" t="n">
        <v>271386</v>
      </c>
      <c r="J683" s="37" t="n">
        <v>309084</v>
      </c>
      <c r="K683" s="38" t="n">
        <v>-17.21</v>
      </c>
    </row>
    <row r="684">
      <c r="A684" s="35" t="inlineStr">
        <is>
          <t>IIFLCAPS</t>
        </is>
      </c>
      <c r="C684" s="36" t="n">
        <v>324.25</v>
      </c>
      <c r="D684" s="36" t="n">
        <v>297.49</v>
      </c>
      <c r="E684" s="36" t="n">
        <v>303.6</v>
      </c>
      <c r="F684" s="36" t="n">
        <v>407.51</v>
      </c>
      <c r="G684" s="36" t="n">
        <v>387.39</v>
      </c>
      <c r="H684" s="36" t="n">
        <v>244.15</v>
      </c>
      <c r="I684" s="37" t="n">
        <v>649315</v>
      </c>
      <c r="J684" s="37" t="n">
        <v>618354</v>
      </c>
      <c r="K684" s="38" t="n">
        <v>-11.57</v>
      </c>
    </row>
    <row r="685">
      <c r="A685" s="35" t="inlineStr">
        <is>
          <t>SIGNATURE</t>
        </is>
      </c>
      <c r="C685" s="36" t="n">
        <v>860.85</v>
      </c>
      <c r="D685" s="36" t="n">
        <v>856.54</v>
      </c>
      <c r="E685" s="36" t="n">
        <v>1000.81</v>
      </c>
      <c r="F685" s="36" t="n">
        <v>1309.5</v>
      </c>
      <c r="G685" s="36" t="n">
        <v>1111</v>
      </c>
      <c r="H685" s="36" t="n">
        <v>714.2</v>
      </c>
      <c r="I685" s="37" t="n">
        <v>336370</v>
      </c>
      <c r="J685" s="37" t="n">
        <v>359713</v>
      </c>
      <c r="K685" s="38" t="n">
        <v>-9.15</v>
      </c>
    </row>
    <row r="686">
      <c r="A686" s="35" t="inlineStr">
        <is>
          <t>AXISCADES</t>
        </is>
      </c>
      <c r="C686" s="36" t="n">
        <v>1925.9</v>
      </c>
      <c r="D686" s="36" t="n">
        <v>1544.24</v>
      </c>
      <c r="E686" s="36" t="n">
        <v>1372.39</v>
      </c>
      <c r="F686" s="36" t="n">
        <v>2001</v>
      </c>
      <c r="G686" s="36" t="n">
        <v>2001</v>
      </c>
      <c r="H686" s="36" t="n">
        <v>1101.2</v>
      </c>
      <c r="I686" s="37" t="n">
        <v>177209</v>
      </c>
      <c r="J686" s="37" t="n">
        <v>139680</v>
      </c>
      <c r="K686" s="38" t="n">
        <v>47.08</v>
      </c>
    </row>
    <row r="687">
      <c r="A687" s="35" t="inlineStr">
        <is>
          <t>COHANCE</t>
        </is>
      </c>
      <c r="C687" s="36" t="n">
        <v>362.9</v>
      </c>
      <c r="D687" s="36" t="n">
        <v>348.89</v>
      </c>
      <c r="E687" s="36" t="n">
        <v>585.3099999999999</v>
      </c>
      <c r="F687" s="36" t="n">
        <v>1123.4</v>
      </c>
      <c r="G687" s="36" t="n">
        <v>459.7</v>
      </c>
      <c r="H687" s="36" t="n">
        <v>279.9</v>
      </c>
      <c r="I687" s="37" t="n">
        <v>1026311</v>
      </c>
      <c r="J687" s="37" t="n">
        <v>750714</v>
      </c>
      <c r="K687" s="38" t="n">
        <v>-18.99</v>
      </c>
    </row>
    <row r="688">
      <c r="A688" s="35" t="inlineStr">
        <is>
          <t>DATAPATTNS</t>
        </is>
      </c>
      <c r="C688" s="36" t="n">
        <v>3828.3</v>
      </c>
      <c r="D688" s="36" t="n">
        <v>3179.11</v>
      </c>
      <c r="E688" s="36" t="n">
        <v>2846.56</v>
      </c>
      <c r="F688" s="36" t="n">
        <v>3885</v>
      </c>
      <c r="G688" s="36" t="n">
        <v>3885</v>
      </c>
      <c r="H688" s="36" t="n">
        <v>2182.5</v>
      </c>
      <c r="I688" s="37" t="n">
        <v>875305</v>
      </c>
      <c r="J688" s="37" t="n">
        <v>821747</v>
      </c>
      <c r="K688" s="38" t="n">
        <v>48.47</v>
      </c>
    </row>
    <row r="689">
      <c r="A689" s="35" t="inlineStr">
        <is>
          <t>GRWRHITECH</t>
        </is>
      </c>
      <c r="C689" s="36" t="n">
        <v>4051.5</v>
      </c>
      <c r="D689" s="36" t="n">
        <v>3781.38</v>
      </c>
      <c r="E689" s="36" t="n">
        <v>3591.86</v>
      </c>
      <c r="F689" s="36" t="n">
        <v>4766.16</v>
      </c>
      <c r="G689" s="36" t="n">
        <v>4488.9</v>
      </c>
      <c r="H689" s="36" t="n">
        <v>2704.5</v>
      </c>
      <c r="I689" s="37" t="n">
        <v>70124</v>
      </c>
      <c r="J689" s="37" t="n">
        <v>50032</v>
      </c>
      <c r="K689" s="38" t="n">
        <v>39.08</v>
      </c>
    </row>
    <row r="690">
      <c r="A690" s="35" t="inlineStr">
        <is>
          <t>GVT&amp;D</t>
        </is>
      </c>
      <c r="C690" s="36" t="n">
        <v>4239.4</v>
      </c>
      <c r="D690" s="36" t="n">
        <v>3737</v>
      </c>
      <c r="E690" s="36" t="n">
        <v>3099.67</v>
      </c>
      <c r="F690" s="36" t="n">
        <v>4344</v>
      </c>
      <c r="G690" s="36" t="n">
        <v>4344</v>
      </c>
      <c r="H690" s="36" t="n">
        <v>2557.8</v>
      </c>
      <c r="I690" s="37" t="n">
        <v>683717</v>
      </c>
      <c r="J690" s="37" t="n">
        <v>615138</v>
      </c>
      <c r="K690" s="38" t="n">
        <v>51.62</v>
      </c>
    </row>
    <row r="691">
      <c r="A691" s="35" t="inlineStr">
        <is>
          <t>INTELLECT</t>
        </is>
      </c>
      <c r="C691" s="36" t="n">
        <v>695.7</v>
      </c>
      <c r="D691" s="36" t="n">
        <v>711.49</v>
      </c>
      <c r="E691" s="36" t="n">
        <v>857.61</v>
      </c>
      <c r="F691" s="36" t="n">
        <v>1247.67</v>
      </c>
      <c r="G691" s="36" t="n">
        <v>940.5</v>
      </c>
      <c r="H691" s="36" t="n">
        <v>598.55</v>
      </c>
      <c r="I691" s="37" t="n">
        <v>346023</v>
      </c>
      <c r="J691" s="37" t="n">
        <v>346023</v>
      </c>
      <c r="K691" s="38" t="n">
        <v>-23.97</v>
      </c>
    </row>
    <row r="692">
      <c r="A692" s="35" t="inlineStr">
        <is>
          <t>PURVA</t>
        </is>
      </c>
      <c r="C692" s="36" t="n">
        <v>218.13</v>
      </c>
      <c r="D692" s="36" t="n">
        <v>205.64</v>
      </c>
      <c r="E692" s="36" t="n">
        <v>234.32</v>
      </c>
      <c r="F692" s="36" t="n">
        <v>338.95</v>
      </c>
      <c r="G692" s="36" t="n">
        <v>283</v>
      </c>
      <c r="H692" s="36" t="n">
        <v>163.06</v>
      </c>
      <c r="I692" s="37" t="n">
        <v>351680</v>
      </c>
      <c r="J692" s="37" t="n">
        <v>255323</v>
      </c>
      <c r="K692" s="38" t="n">
        <v>-13.24</v>
      </c>
    </row>
    <row r="693">
      <c r="A693" s="35" t="inlineStr">
        <is>
          <t>IIFL</t>
        </is>
      </c>
      <c r="C693" s="36" t="n">
        <v>467.65</v>
      </c>
      <c r="D693" s="36" t="n">
        <v>482.55</v>
      </c>
      <c r="E693" s="36" t="n">
        <v>492.2</v>
      </c>
      <c r="F693" s="36" t="n">
        <v>670.04</v>
      </c>
      <c r="G693" s="36" t="n">
        <v>649.64</v>
      </c>
      <c r="H693" s="36" t="n">
        <v>428.4</v>
      </c>
      <c r="I693" s="37" t="n">
        <v>1284553</v>
      </c>
      <c r="J693" s="37" t="n">
        <v>1349409</v>
      </c>
      <c r="K693" s="38" t="n">
        <v>-25.85</v>
      </c>
    </row>
    <row r="694">
      <c r="A694" s="35" t="inlineStr">
        <is>
          <t>DBREALTY</t>
        </is>
      </c>
      <c r="C694" s="36" t="n">
        <v>108.7</v>
      </c>
      <c r="D694" s="36" t="n">
        <v>105.22</v>
      </c>
      <c r="E694" s="36" t="n">
        <v>133.39</v>
      </c>
      <c r="F694" s="36" t="n">
        <v>252.67</v>
      </c>
      <c r="G694" s="36" t="n">
        <v>137</v>
      </c>
      <c r="H694" s="36" t="n">
        <v>83.97</v>
      </c>
      <c r="I694" s="37" t="n">
        <v>2223855</v>
      </c>
      <c r="J694" s="37" t="n">
        <v>1934939</v>
      </c>
      <c r="K694" s="38" t="n">
        <v>0</v>
      </c>
    </row>
    <row r="695">
      <c r="A695" s="35" t="inlineStr">
        <is>
          <t>THOMASCOOK</t>
        </is>
      </c>
      <c r="C695" s="36" t="n">
        <v>107.02</v>
      </c>
      <c r="D695" s="36" t="n">
        <v>106.27</v>
      </c>
      <c r="E695" s="36" t="n">
        <v>130.56</v>
      </c>
      <c r="F695" s="36" t="n">
        <v>187.79</v>
      </c>
      <c r="G695" s="36" t="n">
        <v>141.5</v>
      </c>
      <c r="H695" s="36" t="n">
        <v>87.98999999999999</v>
      </c>
      <c r="I695" s="37" t="n">
        <v>1232903</v>
      </c>
      <c r="J695" s="37" t="n">
        <v>862335</v>
      </c>
      <c r="K695" s="38" t="n">
        <v>-22.44</v>
      </c>
    </row>
    <row r="696">
      <c r="A696" s="35" t="inlineStr">
        <is>
          <t>SHAKTIPUMP</t>
        </is>
      </c>
      <c r="C696" s="36" t="n">
        <v>564.25</v>
      </c>
      <c r="D696" s="36" t="n">
        <v>546.34</v>
      </c>
      <c r="E696" s="36" t="n">
        <v>683.21</v>
      </c>
      <c r="F696" s="36" t="n">
        <v>1047.81</v>
      </c>
      <c r="G696" s="36" t="n">
        <v>724.8</v>
      </c>
      <c r="H696" s="36" t="n">
        <v>459.95</v>
      </c>
      <c r="I696" s="37" t="n">
        <v>1195640</v>
      </c>
      <c r="J696" s="37" t="n">
        <v>867711</v>
      </c>
      <c r="K696" s="38" t="n">
        <v>-20.61</v>
      </c>
    </row>
    <row r="697">
      <c r="A697" s="35" t="inlineStr">
        <is>
          <t>RPOWER</t>
        </is>
      </c>
      <c r="C697" s="36" t="n">
        <v>30.25</v>
      </c>
      <c r="D697" s="36" t="n">
        <v>26.19</v>
      </c>
      <c r="E697" s="36" t="n">
        <v>35.08</v>
      </c>
      <c r="F697" s="36" t="n">
        <v>76.48999999999999</v>
      </c>
      <c r="G697" s="36" t="n">
        <v>33.8</v>
      </c>
      <c r="H697" s="36" t="n">
        <v>20.36</v>
      </c>
      <c r="I697" s="37" t="n">
        <v>75753678</v>
      </c>
      <c r="J697" s="37" t="n">
        <v>50916854</v>
      </c>
      <c r="K697" s="38" t="n">
        <v>-8.83</v>
      </c>
    </row>
    <row r="698">
      <c r="A698" s="35" t="inlineStr">
        <is>
          <t>IFBIND</t>
        </is>
      </c>
      <c r="C698" s="36" t="n">
        <v>1123.5</v>
      </c>
      <c r="D698" s="36" t="n">
        <v>1104.37</v>
      </c>
      <c r="E698" s="36" t="n">
        <v>1334.42</v>
      </c>
      <c r="F698" s="36" t="n">
        <v>2019.8</v>
      </c>
      <c r="G698" s="36" t="n">
        <v>1449</v>
      </c>
      <c r="H698" s="36" t="n">
        <v>894.1</v>
      </c>
      <c r="I698" s="37" t="n">
        <v>45269</v>
      </c>
      <c r="J698" s="37" t="n">
        <v>54860</v>
      </c>
      <c r="K698" s="38" t="n">
        <v>-19.46</v>
      </c>
    </row>
    <row r="699">
      <c r="A699" s="35" t="inlineStr">
        <is>
          <t>SHARDACROP</t>
        </is>
      </c>
      <c r="C699" s="36" t="n">
        <v>1158.8</v>
      </c>
      <c r="D699" s="36" t="n">
        <v>1025.43</v>
      </c>
      <c r="E699" s="36" t="n">
        <v>912.45</v>
      </c>
      <c r="F699" s="36" t="n">
        <v>1297</v>
      </c>
      <c r="G699" s="36" t="n">
        <v>1297</v>
      </c>
      <c r="H699" s="36" t="n">
        <v>783.14</v>
      </c>
      <c r="I699" s="37" t="n">
        <v>262637</v>
      </c>
      <c r="J699" s="37" t="n">
        <v>235921</v>
      </c>
      <c r="K699" s="38" t="n">
        <v>40.51</v>
      </c>
    </row>
    <row r="700">
      <c r="A700" s="35" t="inlineStr">
        <is>
          <t>ACUTAAS</t>
        </is>
      </c>
      <c r="C700" s="36" t="n">
        <v>2423.2</v>
      </c>
      <c r="D700" s="36" t="n">
        <v>2211.24</v>
      </c>
      <c r="E700" s="36" t="n">
        <v>1792.5</v>
      </c>
      <c r="F700" s="36" t="n">
        <v>2634.8</v>
      </c>
      <c r="G700" s="36" t="n">
        <v>2634.8</v>
      </c>
      <c r="H700" s="36" t="n">
        <v>1602.5</v>
      </c>
      <c r="I700" s="37" t="n">
        <v>407693</v>
      </c>
      <c r="J700" s="37" t="n">
        <v>358290</v>
      </c>
      <c r="K700" s="38" t="n">
        <v>43.96</v>
      </c>
    </row>
    <row r="701">
      <c r="A701" s="35" t="inlineStr">
        <is>
          <t>MANYAVAR</t>
        </is>
      </c>
      <c r="C701" s="36" t="n">
        <v>449.95</v>
      </c>
      <c r="D701" s="36" t="n">
        <v>419.04</v>
      </c>
      <c r="E701" s="36" t="n">
        <v>558.16</v>
      </c>
      <c r="F701" s="36" t="n">
        <v>840.9299999999999</v>
      </c>
      <c r="G701" s="36" t="n">
        <v>545</v>
      </c>
      <c r="H701" s="36" t="n">
        <v>337.1</v>
      </c>
      <c r="I701" s="37" t="n">
        <v>586354</v>
      </c>
      <c r="J701" s="37" t="n">
        <v>362654</v>
      </c>
      <c r="K701" s="38" t="n">
        <v>-16.7</v>
      </c>
    </row>
    <row r="702">
      <c r="A702" s="35" t="inlineStr">
        <is>
          <t>APARINDS</t>
        </is>
      </c>
      <c r="C702" s="36" t="n">
        <v>11789</v>
      </c>
      <c r="D702" s="36" t="n">
        <v>10166.97</v>
      </c>
      <c r="E702" s="36" t="n">
        <v>8881.41</v>
      </c>
      <c r="F702" s="36" t="n">
        <v>12327.5</v>
      </c>
      <c r="G702" s="36" t="n">
        <v>12327.5</v>
      </c>
      <c r="H702" s="36" t="n">
        <v>6966</v>
      </c>
      <c r="I702" s="37" t="n">
        <v>118039</v>
      </c>
      <c r="J702" s="37" t="n">
        <v>110812</v>
      </c>
      <c r="K702" s="38" t="n">
        <v>57.65</v>
      </c>
    </row>
    <row r="703">
      <c r="A703" s="35" t="inlineStr">
        <is>
          <t>GOKEX</t>
        </is>
      </c>
      <c r="C703" s="36" t="n">
        <v>749.7</v>
      </c>
      <c r="D703" s="36" t="n">
        <v>669.72</v>
      </c>
      <c r="E703" s="36" t="n">
        <v>746.1</v>
      </c>
      <c r="F703" s="36" t="n">
        <v>1060</v>
      </c>
      <c r="G703" s="36" t="n">
        <v>860</v>
      </c>
      <c r="H703" s="36" t="n">
        <v>541.95</v>
      </c>
      <c r="I703" s="37" t="n">
        <v>608735</v>
      </c>
      <c r="J703" s="37" t="n">
        <v>766007</v>
      </c>
      <c r="K703" s="38" t="n">
        <v>25.17</v>
      </c>
    </row>
    <row r="704">
      <c r="A704" s="35" t="inlineStr">
        <is>
          <t>AIIL</t>
        </is>
      </c>
      <c r="C704" s="36" t="n">
        <v>484.8</v>
      </c>
      <c r="D704" s="36" t="n">
        <v>476.3</v>
      </c>
      <c r="E704" s="36" t="n">
        <v>509.87</v>
      </c>
      <c r="F704" s="36" t="n">
        <v>683</v>
      </c>
      <c r="G704" s="36" t="n">
        <v>683</v>
      </c>
      <c r="H704" s="36" t="n">
        <v>405.3</v>
      </c>
      <c r="I704" s="37" t="n">
        <v>415757</v>
      </c>
      <c r="J704" s="37" t="n">
        <v>344749</v>
      </c>
      <c r="K704" s="38" t="n">
        <v>-27.41</v>
      </c>
    </row>
    <row r="705">
      <c r="A705" s="35" t="inlineStr">
        <is>
          <t>ASHOKA</t>
        </is>
      </c>
      <c r="C705" s="36" t="n">
        <v>137.63</v>
      </c>
      <c r="D705" s="36" t="n">
        <v>130.76</v>
      </c>
      <c r="E705" s="36" t="n">
        <v>160.15</v>
      </c>
      <c r="F705" s="36" t="n">
        <v>230.8</v>
      </c>
      <c r="G705" s="36" t="n">
        <v>166.96</v>
      </c>
      <c r="H705" s="36" t="n">
        <v>102.13</v>
      </c>
      <c r="I705" s="37" t="n">
        <v>1446692</v>
      </c>
      <c r="J705" s="37" t="n">
        <v>1194332</v>
      </c>
      <c r="K705" s="38" t="n">
        <v>-6.6</v>
      </c>
    </row>
    <row r="706">
      <c r="A706" s="35" t="inlineStr">
        <is>
          <t>OSWALPUMPS</t>
        </is>
      </c>
      <c r="C706" s="36" t="n">
        <v>421.2</v>
      </c>
      <c r="D706" s="36" t="n">
        <v>367.92</v>
      </c>
      <c r="E706" s="36" t="n">
        <v>506.97</v>
      </c>
      <c r="F706" s="36" t="n">
        <v>888.4</v>
      </c>
      <c r="G706" s="36" t="n">
        <v>478.55</v>
      </c>
      <c r="H706" s="36" t="n">
        <v>289.85</v>
      </c>
      <c r="I706" s="37" t="n">
        <v>910266</v>
      </c>
      <c r="J706" s="37" t="n">
        <v>837826</v>
      </c>
      <c r="K706" s="38" t="n">
        <v>-7.65</v>
      </c>
    </row>
    <row r="707">
      <c r="A707" s="35" t="inlineStr">
        <is>
          <t>RTNINDIA</t>
        </is>
      </c>
      <c r="C707" s="36" t="n">
        <v>36.07</v>
      </c>
      <c r="D707" s="36" t="n">
        <v>31.94</v>
      </c>
      <c r="E707" s="36" t="n">
        <v>40.19</v>
      </c>
      <c r="F707" s="36" t="n">
        <v>69.7</v>
      </c>
      <c r="G707" s="36" t="n">
        <v>39.78</v>
      </c>
      <c r="H707" s="36" t="n">
        <v>24.82</v>
      </c>
      <c r="I707" s="37" t="n">
        <v>3390136</v>
      </c>
      <c r="J707" s="37" t="n">
        <v>2978438</v>
      </c>
      <c r="K707" s="38" t="n">
        <v>-6.65</v>
      </c>
    </row>
    <row r="708">
      <c r="A708" s="35" t="inlineStr">
        <is>
          <t>CYIENT</t>
        </is>
      </c>
      <c r="C708" s="36" t="n">
        <v>961.8</v>
      </c>
      <c r="D708" s="36" t="n">
        <v>930.9400000000001</v>
      </c>
      <c r="E708" s="36" t="n">
        <v>1066.88</v>
      </c>
      <c r="F708" s="36" t="n">
        <v>1343.18</v>
      </c>
      <c r="G708" s="36" t="n">
        <v>1208</v>
      </c>
      <c r="H708" s="36" t="n">
        <v>752.85</v>
      </c>
      <c r="I708" s="37" t="n">
        <v>382835</v>
      </c>
      <c r="J708" s="37" t="n">
        <v>260716</v>
      </c>
      <c r="K708" s="38" t="n">
        <v>-18.21</v>
      </c>
    </row>
    <row r="709">
      <c r="A709" s="35" t="inlineStr">
        <is>
          <t>PINELABS</t>
        </is>
      </c>
    </row>
    <row r="710">
      <c r="A710" s="35" t="inlineStr">
        <is>
          <t>HGINFRA</t>
        </is>
      </c>
      <c r="C710" s="36" t="n">
        <v>619.1</v>
      </c>
      <c r="D710" s="36" t="n">
        <v>571.58</v>
      </c>
      <c r="E710" s="36" t="n">
        <v>762.5700000000001</v>
      </c>
      <c r="F710" s="36" t="n">
        <v>1272.44</v>
      </c>
      <c r="G710" s="36" t="n">
        <v>713.85</v>
      </c>
      <c r="H710" s="36" t="n">
        <v>431.5</v>
      </c>
      <c r="I710" s="37" t="n">
        <v>282178</v>
      </c>
      <c r="J710" s="37" t="n">
        <v>231471</v>
      </c>
      <c r="K710" s="38" t="n">
        <v>-10.86</v>
      </c>
    </row>
    <row r="711">
      <c r="A711" s="35" t="inlineStr">
        <is>
          <t>SHILPAMED</t>
        </is>
      </c>
      <c r="C711" s="36" t="n">
        <v>408.35</v>
      </c>
      <c r="D711" s="36" t="n">
        <v>359.86</v>
      </c>
      <c r="E711" s="36" t="n">
        <v>355.14</v>
      </c>
      <c r="F711" s="36" t="n">
        <v>499.39</v>
      </c>
      <c r="G711" s="36" t="n">
        <v>429.9</v>
      </c>
      <c r="H711" s="36" t="n">
        <v>267</v>
      </c>
      <c r="I711" s="37" t="n">
        <v>450324</v>
      </c>
      <c r="J711" s="37" t="n">
        <v>341452</v>
      </c>
      <c r="K711" s="38" t="n">
        <v>38.82</v>
      </c>
    </row>
    <row r="712">
      <c r="A712" s="35" t="inlineStr">
        <is>
          <t>RELAXO</t>
        </is>
      </c>
      <c r="C712" s="36" t="n">
        <v>311.72</v>
      </c>
      <c r="D712" s="36" t="n">
        <v>312.61</v>
      </c>
      <c r="E712" s="36" t="n">
        <v>377.93</v>
      </c>
      <c r="F712" s="36" t="n">
        <v>526</v>
      </c>
      <c r="G712" s="36" t="n">
        <v>404.5</v>
      </c>
      <c r="H712" s="36" t="n">
        <v>237.9</v>
      </c>
      <c r="I712" s="37" t="n">
        <v>179537</v>
      </c>
      <c r="J712" s="37" t="n">
        <v>107934</v>
      </c>
      <c r="K712" s="38" t="n">
        <v>-20.7</v>
      </c>
    </row>
    <row r="713">
      <c r="A713" s="35" t="inlineStr">
        <is>
          <t>JKTYRE</t>
        </is>
      </c>
      <c r="C713" s="36" t="n">
        <v>426.85</v>
      </c>
      <c r="D713" s="36" t="n">
        <v>445.18</v>
      </c>
      <c r="E713" s="36" t="n">
        <v>430.99</v>
      </c>
      <c r="F713" s="36" t="n">
        <v>611.9</v>
      </c>
      <c r="G713" s="36" t="n">
        <v>611.9</v>
      </c>
      <c r="H713" s="36" t="n">
        <v>380.9</v>
      </c>
      <c r="I713" s="37" t="n">
        <v>1135734</v>
      </c>
      <c r="J713" s="37" t="n">
        <v>1273463</v>
      </c>
      <c r="K713" s="38" t="n">
        <v>-15.67</v>
      </c>
    </row>
    <row r="714">
      <c r="A714" s="35" t="inlineStr">
        <is>
          <t>EIEL</t>
        </is>
      </c>
      <c r="C714" s="36" t="n">
        <v>212.19</v>
      </c>
      <c r="D714" s="36" t="n">
        <v>175.09</v>
      </c>
      <c r="E714" s="36" t="n">
        <v>197.86</v>
      </c>
      <c r="F714" s="36" t="n">
        <v>306.4</v>
      </c>
      <c r="G714" s="36" t="n">
        <v>224.79</v>
      </c>
      <c r="H714" s="36" t="n">
        <v>137.14</v>
      </c>
      <c r="I714" s="37" t="n">
        <v>2041545</v>
      </c>
      <c r="J714" s="37" t="n">
        <v>857662</v>
      </c>
      <c r="K714" s="38" t="n">
        <v>13.37</v>
      </c>
    </row>
    <row r="715">
      <c r="A715" s="35" t="inlineStr">
        <is>
          <t>LODHA</t>
        </is>
      </c>
      <c r="C715" s="36" t="n">
        <v>884.8</v>
      </c>
      <c r="D715" s="36" t="n">
        <v>880.12</v>
      </c>
      <c r="E715" s="36" t="n">
        <v>1066.48</v>
      </c>
      <c r="F715" s="36" t="n">
        <v>1525.97</v>
      </c>
      <c r="G715" s="36" t="n">
        <v>1113.2</v>
      </c>
      <c r="H715" s="36" t="n">
        <v>677</v>
      </c>
      <c r="I715" s="37" t="n">
        <v>4129352</v>
      </c>
      <c r="J715" s="37" t="n">
        <v>1941994</v>
      </c>
      <c r="K715" s="38" t="n">
        <v>-16.43</v>
      </c>
    </row>
    <row r="716">
      <c r="A716" s="35" t="inlineStr">
        <is>
          <t>ONESOURCE</t>
        </is>
      </c>
      <c r="C716" s="36" t="n">
        <v>1611</v>
      </c>
      <c r="D716" s="36" t="n">
        <v>1454.43</v>
      </c>
      <c r="E716" s="36" t="n">
        <v>1590.48</v>
      </c>
      <c r="F716" s="36" t="n">
        <v>2248</v>
      </c>
      <c r="G716" s="36" t="n">
        <v>1802.4</v>
      </c>
      <c r="H716" s="36" t="n">
        <v>1114</v>
      </c>
      <c r="I716" s="37" t="n">
        <v>496106</v>
      </c>
      <c r="J716" s="37" t="n">
        <v>287491</v>
      </c>
      <c r="K716" s="38" t="n">
        <v>-9.279999999999999</v>
      </c>
    </row>
    <row r="717">
      <c r="A717" s="35" t="inlineStr">
        <is>
          <t>TEXRAIL</t>
        </is>
      </c>
      <c r="C717" s="36" t="n">
        <v>106.33</v>
      </c>
      <c r="D717" s="36" t="n">
        <v>102.18</v>
      </c>
      <c r="E717" s="36" t="n">
        <v>122.42</v>
      </c>
      <c r="F717" s="36" t="n">
        <v>188.03</v>
      </c>
      <c r="G717" s="36" t="n">
        <v>131.06</v>
      </c>
      <c r="H717" s="36" t="n">
        <v>78.8</v>
      </c>
      <c r="I717" s="37" t="n">
        <v>2728124</v>
      </c>
      <c r="J717" s="37" t="n">
        <v>1765280</v>
      </c>
      <c r="K717" s="38" t="n">
        <v>-17.15</v>
      </c>
    </row>
    <row r="718">
      <c r="A718" s="35" t="inlineStr">
        <is>
          <t>SONATSOFTW</t>
        </is>
      </c>
      <c r="C718" s="36" t="n">
        <v>268.09</v>
      </c>
      <c r="D718" s="36" t="n">
        <v>264.35</v>
      </c>
      <c r="E718" s="36" t="n">
        <v>319.2</v>
      </c>
      <c r="F718" s="36" t="n">
        <v>454.26</v>
      </c>
      <c r="G718" s="36" t="n">
        <v>356.95</v>
      </c>
      <c r="H718" s="36" t="n">
        <v>209.6</v>
      </c>
      <c r="I718" s="37" t="n">
        <v>680955</v>
      </c>
      <c r="J718" s="37" t="n">
        <v>680955</v>
      </c>
      <c r="K718" s="38" t="n">
        <v>-22.24</v>
      </c>
    </row>
    <row r="719">
      <c r="A719" s="35" t="inlineStr">
        <is>
          <t>GALLANTT</t>
        </is>
      </c>
      <c r="C719" s="36" t="n">
        <v>870.55</v>
      </c>
      <c r="D719" s="36" t="n">
        <v>635.53</v>
      </c>
      <c r="E719" s="36" t="n">
        <v>582.5</v>
      </c>
      <c r="F719" s="36" t="n">
        <v>948</v>
      </c>
      <c r="G719" s="36" t="n">
        <v>948</v>
      </c>
      <c r="H719" s="36" t="n">
        <v>518.75</v>
      </c>
      <c r="I719" s="37" t="n">
        <v>1641890</v>
      </c>
      <c r="J719" s="37" t="n">
        <v>92525</v>
      </c>
      <c r="K719" s="38" t="n">
        <v>56.03</v>
      </c>
    </row>
    <row r="720">
      <c r="A720" s="35" t="inlineStr">
        <is>
          <t>FSL</t>
        </is>
      </c>
      <c r="C720" s="36" t="n">
        <v>224.34</v>
      </c>
      <c r="D720" s="36" t="n">
        <v>239.18</v>
      </c>
      <c r="E720" s="36" t="n">
        <v>295.33</v>
      </c>
      <c r="F720" s="36" t="n">
        <v>395.18</v>
      </c>
      <c r="G720" s="36" t="n">
        <v>327.65</v>
      </c>
      <c r="H720" s="36" t="n">
        <v>204.39</v>
      </c>
      <c r="I720" s="37" t="n">
        <v>1325745</v>
      </c>
      <c r="J720" s="37" t="n">
        <v>1377205</v>
      </c>
      <c r="K720" s="38" t="n">
        <v>-28.36</v>
      </c>
    </row>
    <row r="721">
      <c r="A721" s="35" t="inlineStr">
        <is>
          <t>LTM</t>
        </is>
      </c>
    </row>
    <row r="722">
      <c r="A722" s="35" t="inlineStr">
        <is>
          <t>COFORGE</t>
        </is>
      </c>
      <c r="C722" s="36" t="n">
        <v>1235.8</v>
      </c>
      <c r="D722" s="36" t="n">
        <v>1291.85</v>
      </c>
      <c r="E722" s="36" t="n">
        <v>1519.7</v>
      </c>
      <c r="F722" s="36" t="n">
        <v>1984.96</v>
      </c>
      <c r="G722" s="36" t="n">
        <v>1759</v>
      </c>
      <c r="H722" s="36" t="n">
        <v>1073.9</v>
      </c>
      <c r="I722" s="37" t="n">
        <v>3020611</v>
      </c>
      <c r="J722" s="37" t="n">
        <v>3020611</v>
      </c>
      <c r="K722" s="38" t="n">
        <v>-26.33</v>
      </c>
    </row>
    <row r="723">
      <c r="A723" s="35" t="inlineStr">
        <is>
          <t>CIGNITITEC</t>
        </is>
      </c>
      <c r="C723" s="36" t="n">
        <v>1220.5</v>
      </c>
      <c r="D723" s="36" t="n">
        <v>1270.04</v>
      </c>
      <c r="E723" s="36" t="n">
        <v>1471.48</v>
      </c>
      <c r="F723" s="36" t="n">
        <v>1929.5</v>
      </c>
      <c r="G723" s="36" t="n">
        <v>1725</v>
      </c>
      <c r="H723" s="36" t="n">
        <v>1056.3</v>
      </c>
      <c r="I723" s="37" t="n">
        <v>49364</v>
      </c>
      <c r="J723" s="37" t="n">
        <v>67368</v>
      </c>
      <c r="K723" s="38" t="n">
        <v>-26.45</v>
      </c>
    </row>
    <row r="724">
      <c r="A724" s="35" t="inlineStr">
        <is>
          <t>ZAGGLE</t>
        </is>
      </c>
      <c r="C724" s="36" t="n">
        <v>260.46</v>
      </c>
      <c r="D724" s="36" t="n">
        <v>249.39</v>
      </c>
      <c r="E724" s="36" t="n">
        <v>309.46</v>
      </c>
      <c r="F724" s="36" t="n">
        <v>469.8</v>
      </c>
      <c r="G724" s="36" t="n">
        <v>313.8</v>
      </c>
      <c r="H724" s="36" t="n">
        <v>187.47</v>
      </c>
      <c r="I724" s="37" t="n">
        <v>1703388</v>
      </c>
      <c r="J724" s="37" t="n">
        <v>1344169</v>
      </c>
      <c r="K724" s="38" t="n">
        <v>-14.9</v>
      </c>
    </row>
    <row r="725">
      <c r="A725" s="35" t="inlineStr">
        <is>
          <t>RAIN</t>
        </is>
      </c>
      <c r="C725" s="36" t="n">
        <v>132.69</v>
      </c>
      <c r="D725" s="36" t="n">
        <v>127.15</v>
      </c>
      <c r="E725" s="36" t="n">
        <v>133.86</v>
      </c>
      <c r="F725" s="36" t="n">
        <v>176</v>
      </c>
      <c r="G725" s="36" t="n">
        <v>176</v>
      </c>
      <c r="H725" s="36" t="n">
        <v>102.86</v>
      </c>
      <c r="I725" s="37" t="n">
        <v>3523674</v>
      </c>
      <c r="J725" s="37" t="n">
        <v>3308912</v>
      </c>
      <c r="K725" s="38" t="n">
        <v>-8.35</v>
      </c>
    </row>
    <row r="726">
      <c r="A726" s="35" t="inlineStr">
        <is>
          <t>MASTEK</t>
        </is>
      </c>
      <c r="C726" s="36" t="n">
        <v>1762.9</v>
      </c>
      <c r="D726" s="36" t="n">
        <v>1665.91</v>
      </c>
      <c r="E726" s="36" t="n">
        <v>1971.81</v>
      </c>
      <c r="F726" s="36" t="n">
        <v>2788.97</v>
      </c>
      <c r="G726" s="36" t="n">
        <v>2234.15</v>
      </c>
      <c r="H726" s="36" t="n">
        <v>1342.2</v>
      </c>
      <c r="I726" s="37" t="n">
        <v>84703</v>
      </c>
      <c r="J726" s="37" t="n">
        <v>96727</v>
      </c>
      <c r="K726" s="38" t="n">
        <v>-13.42</v>
      </c>
    </row>
    <row r="727">
      <c r="A727" s="35" t="inlineStr">
        <is>
          <t>PFOCUS</t>
        </is>
      </c>
      <c r="C727" s="36" t="n">
        <v>332.5</v>
      </c>
      <c r="D727" s="36" t="n">
        <v>295.63</v>
      </c>
      <c r="E727" s="36" t="n">
        <v>222.55</v>
      </c>
      <c r="F727" s="36" t="n">
        <v>367</v>
      </c>
      <c r="G727" s="36" t="n">
        <v>367</v>
      </c>
      <c r="H727" s="36" t="n">
        <v>208.23</v>
      </c>
      <c r="I727" s="37" t="n">
        <v>3511784</v>
      </c>
      <c r="J727" s="37" t="n">
        <v>4124766</v>
      </c>
      <c r="K727" s="38" t="n">
        <v>37.14</v>
      </c>
    </row>
    <row r="728">
      <c r="A728" s="35" t="inlineStr">
        <is>
          <t>WEBELSOLAR</t>
        </is>
      </c>
      <c r="C728" s="36" t="n">
        <v>97.09</v>
      </c>
      <c r="D728" s="36" t="n">
        <v>75.62</v>
      </c>
      <c r="E728" s="36" t="n">
        <v>96.61</v>
      </c>
      <c r="F728" s="36" t="n">
        <v>157.3</v>
      </c>
      <c r="G728" s="36" t="n">
        <v>97.09</v>
      </c>
      <c r="H728" s="36" t="n">
        <v>51.89</v>
      </c>
      <c r="I728" s="37" t="n">
        <v>6721207</v>
      </c>
      <c r="J728" s="37" t="n">
        <v>5257109</v>
      </c>
      <c r="K728" s="38" t="n">
        <v>16.85</v>
      </c>
    </row>
    <row r="729">
      <c r="A729" s="35" t="inlineStr">
        <is>
          <t>PWL</t>
        </is>
      </c>
    </row>
    <row r="730">
      <c r="A730" s="35" t="inlineStr">
        <is>
          <t>TEJASNET</t>
        </is>
      </c>
      <c r="C730" s="36" t="n">
        <v>407.95</v>
      </c>
      <c r="D730" s="36" t="n">
        <v>417.23</v>
      </c>
      <c r="E730" s="36" t="n">
        <v>493.45</v>
      </c>
      <c r="F730" s="36" t="n">
        <v>782.04</v>
      </c>
      <c r="G730" s="36" t="n">
        <v>528.95</v>
      </c>
      <c r="H730" s="36" t="n">
        <v>296.15</v>
      </c>
      <c r="I730" s="37" t="n">
        <v>3699413</v>
      </c>
      <c r="J730" s="37" t="n">
        <v>3326957</v>
      </c>
      <c r="K730" s="38" t="n">
        <v>10.02</v>
      </c>
    </row>
    <row r="731">
      <c r="A731" s="35" t="inlineStr">
        <is>
          <t>SCHNEIDER</t>
        </is>
      </c>
      <c r="C731" s="36" t="n">
        <v>1111.7</v>
      </c>
      <c r="D731" s="36" t="n">
        <v>906.78</v>
      </c>
      <c r="E731" s="36" t="n">
        <v>808.67</v>
      </c>
      <c r="F731" s="36" t="n">
        <v>1111.7</v>
      </c>
      <c r="G731" s="36" t="n">
        <v>1111.7</v>
      </c>
      <c r="H731" s="36" t="n">
        <v>579.2</v>
      </c>
      <c r="I731" s="37" t="n">
        <v>122674</v>
      </c>
      <c r="J731" s="37" t="n">
        <v>198092</v>
      </c>
      <c r="K731" s="38" t="n">
        <v>78.69</v>
      </c>
    </row>
    <row r="732">
      <c r="A732" s="35" t="inlineStr">
        <is>
          <t>POWERINDIA</t>
        </is>
      </c>
      <c r="C732" s="36" t="n">
        <v>30335</v>
      </c>
      <c r="D732" s="36" t="n">
        <v>25101.26</v>
      </c>
      <c r="E732" s="36" t="n">
        <v>21008.2</v>
      </c>
      <c r="F732" s="36" t="n">
        <v>30470</v>
      </c>
      <c r="G732" s="36" t="n">
        <v>30470</v>
      </c>
      <c r="H732" s="36" t="n">
        <v>16214</v>
      </c>
      <c r="I732" s="37" t="n">
        <v>146462</v>
      </c>
      <c r="J732" s="37" t="n">
        <v>134572</v>
      </c>
      <c r="K732" s="38" t="n">
        <v>79.09999999999999</v>
      </c>
    </row>
    <row r="733">
      <c r="A733" s="35" t="inlineStr">
        <is>
          <t>CARTRADE</t>
        </is>
      </c>
      <c r="C733" s="36" t="n">
        <v>1784.6</v>
      </c>
      <c r="D733" s="36" t="n">
        <v>1915.08</v>
      </c>
      <c r="E733" s="36" t="n">
        <v>2187.42</v>
      </c>
      <c r="F733" s="36" t="n">
        <v>3290.5</v>
      </c>
      <c r="G733" s="36" t="n">
        <v>2859.7</v>
      </c>
      <c r="H733" s="36" t="n">
        <v>1641.7</v>
      </c>
      <c r="I733" s="37" t="n">
        <v>308121</v>
      </c>
      <c r="J733" s="37" t="n">
        <v>351604</v>
      </c>
      <c r="K733" s="38" t="n">
        <v>-34.06</v>
      </c>
    </row>
    <row r="734">
      <c r="A734" s="35" t="inlineStr">
        <is>
          <t>SYNGENE</t>
        </is>
      </c>
      <c r="C734" s="36" t="n">
        <v>435.95</v>
      </c>
      <c r="D734" s="36" t="n">
        <v>440.75</v>
      </c>
      <c r="E734" s="36" t="n">
        <v>546</v>
      </c>
      <c r="F734" s="36" t="n">
        <v>728.6</v>
      </c>
      <c r="G734" s="36" t="n">
        <v>635.65</v>
      </c>
      <c r="H734" s="36" t="n">
        <v>389.9</v>
      </c>
      <c r="I734" s="37" t="n">
        <v>936022</v>
      </c>
      <c r="J734" s="37" t="n">
        <v>997805</v>
      </c>
      <c r="K734" s="38" t="n">
        <v>-30.75</v>
      </c>
    </row>
    <row r="735">
      <c r="A735" s="35" t="inlineStr">
        <is>
          <t>HINDCOPPER</t>
        </is>
      </c>
      <c r="C735" s="36" t="n">
        <v>556.95</v>
      </c>
      <c r="D735" s="36" t="n">
        <v>526.35</v>
      </c>
      <c r="E735" s="36" t="n">
        <v>427.86</v>
      </c>
      <c r="F735" s="36" t="n">
        <v>758.83</v>
      </c>
      <c r="G735" s="36" t="n">
        <v>758.83</v>
      </c>
      <c r="H735" s="36" t="n">
        <v>449.15</v>
      </c>
      <c r="I735" s="37" t="n">
        <v>10195213</v>
      </c>
      <c r="J735" s="37" t="n">
        <v>13081861</v>
      </c>
      <c r="K735" s="38" t="n">
        <v>-2.61</v>
      </c>
    </row>
    <row r="736">
      <c r="A736" s="35" t="inlineStr">
        <is>
          <t>INDIGOPNTS</t>
        </is>
      </c>
      <c r="C736" s="36" t="n">
        <v>890.9</v>
      </c>
      <c r="D736" s="36" t="n">
        <v>872.22</v>
      </c>
      <c r="E736" s="36" t="n">
        <v>1015.33</v>
      </c>
      <c r="F736" s="36" t="n">
        <v>1345.9</v>
      </c>
      <c r="G736" s="36" t="n">
        <v>1250</v>
      </c>
      <c r="H736" s="36" t="n">
        <v>710.8</v>
      </c>
      <c r="I736" s="37" t="n">
        <v>134198</v>
      </c>
      <c r="J736" s="37" t="n">
        <v>111957</v>
      </c>
      <c r="K736" s="38" t="n">
        <v>-25.76</v>
      </c>
    </row>
    <row r="737">
      <c r="A737" s="35" t="inlineStr">
        <is>
          <t>IDBI</t>
        </is>
      </c>
      <c r="C737" s="36" t="n">
        <v>74.5</v>
      </c>
      <c r="D737" s="36" t="n">
        <v>84.62</v>
      </c>
      <c r="E737" s="36" t="n">
        <v>92.41</v>
      </c>
      <c r="F737" s="36" t="n">
        <v>118.38</v>
      </c>
      <c r="G737" s="36" t="n">
        <v>117.55</v>
      </c>
      <c r="H737" s="36" t="n">
        <v>61.5</v>
      </c>
      <c r="I737" s="37" t="n">
        <v>16681026</v>
      </c>
      <c r="J737" s="37" t="n">
        <v>17097283</v>
      </c>
      <c r="K737" s="38" t="n">
        <v>-28.95</v>
      </c>
    </row>
    <row r="738">
      <c r="A738" s="35" t="inlineStr">
        <is>
          <t>ECLERX</t>
        </is>
      </c>
      <c r="C738" s="36" t="n">
        <v>1499.5</v>
      </c>
      <c r="D738" s="36" t="n">
        <v>1656.32</v>
      </c>
      <c r="E738" s="36" t="n">
        <v>1858.95</v>
      </c>
      <c r="F738" s="36" t="n">
        <v>2497.5</v>
      </c>
      <c r="G738" s="36" t="n">
        <v>2497.5</v>
      </c>
      <c r="H738" s="36" t="n">
        <v>1387.2</v>
      </c>
      <c r="I738" s="37" t="n">
        <v>246271</v>
      </c>
      <c r="J738" s="37" t="n">
        <v>249982</v>
      </c>
      <c r="K738" s="38" t="n">
        <v>-34.84</v>
      </c>
    </row>
    <row r="739">
      <c r="A739" s="35" t="inlineStr">
        <is>
          <t>HEXT</t>
        </is>
      </c>
      <c r="C739" s="36" t="n">
        <v>456.45</v>
      </c>
      <c r="D739" s="36" t="n">
        <v>504.58</v>
      </c>
      <c r="E739" s="36" t="n">
        <v>633.88</v>
      </c>
      <c r="F739" s="36" t="n">
        <v>892.8</v>
      </c>
      <c r="G739" s="36" t="n">
        <v>745</v>
      </c>
      <c r="H739" s="36" t="n">
        <v>407</v>
      </c>
      <c r="I739" s="37" t="n">
        <v>533219</v>
      </c>
      <c r="J739" s="37" t="n">
        <v>834222</v>
      </c>
      <c r="K739" s="38" t="n">
        <v>-37.86</v>
      </c>
    </row>
    <row r="740">
      <c r="A740" s="35" t="inlineStr">
        <is>
          <t>MAPMYINDIA</t>
        </is>
      </c>
      <c r="C740" s="36" t="n">
        <v>965.2</v>
      </c>
      <c r="D740" s="36" t="n">
        <v>1032.4</v>
      </c>
      <c r="E740" s="36" t="n">
        <v>1417.06</v>
      </c>
      <c r="F740" s="36" t="n">
        <v>2162.48</v>
      </c>
      <c r="G740" s="36" t="n">
        <v>1565.2</v>
      </c>
      <c r="H740" s="36" t="n">
        <v>801.1</v>
      </c>
      <c r="I740" s="37" t="n">
        <v>169491</v>
      </c>
      <c r="J740" s="37" t="n">
        <v>128520</v>
      </c>
      <c r="K740" s="38" t="n">
        <v>-36.77</v>
      </c>
    </row>
    <row r="741">
      <c r="A741" s="35" t="inlineStr">
        <is>
          <t>AVANTIFEED</t>
        </is>
      </c>
      <c r="C741" s="36" t="n">
        <v>1442.7</v>
      </c>
      <c r="D741" s="36" t="n">
        <v>1237.15</v>
      </c>
      <c r="E741" s="36" t="n">
        <v>979.24</v>
      </c>
      <c r="F741" s="36" t="n">
        <v>1593.8</v>
      </c>
      <c r="G741" s="36" t="n">
        <v>1593.8</v>
      </c>
      <c r="H741" s="36" t="n">
        <v>746.65</v>
      </c>
      <c r="I741" s="37" t="n">
        <v>637528</v>
      </c>
      <c r="J741" s="37" t="n">
        <v>698485</v>
      </c>
      <c r="K741" s="38" t="n">
        <v>77.38</v>
      </c>
    </row>
    <row r="742">
      <c r="A742" s="35" t="inlineStr">
        <is>
          <t>ASHAPURMIN</t>
        </is>
      </c>
      <c r="C742" s="36" t="n">
        <v>636.7</v>
      </c>
      <c r="D742" s="36" t="n">
        <v>567.29</v>
      </c>
      <c r="E742" s="36" t="n">
        <v>586.64</v>
      </c>
      <c r="F742" s="36" t="n">
        <v>924.9</v>
      </c>
      <c r="G742" s="36" t="n">
        <v>879.75</v>
      </c>
      <c r="H742" s="36" t="n">
        <v>459.5</v>
      </c>
      <c r="I742" s="37" t="n">
        <v>500078</v>
      </c>
      <c r="J742" s="37" t="n">
        <v>610610</v>
      </c>
      <c r="K742" s="38" t="n">
        <v>-26.73</v>
      </c>
    </row>
    <row r="743">
      <c r="A743" s="35" t="inlineStr">
        <is>
          <t>OLAELEC</t>
        </is>
      </c>
      <c r="C743" s="36" t="n">
        <v>38.43</v>
      </c>
      <c r="D743" s="36" t="n">
        <v>31.32</v>
      </c>
      <c r="E743" s="36" t="n">
        <v>38.14</v>
      </c>
      <c r="F743" s="36" t="n">
        <v>71.25</v>
      </c>
      <c r="G743" s="36" t="n">
        <v>42</v>
      </c>
      <c r="H743" s="36" t="n">
        <v>22.8</v>
      </c>
      <c r="I743" s="37" t="n">
        <v>144974112</v>
      </c>
      <c r="J743" s="37" t="n">
        <v>61221386</v>
      </c>
      <c r="K743" s="38" t="n">
        <v>-0.52</v>
      </c>
    </row>
    <row r="744">
      <c r="A744" s="35" t="inlineStr">
        <is>
          <t>ATLANTAELE</t>
        </is>
      </c>
    </row>
    <row r="745">
      <c r="A745" s="35" t="inlineStr">
        <is>
          <t>QPOWER</t>
        </is>
      </c>
      <c r="C745" s="36" t="n">
        <v>1272.7</v>
      </c>
      <c r="D745" s="36" t="n">
        <v>916.76</v>
      </c>
      <c r="E745" s="36" t="n">
        <v>784.54</v>
      </c>
      <c r="F745" s="36" t="n">
        <v>1298.4</v>
      </c>
      <c r="G745" s="36" t="n">
        <v>1298.4</v>
      </c>
      <c r="H745" s="36" t="n">
        <v>595.1</v>
      </c>
      <c r="I745" s="37" t="n">
        <v>1284442</v>
      </c>
      <c r="J745" s="37" t="n">
        <v>1096268</v>
      </c>
      <c r="K745" s="38" t="n">
        <v>93.98</v>
      </c>
    </row>
    <row r="746">
      <c r="A746" s="35" t="inlineStr">
        <is>
          <t>KRN</t>
        </is>
      </c>
      <c r="C746" s="36" t="n">
        <v>1202.1</v>
      </c>
      <c r="D746" s="36" t="n">
        <v>938.96</v>
      </c>
      <c r="E746" s="36" t="n">
        <v>836.96</v>
      </c>
      <c r="F746" s="36" t="n">
        <v>1314</v>
      </c>
      <c r="G746" s="36" t="n">
        <v>1314</v>
      </c>
      <c r="H746" s="36" t="n">
        <v>598.1</v>
      </c>
      <c r="I746" s="37" t="n">
        <v>812553</v>
      </c>
      <c r="J746" s="37" t="n">
        <v>734375</v>
      </c>
      <c r="K746" s="38" t="n">
        <v>66.62</v>
      </c>
    </row>
    <row r="747">
      <c r="A747" s="35" t="inlineStr">
        <is>
          <t>LATENTVIEW</t>
        </is>
      </c>
      <c r="C747" s="36" t="n">
        <v>299.35</v>
      </c>
      <c r="D747" s="36" t="n">
        <v>323.21</v>
      </c>
      <c r="E747" s="36" t="n">
        <v>388.43</v>
      </c>
      <c r="F747" s="36" t="n">
        <v>517.5</v>
      </c>
      <c r="G747" s="36" t="n">
        <v>484.7</v>
      </c>
      <c r="H747" s="36" t="n">
        <v>249.6</v>
      </c>
      <c r="I747" s="37" t="n">
        <v>956752</v>
      </c>
      <c r="J747" s="37" t="n">
        <v>690465</v>
      </c>
      <c r="K747" s="38" t="n">
        <v>-30.35</v>
      </c>
    </row>
    <row r="748">
      <c r="A748" s="35" t="inlineStr">
        <is>
          <t>KPITTECH</t>
        </is>
      </c>
      <c r="C748" s="36" t="n">
        <v>735.95</v>
      </c>
      <c r="D748" s="36" t="n">
        <v>782.28</v>
      </c>
      <c r="E748" s="36" t="n">
        <v>1020.57</v>
      </c>
      <c r="F748" s="36" t="n">
        <v>1424.24</v>
      </c>
      <c r="G748" s="36" t="n">
        <v>1220.62</v>
      </c>
      <c r="H748" s="36" t="n">
        <v>631.95</v>
      </c>
      <c r="I748" s="37" t="n">
        <v>1674776</v>
      </c>
      <c r="J748" s="37" t="n">
        <v>1616312</v>
      </c>
      <c r="K748" s="38" t="n">
        <v>-37.46</v>
      </c>
    </row>
    <row r="749">
      <c r="A749" s="35" t="inlineStr">
        <is>
          <t>AWFIS</t>
        </is>
      </c>
      <c r="C749" s="36" t="n">
        <v>359.24</v>
      </c>
      <c r="D749" s="36" t="n">
        <v>325.38</v>
      </c>
      <c r="E749" s="36" t="n">
        <v>455.3</v>
      </c>
      <c r="F749" s="36" t="n">
        <v>718.95</v>
      </c>
      <c r="G749" s="36" t="n">
        <v>465.05</v>
      </c>
      <c r="H749" s="36" t="n">
        <v>230.65</v>
      </c>
      <c r="I749" s="37" t="n">
        <v>402620</v>
      </c>
      <c r="J749" s="37" t="n">
        <v>345045</v>
      </c>
      <c r="K749" s="38" t="n">
        <v>-20.35</v>
      </c>
    </row>
    <row r="750">
      <c r="A750" s="35" t="inlineStr">
        <is>
          <t>NEWGEN</t>
        </is>
      </c>
      <c r="C750" s="36" t="n">
        <v>474.6</v>
      </c>
      <c r="D750" s="36" t="n">
        <v>504.96</v>
      </c>
      <c r="E750" s="36" t="n">
        <v>730.34</v>
      </c>
      <c r="F750" s="36" t="n">
        <v>1370.44</v>
      </c>
      <c r="G750" s="36" t="n">
        <v>781.95</v>
      </c>
      <c r="H750" s="36" t="n">
        <v>402.3</v>
      </c>
      <c r="I750" s="37" t="n">
        <v>953676</v>
      </c>
      <c r="J750" s="37" t="n">
        <v>1127756</v>
      </c>
      <c r="K750" s="38" t="n">
        <v>-38.38</v>
      </c>
    </row>
    <row r="751">
      <c r="A751" s="35" t="inlineStr">
        <is>
          <t>MTARTECH</t>
        </is>
      </c>
      <c r="C751" s="36" t="n">
        <v>5279.6</v>
      </c>
      <c r="D751" s="36" t="n">
        <v>3827.96</v>
      </c>
      <c r="E751" s="36" t="n">
        <v>2782.44</v>
      </c>
      <c r="F751" s="36" t="n">
        <v>5350</v>
      </c>
      <c r="G751" s="36" t="n">
        <v>5350</v>
      </c>
      <c r="H751" s="36" t="n">
        <v>2400.2</v>
      </c>
      <c r="I751" s="37" t="n">
        <v>504996</v>
      </c>
      <c r="J751" s="37" t="n">
        <v>431024</v>
      </c>
      <c r="K751" s="38" t="n">
        <v>100.17</v>
      </c>
    </row>
    <row r="752">
      <c r="A752" s="35" t="inlineStr">
        <is>
          <t>STLTECH</t>
        </is>
      </c>
      <c r="C752" s="36" t="n">
        <v>290.99</v>
      </c>
      <c r="D752" s="36" t="n">
        <v>192.17</v>
      </c>
      <c r="E752" s="36" t="n">
        <v>136.69</v>
      </c>
      <c r="F752" s="36" t="n">
        <v>292.39</v>
      </c>
      <c r="G752" s="36" t="n">
        <v>292.39</v>
      </c>
      <c r="H752" s="36" t="n">
        <v>86.23999999999999</v>
      </c>
      <c r="I752" s="37" t="n">
        <v>6546931</v>
      </c>
      <c r="J752" s="37" t="n">
        <v>7376659</v>
      </c>
      <c r="K752" s="38" t="n">
        <v>209.27</v>
      </c>
    </row>
    <row r="753">
      <c r="A753" s="35" t="inlineStr">
        <is>
          <t>EMBDL</t>
        </is>
      </c>
      <c r="C753" s="36" t="n">
        <v>47.7</v>
      </c>
      <c r="D753" s="36" t="n">
        <v>54.52</v>
      </c>
      <c r="E753" s="36" t="n">
        <v>74.98</v>
      </c>
      <c r="F753" s="36" t="n">
        <v>128</v>
      </c>
      <c r="G753" s="36" t="n">
        <v>73</v>
      </c>
      <c r="H753" s="36" t="n">
        <v>39.46</v>
      </c>
      <c r="I753" s="37" t="n">
        <v>1973304</v>
      </c>
      <c r="J753" s="37" t="n">
        <v>1700825</v>
      </c>
      <c r="K753" s="38" t="n">
        <v>-19.71</v>
      </c>
    </row>
  </sheetData>
  <mergeCells count="2">
    <mergeCell ref="A1:T1"/>
    <mergeCell ref="A2:T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4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5"/>
  <cols>
    <col width="10" customWidth="1" min="1" max="1"/>
    <col width="22" customWidth="1" min="2" max="2"/>
    <col width="14" customWidth="1" min="3" max="3"/>
    <col width="12" customWidth="1" min="4" max="7"/>
    <col width="11" customWidth="1" min="8" max="9"/>
    <col width="12" customWidth="1" min="10" max="10"/>
    <col width="11" customWidth="1" min="11" max="11"/>
    <col width="12" customWidth="1" min="12" max="12"/>
    <col width="11" customWidth="1" min="13" max="16"/>
    <col width="12" customWidth="1" min="17" max="17"/>
    <col width="8" customWidth="1" min="18" max="18"/>
    <col width="11" customWidth="1" min="19" max="20"/>
  </cols>
  <sheetData>
    <row r="1" ht="34.5" customHeight="1">
      <c r="A1" s="8" t="inlineStr">
        <is>
          <t>🎯  SCREENER &amp; RANKING ENGINE  —  Monday 3 PM Entry Signals</t>
        </is>
      </c>
    </row>
    <row r="2" ht="18" customHeight="1">
      <c r="A2" s="7" t="inlineStr">
        <is>
          <t>All filters auto-calculated from Ticker Data sheet. Green = PASS | Red = FAIL | Top 20 by Composite Score highlighted in gold.</t>
        </is>
      </c>
    </row>
    <row r="3" ht="13.5" customHeight="1">
      <c r="A3" s="6" t="inlineStr">
        <is>
          <t>IDENTIFIER</t>
        </is>
      </c>
      <c r="D3" s="5" t="inlineStr">
        <is>
          <t>FILTER CHECKS</t>
        </is>
      </c>
      <c r="H3" s="4" t="inlineStr">
        <is>
          <t>RANKING FACTORS</t>
        </is>
      </c>
      <c r="M3" s="3" t="inlineStr">
        <is>
          <t>RANK SCORES (0–100)</t>
        </is>
      </c>
      <c r="Q3" s="2" t="inlineStr">
        <is>
          <t>COMPOSITE</t>
        </is>
      </c>
      <c r="S3" s="1" t="inlineStr">
        <is>
          <t>DECISION</t>
        </is>
      </c>
    </row>
    <row r="4" ht="30" customHeight="1">
      <c r="A4" s="15" t="inlineStr">
        <is>
          <t>Ticker</t>
        </is>
      </c>
      <c r="B4" s="15" t="inlineStr">
        <is>
          <t>Company</t>
        </is>
      </c>
      <c r="C4" s="15" t="inlineStr">
        <is>
          <t>Sector</t>
        </is>
      </c>
      <c r="D4" s="15" t="inlineStr">
        <is>
          <t>Price&gt;
50EMA&gt;
200EMA</t>
        </is>
      </c>
      <c r="E4" s="15" t="inlineStr">
        <is>
          <t>Price &lt;15%
from 52W
High</t>
        </is>
      </c>
      <c r="F4" s="15" t="inlineStr">
        <is>
          <t>3M
Breakout?</t>
        </is>
      </c>
      <c r="G4" s="15" t="inlineStr">
        <is>
          <t>Vol Surge
1M&gt;3M?</t>
        </is>
      </c>
      <c r="H4" s="15" t="inlineStr">
        <is>
          <t>3M Return
%</t>
        </is>
      </c>
      <c r="I4" s="15" t="inlineStr">
        <is>
          <t>Vol Surge
Ratio</t>
        </is>
      </c>
      <c r="J4" s="15" t="inlineStr">
        <is>
          <t>Breakout
Strength %</t>
        </is>
      </c>
      <c r="K4" s="15" t="inlineStr">
        <is>
          <t>EMA
Sep %</t>
        </is>
      </c>
      <c r="L4" s="15" t="inlineStr">
        <is>
          <t>52W High
Prox %</t>
        </is>
      </c>
      <c r="M4" s="15" t="inlineStr">
        <is>
          <t>Momentum
Score</t>
        </is>
      </c>
      <c r="N4" s="15" t="inlineStr">
        <is>
          <t>Volume
Score</t>
        </is>
      </c>
      <c r="O4" s="15" t="inlineStr">
        <is>
          <t>Breakout
Score</t>
        </is>
      </c>
      <c r="P4" s="15" t="inlineStr">
        <is>
          <t>EMA
Score</t>
        </is>
      </c>
      <c r="Q4" s="15" t="inlineStr">
        <is>
          <t>Composite
Score</t>
        </is>
      </c>
      <c r="R4" s="15" t="inlineStr">
        <is>
          <t>Rank</t>
        </is>
      </c>
      <c r="S4" s="15" t="inlineStr">
        <is>
          <t>All Filters
Pass?</t>
        </is>
      </c>
      <c r="T4" s="15" t="inlineStr">
        <is>
          <t>Top 20
Signal</t>
        </is>
      </c>
    </row>
    <row r="5" ht="18" customHeight="1">
      <c r="A5" s="20">
        <f>IF('Ticker Data'!A4="","",'Ticker Data'!A4)</f>
        <v/>
      </c>
      <c r="B5" s="20">
        <f>IF('Ticker Data'!A4="","",'Ticker Data'!B4)</f>
        <v/>
      </c>
      <c r="C5" s="20">
        <f>IF('Ticker Data'!A4="","",'Ticker Data'!L4)</f>
        <v/>
      </c>
      <c r="D5" s="21">
        <f>IF('Ticker Data'!A4="","",IF(AND('Ticker Data'!C4&gt;'Ticker Data'!D4,'Ticker Data'!D4&gt;'Ticker Data'!E4,'Ticker Data'!E4&gt;0),"✔ PASS","✘ FAIL"))</f>
        <v/>
      </c>
      <c r="E5" s="21">
        <f>IF('Ticker Data'!A4="","",IF('Ticker Data'!C4&gt;='Ticker Data'!F4*0.85,"✔ PASS","✘ FAIL"))</f>
        <v/>
      </c>
      <c r="F5" s="21">
        <f>IF('Ticker Data'!A4="","",IF('Ticker Data'!C4&gt;='Ticker Data'!G4,"✔ PASS","✘ FAIL"))</f>
        <v/>
      </c>
      <c r="G5" s="21">
        <f>IF('Ticker Data'!A4="","",IF('Ticker Data'!I4&gt;'Ticker Data'!J4,"✔ PASS","✘ FAIL"))</f>
        <v/>
      </c>
      <c r="H5" s="22">
        <f>IF('Ticker Data'!A4="","",(('Ticker Data'!K4/100)))</f>
        <v/>
      </c>
      <c r="I5" s="23">
        <f>IF(OR('Ticker Data'!A4="",'Ticker Data'!J4=0),"",'Ticker Data'!I4/'Ticker Data'!J4)</f>
        <v/>
      </c>
      <c r="J5" s="24">
        <f>IF(OR('Ticker Data'!A4="",'Ticker Data'!G4=0),"",('Ticker Data'!C4-'Ticker Data'!G4)/'Ticker Data'!G4)</f>
        <v/>
      </c>
      <c r="K5" s="24">
        <f>IF(OR('Ticker Data'!A4="",'Ticker Data'!D4=0),"",('Ticker Data'!C4-'Ticker Data'!D4)/'Ticker Data'!D4)</f>
        <v/>
      </c>
      <c r="L5" s="22">
        <f>IF(OR('Ticker Data'!A4="",'Ticker Data'!F4=0),"",'Ticker Data'!C4/'Ticker Data'!F4)</f>
        <v/>
      </c>
      <c r="M5" s="25">
        <f>IF(OR(C5="",H5=""),"",ROUND(PERCENTRANK($H$5:$H$54,H5)*100,1))</f>
        <v/>
      </c>
      <c r="N5" s="25">
        <f>IF(OR(C5="",I5=""),"",ROUND(PERCENTRANK($I$5:$I$54,I5)*100,1))</f>
        <v/>
      </c>
      <c r="O5" s="25">
        <f>IF(OR(C5="",J5=""),"",ROUND(PERCENTRANK($J$5:$J$54,J5)*100,1))</f>
        <v/>
      </c>
      <c r="P5" s="25">
        <f>IF(OR(C5="",K5=""),"",ROUND(PERCENTRANK($K$5:$K$54,K5)*100,1))</f>
        <v/>
      </c>
      <c r="Q5" s="25">
        <f>IF(OR(A5="",D5=""),"",ROUND(M5*0.3+N5*0.25+O5*0.25+P5*0.2,1))</f>
        <v/>
      </c>
      <c r="R5" s="21">
        <f>IF(OR(A5="",S5&lt;&gt;"✔ ALL PASS"),"",RANK(Q5,$Q$5:$Q$54,0))</f>
        <v/>
      </c>
      <c r="S5" s="21">
        <f>IF(A5="","",IF(AND(D5="✔ PASS",E5="✔ PASS",F5="✔ PASS",G5="✔ PASS"),"✔ ALL PASS","✘ FILTERED"))</f>
        <v/>
      </c>
      <c r="T5" s="21">
        <f>IF(OR(A5="",S5&lt;&gt;"✔ ALL PASS",R5=""),"",IF(R5&lt;=20,"🟢 BUY SIGNAL","—"))</f>
        <v/>
      </c>
    </row>
    <row r="6" ht="18" customHeight="1">
      <c r="A6" s="20">
        <f>IF('Ticker Data'!A5="","",'Ticker Data'!A5)</f>
        <v/>
      </c>
      <c r="B6" s="20">
        <f>IF('Ticker Data'!A5="","",'Ticker Data'!B5)</f>
        <v/>
      </c>
      <c r="C6" s="20">
        <f>IF('Ticker Data'!A5="","",'Ticker Data'!L5)</f>
        <v/>
      </c>
      <c r="D6" s="21">
        <f>IF('Ticker Data'!A5="","",IF(AND('Ticker Data'!C5&gt;'Ticker Data'!D5,'Ticker Data'!D5&gt;'Ticker Data'!E5,'Ticker Data'!E5&gt;0),"✔ PASS","✘ FAIL"))</f>
        <v/>
      </c>
      <c r="E6" s="21">
        <f>IF('Ticker Data'!A5="","",IF('Ticker Data'!C5&gt;='Ticker Data'!F5*0.85,"✔ PASS","✘ FAIL"))</f>
        <v/>
      </c>
      <c r="F6" s="21">
        <f>IF('Ticker Data'!A5="","",IF('Ticker Data'!C5&gt;='Ticker Data'!G5,"✔ PASS","✘ FAIL"))</f>
        <v/>
      </c>
      <c r="G6" s="21">
        <f>IF('Ticker Data'!A5="","",IF('Ticker Data'!I5&gt;'Ticker Data'!J5,"✔ PASS","✘ FAIL"))</f>
        <v/>
      </c>
      <c r="H6" s="22">
        <f>IF('Ticker Data'!A5="","",(('Ticker Data'!K5/100)))</f>
        <v/>
      </c>
      <c r="I6" s="23">
        <f>IF(OR('Ticker Data'!A5="",'Ticker Data'!J5=0),"",'Ticker Data'!I5/'Ticker Data'!J5)</f>
        <v/>
      </c>
      <c r="J6" s="24">
        <f>IF(OR('Ticker Data'!A5="",'Ticker Data'!G5=0),"",('Ticker Data'!C5-'Ticker Data'!G5)/'Ticker Data'!G5)</f>
        <v/>
      </c>
      <c r="K6" s="24">
        <f>IF(OR('Ticker Data'!A5="",'Ticker Data'!D5=0),"",('Ticker Data'!C5-'Ticker Data'!D5)/'Ticker Data'!D5)</f>
        <v/>
      </c>
      <c r="L6" s="22">
        <f>IF(OR('Ticker Data'!A5="",'Ticker Data'!F5=0),"",'Ticker Data'!C5/'Ticker Data'!F5)</f>
        <v/>
      </c>
      <c r="M6" s="25">
        <f>IF(OR(C6="",H6=""),"",ROUND(PERCENTRANK($H$5:$H$54,H6)*100,1))</f>
        <v/>
      </c>
      <c r="N6" s="25">
        <f>IF(OR(C6="",I6=""),"",ROUND(PERCENTRANK($I$5:$I$54,I6)*100,1))</f>
        <v/>
      </c>
      <c r="O6" s="25">
        <f>IF(OR(C6="",J6=""),"",ROUND(PERCENTRANK($J$5:$J$54,J6)*100,1))</f>
        <v/>
      </c>
      <c r="P6" s="25">
        <f>IF(OR(C6="",K6=""),"",ROUND(PERCENTRANK($K$5:$K$54,K6)*100,1))</f>
        <v/>
      </c>
      <c r="Q6" s="25">
        <f>IF(OR(A6="",D6=""),"",ROUND(M6*0.3+N6*0.25+O6*0.25+P6*0.2,1))</f>
        <v/>
      </c>
      <c r="R6" s="21">
        <f>IF(OR(A6="",S6&lt;&gt;"✔ ALL PASS"),"",RANK(Q6,$Q$5:$Q$54,0))</f>
        <v/>
      </c>
      <c r="S6" s="21">
        <f>IF(A6="","",IF(AND(D6="✔ PASS",E6="✔ PASS",F6="✔ PASS",G6="✔ PASS"),"✔ ALL PASS","✘ FILTERED"))</f>
        <v/>
      </c>
      <c r="T6" s="21">
        <f>IF(OR(A6="",S6&lt;&gt;"✔ ALL PASS",R6=""),"",IF(R6&lt;=20,"🟢 BUY SIGNAL","—"))</f>
        <v/>
      </c>
    </row>
    <row r="7" ht="18" customHeight="1">
      <c r="A7" s="20">
        <f>IF('Ticker Data'!A6="","",'Ticker Data'!A6)</f>
        <v/>
      </c>
      <c r="B7" s="20">
        <f>IF('Ticker Data'!A6="","",'Ticker Data'!B6)</f>
        <v/>
      </c>
      <c r="C7" s="20">
        <f>IF('Ticker Data'!A6="","",'Ticker Data'!L6)</f>
        <v/>
      </c>
      <c r="D7" s="21">
        <f>IF('Ticker Data'!A6="","",IF(AND('Ticker Data'!C6&gt;'Ticker Data'!D6,'Ticker Data'!D6&gt;'Ticker Data'!E6,'Ticker Data'!E6&gt;0),"✔ PASS","✘ FAIL"))</f>
        <v/>
      </c>
      <c r="E7" s="21">
        <f>IF('Ticker Data'!A6="","",IF('Ticker Data'!C6&gt;='Ticker Data'!F6*0.85,"✔ PASS","✘ FAIL"))</f>
        <v/>
      </c>
      <c r="F7" s="21">
        <f>IF('Ticker Data'!A6="","",IF('Ticker Data'!C6&gt;='Ticker Data'!G6,"✔ PASS","✘ FAIL"))</f>
        <v/>
      </c>
      <c r="G7" s="21">
        <f>IF('Ticker Data'!A6="","",IF('Ticker Data'!I6&gt;'Ticker Data'!J6,"✔ PASS","✘ FAIL"))</f>
        <v/>
      </c>
      <c r="H7" s="22">
        <f>IF('Ticker Data'!A6="","",(('Ticker Data'!K6/100)))</f>
        <v/>
      </c>
      <c r="I7" s="23">
        <f>IF(OR('Ticker Data'!A6="",'Ticker Data'!J6=0),"",'Ticker Data'!I6/'Ticker Data'!J6)</f>
        <v/>
      </c>
      <c r="J7" s="24">
        <f>IF(OR('Ticker Data'!A6="",'Ticker Data'!G6=0),"",('Ticker Data'!C6-'Ticker Data'!G6)/'Ticker Data'!G6)</f>
        <v/>
      </c>
      <c r="K7" s="24">
        <f>IF(OR('Ticker Data'!A6="",'Ticker Data'!D6=0),"",('Ticker Data'!C6-'Ticker Data'!D6)/'Ticker Data'!D6)</f>
        <v/>
      </c>
      <c r="L7" s="22">
        <f>IF(OR('Ticker Data'!A6="",'Ticker Data'!F6=0),"",'Ticker Data'!C6/'Ticker Data'!F6)</f>
        <v/>
      </c>
      <c r="M7" s="25">
        <f>IF(OR(C7="",H7=""),"",ROUND(PERCENTRANK($H$5:$H$54,H7)*100,1))</f>
        <v/>
      </c>
      <c r="N7" s="25">
        <f>IF(OR(C7="",I7=""),"",ROUND(PERCENTRANK($I$5:$I$54,I7)*100,1))</f>
        <v/>
      </c>
      <c r="O7" s="25">
        <f>IF(OR(C7="",J7=""),"",ROUND(PERCENTRANK($J$5:$J$54,J7)*100,1))</f>
        <v/>
      </c>
      <c r="P7" s="25">
        <f>IF(OR(C7="",K7=""),"",ROUND(PERCENTRANK($K$5:$K$54,K7)*100,1))</f>
        <v/>
      </c>
      <c r="Q7" s="25">
        <f>IF(OR(A7="",D7=""),"",ROUND(M7*0.3+N7*0.25+O7*0.25+P7*0.2,1))</f>
        <v/>
      </c>
      <c r="R7" s="21">
        <f>IF(OR(A7="",S7&lt;&gt;"✔ ALL PASS"),"",RANK(Q7,$Q$5:$Q$54,0))</f>
        <v/>
      </c>
      <c r="S7" s="21">
        <f>IF(A7="","",IF(AND(D7="✔ PASS",E7="✔ PASS",F7="✔ PASS",G7="✔ PASS"),"✔ ALL PASS","✘ FILTERED"))</f>
        <v/>
      </c>
      <c r="T7" s="21">
        <f>IF(OR(A7="",S7&lt;&gt;"✔ ALL PASS",R7=""),"",IF(R7&lt;=20,"🟢 BUY SIGNAL","—"))</f>
        <v/>
      </c>
    </row>
    <row r="8" ht="18" customHeight="1">
      <c r="A8" s="20">
        <f>IF('Ticker Data'!A7="","",'Ticker Data'!A7)</f>
        <v/>
      </c>
      <c r="B8" s="20">
        <f>IF('Ticker Data'!A7="","",'Ticker Data'!B7)</f>
        <v/>
      </c>
      <c r="C8" s="20">
        <f>IF('Ticker Data'!A7="","",'Ticker Data'!L7)</f>
        <v/>
      </c>
      <c r="D8" s="21">
        <f>IF('Ticker Data'!A7="","",IF(AND('Ticker Data'!C7&gt;'Ticker Data'!D7,'Ticker Data'!D7&gt;'Ticker Data'!E7,'Ticker Data'!E7&gt;0),"✔ PASS","✘ FAIL"))</f>
        <v/>
      </c>
      <c r="E8" s="21">
        <f>IF('Ticker Data'!A7="","",IF('Ticker Data'!C7&gt;='Ticker Data'!F7*0.85,"✔ PASS","✘ FAIL"))</f>
        <v/>
      </c>
      <c r="F8" s="21">
        <f>IF('Ticker Data'!A7="","",IF('Ticker Data'!C7&gt;='Ticker Data'!G7,"✔ PASS","✘ FAIL"))</f>
        <v/>
      </c>
      <c r="G8" s="21">
        <f>IF('Ticker Data'!A7="","",IF('Ticker Data'!I7&gt;'Ticker Data'!J7,"✔ PASS","✘ FAIL"))</f>
        <v/>
      </c>
      <c r="H8" s="22">
        <f>IF('Ticker Data'!A7="","",(('Ticker Data'!K7/100)))</f>
        <v/>
      </c>
      <c r="I8" s="23">
        <f>IF(OR('Ticker Data'!A7="",'Ticker Data'!J7=0),"",'Ticker Data'!I7/'Ticker Data'!J7)</f>
        <v/>
      </c>
      <c r="J8" s="24">
        <f>IF(OR('Ticker Data'!A7="",'Ticker Data'!G7=0),"",('Ticker Data'!C7-'Ticker Data'!G7)/'Ticker Data'!G7)</f>
        <v/>
      </c>
      <c r="K8" s="24">
        <f>IF(OR('Ticker Data'!A7="",'Ticker Data'!D7=0),"",('Ticker Data'!C7-'Ticker Data'!D7)/'Ticker Data'!D7)</f>
        <v/>
      </c>
      <c r="L8" s="22">
        <f>IF(OR('Ticker Data'!A7="",'Ticker Data'!F7=0),"",'Ticker Data'!C7/'Ticker Data'!F7)</f>
        <v/>
      </c>
      <c r="M8" s="25">
        <f>IF(OR(C8="",H8=""),"",ROUND(PERCENTRANK($H$5:$H$54,H8)*100,1))</f>
        <v/>
      </c>
      <c r="N8" s="25">
        <f>IF(OR(C8="",I8=""),"",ROUND(PERCENTRANK($I$5:$I$54,I8)*100,1))</f>
        <v/>
      </c>
      <c r="O8" s="25">
        <f>IF(OR(C8="",J8=""),"",ROUND(PERCENTRANK($J$5:$J$54,J8)*100,1))</f>
        <v/>
      </c>
      <c r="P8" s="25">
        <f>IF(OR(C8="",K8=""),"",ROUND(PERCENTRANK($K$5:$K$54,K8)*100,1))</f>
        <v/>
      </c>
      <c r="Q8" s="25">
        <f>IF(OR(A8="",D8=""),"",ROUND(M8*0.3+N8*0.25+O8*0.25+P8*0.2,1))</f>
        <v/>
      </c>
      <c r="R8" s="21">
        <f>IF(OR(A8="",S8&lt;&gt;"✔ ALL PASS"),"",RANK(Q8,$Q$5:$Q$54,0))</f>
        <v/>
      </c>
      <c r="S8" s="21">
        <f>IF(A8="","",IF(AND(D8="✔ PASS",E8="✔ PASS",F8="✔ PASS",G8="✔ PASS"),"✔ ALL PASS","✘ FILTERED"))</f>
        <v/>
      </c>
      <c r="T8" s="21">
        <f>IF(OR(A8="",S8&lt;&gt;"✔ ALL PASS",R8=""),"",IF(R8&lt;=20,"🟢 BUY SIGNAL","—"))</f>
        <v/>
      </c>
    </row>
    <row r="9" ht="18" customHeight="1">
      <c r="A9" s="20">
        <f>IF('Ticker Data'!A8="","",'Ticker Data'!A8)</f>
        <v/>
      </c>
      <c r="B9" s="20">
        <f>IF('Ticker Data'!A8="","",'Ticker Data'!B8)</f>
        <v/>
      </c>
      <c r="C9" s="20">
        <f>IF('Ticker Data'!A8="","",'Ticker Data'!L8)</f>
        <v/>
      </c>
      <c r="D9" s="21">
        <f>IF('Ticker Data'!A8="","",IF(AND('Ticker Data'!C8&gt;'Ticker Data'!D8,'Ticker Data'!D8&gt;'Ticker Data'!E8,'Ticker Data'!E8&gt;0),"✔ PASS","✘ FAIL"))</f>
        <v/>
      </c>
      <c r="E9" s="21">
        <f>IF('Ticker Data'!A8="","",IF('Ticker Data'!C8&gt;='Ticker Data'!F8*0.85,"✔ PASS","✘ FAIL"))</f>
        <v/>
      </c>
      <c r="F9" s="21">
        <f>IF('Ticker Data'!A8="","",IF('Ticker Data'!C8&gt;='Ticker Data'!G8,"✔ PASS","✘ FAIL"))</f>
        <v/>
      </c>
      <c r="G9" s="21">
        <f>IF('Ticker Data'!A8="","",IF('Ticker Data'!I8&gt;'Ticker Data'!J8,"✔ PASS","✘ FAIL"))</f>
        <v/>
      </c>
      <c r="H9" s="22">
        <f>IF('Ticker Data'!A8="","",(('Ticker Data'!K8/100)))</f>
        <v/>
      </c>
      <c r="I9" s="23">
        <f>IF(OR('Ticker Data'!A8="",'Ticker Data'!J8=0),"",'Ticker Data'!I8/'Ticker Data'!J8)</f>
        <v/>
      </c>
      <c r="J9" s="24">
        <f>IF(OR('Ticker Data'!A8="",'Ticker Data'!G8=0),"",('Ticker Data'!C8-'Ticker Data'!G8)/'Ticker Data'!G8)</f>
        <v/>
      </c>
      <c r="K9" s="24">
        <f>IF(OR('Ticker Data'!A8="",'Ticker Data'!D8=0),"",('Ticker Data'!C8-'Ticker Data'!D8)/'Ticker Data'!D8)</f>
        <v/>
      </c>
      <c r="L9" s="22">
        <f>IF(OR('Ticker Data'!A8="",'Ticker Data'!F8=0),"",'Ticker Data'!C8/'Ticker Data'!F8)</f>
        <v/>
      </c>
      <c r="M9" s="25">
        <f>IF(OR(C9="",H9=""),"",ROUND(PERCENTRANK($H$5:$H$54,H9)*100,1))</f>
        <v/>
      </c>
      <c r="N9" s="25">
        <f>IF(OR(C9="",I9=""),"",ROUND(PERCENTRANK($I$5:$I$54,I9)*100,1))</f>
        <v/>
      </c>
      <c r="O9" s="25">
        <f>IF(OR(C9="",J9=""),"",ROUND(PERCENTRANK($J$5:$J$54,J9)*100,1))</f>
        <v/>
      </c>
      <c r="P9" s="25">
        <f>IF(OR(C9="",K9=""),"",ROUND(PERCENTRANK($K$5:$K$54,K9)*100,1))</f>
        <v/>
      </c>
      <c r="Q9" s="25">
        <f>IF(OR(A9="",D9=""),"",ROUND(M9*0.3+N9*0.25+O9*0.25+P9*0.2,1))</f>
        <v/>
      </c>
      <c r="R9" s="21">
        <f>IF(OR(A9="",S9&lt;&gt;"✔ ALL PASS"),"",RANK(Q9,$Q$5:$Q$54,0))</f>
        <v/>
      </c>
      <c r="S9" s="21">
        <f>IF(A9="","",IF(AND(D9="✔ PASS",E9="✔ PASS",F9="✔ PASS",G9="✔ PASS"),"✔ ALL PASS","✘ FILTERED"))</f>
        <v/>
      </c>
      <c r="T9" s="21">
        <f>IF(OR(A9="",S9&lt;&gt;"✔ ALL PASS",R9=""),"",IF(R9&lt;=20,"🟢 BUY SIGNAL","—"))</f>
        <v/>
      </c>
    </row>
    <row r="10" ht="18" customHeight="1">
      <c r="A10" s="20">
        <f>IF('Ticker Data'!A9="","",'Ticker Data'!A9)</f>
        <v/>
      </c>
      <c r="B10" s="20">
        <f>IF('Ticker Data'!A9="","",'Ticker Data'!B9)</f>
        <v/>
      </c>
      <c r="C10" s="20">
        <f>IF('Ticker Data'!A9="","",'Ticker Data'!L9)</f>
        <v/>
      </c>
      <c r="D10" s="21">
        <f>IF('Ticker Data'!A9="","",IF(AND('Ticker Data'!C9&gt;'Ticker Data'!D9,'Ticker Data'!D9&gt;'Ticker Data'!E9,'Ticker Data'!E9&gt;0),"✔ PASS","✘ FAIL"))</f>
        <v/>
      </c>
      <c r="E10" s="21">
        <f>IF('Ticker Data'!A9="","",IF('Ticker Data'!C9&gt;='Ticker Data'!F9*0.85,"✔ PASS","✘ FAIL"))</f>
        <v/>
      </c>
      <c r="F10" s="21">
        <f>IF('Ticker Data'!A9="","",IF('Ticker Data'!C9&gt;='Ticker Data'!G9,"✔ PASS","✘ FAIL"))</f>
        <v/>
      </c>
      <c r="G10" s="21">
        <f>IF('Ticker Data'!A9="","",IF('Ticker Data'!I9&gt;'Ticker Data'!J9,"✔ PASS","✘ FAIL"))</f>
        <v/>
      </c>
      <c r="H10" s="22">
        <f>IF('Ticker Data'!A9="","",(('Ticker Data'!K9/100)))</f>
        <v/>
      </c>
      <c r="I10" s="23">
        <f>IF(OR('Ticker Data'!A9="",'Ticker Data'!J9=0),"",'Ticker Data'!I9/'Ticker Data'!J9)</f>
        <v/>
      </c>
      <c r="J10" s="24">
        <f>IF(OR('Ticker Data'!A9="",'Ticker Data'!G9=0),"",('Ticker Data'!C9-'Ticker Data'!G9)/'Ticker Data'!G9)</f>
        <v/>
      </c>
      <c r="K10" s="24">
        <f>IF(OR('Ticker Data'!A9="",'Ticker Data'!D9=0),"",('Ticker Data'!C9-'Ticker Data'!D9)/'Ticker Data'!D9)</f>
        <v/>
      </c>
      <c r="L10" s="22">
        <f>IF(OR('Ticker Data'!A9="",'Ticker Data'!F9=0),"",'Ticker Data'!C9/'Ticker Data'!F9)</f>
        <v/>
      </c>
      <c r="M10" s="25">
        <f>IF(OR(C10="",H10=""),"",ROUND(PERCENTRANK($H$5:$H$54,H10)*100,1))</f>
        <v/>
      </c>
      <c r="N10" s="25">
        <f>IF(OR(C10="",I10=""),"",ROUND(PERCENTRANK($I$5:$I$54,I10)*100,1))</f>
        <v/>
      </c>
      <c r="O10" s="25">
        <f>IF(OR(C10="",J10=""),"",ROUND(PERCENTRANK($J$5:$J$54,J10)*100,1))</f>
        <v/>
      </c>
      <c r="P10" s="25">
        <f>IF(OR(C10="",K10=""),"",ROUND(PERCENTRANK($K$5:$K$54,K10)*100,1))</f>
        <v/>
      </c>
      <c r="Q10" s="25">
        <f>IF(OR(A10="",D10=""),"",ROUND(M10*0.3+N10*0.25+O10*0.25+P10*0.2,1))</f>
        <v/>
      </c>
      <c r="R10" s="21">
        <f>IF(OR(A10="",S10&lt;&gt;"✔ ALL PASS"),"",RANK(Q10,$Q$5:$Q$54,0))</f>
        <v/>
      </c>
      <c r="S10" s="21">
        <f>IF(A10="","",IF(AND(D10="✔ PASS",E10="✔ PASS",F10="✔ PASS",G10="✔ PASS"),"✔ ALL PASS","✘ FILTERED"))</f>
        <v/>
      </c>
      <c r="T10" s="21">
        <f>IF(OR(A10="",S10&lt;&gt;"✔ ALL PASS",R10=""),"",IF(R10&lt;=20,"🟢 BUY SIGNAL","—"))</f>
        <v/>
      </c>
    </row>
    <row r="11" ht="18" customHeight="1">
      <c r="A11" s="20">
        <f>IF('Ticker Data'!A10="","",'Ticker Data'!A10)</f>
        <v/>
      </c>
      <c r="B11" s="20">
        <f>IF('Ticker Data'!A10="","",'Ticker Data'!B10)</f>
        <v/>
      </c>
      <c r="C11" s="20">
        <f>IF('Ticker Data'!A10="","",'Ticker Data'!L10)</f>
        <v/>
      </c>
      <c r="D11" s="21">
        <f>IF('Ticker Data'!A10="","",IF(AND('Ticker Data'!C10&gt;'Ticker Data'!D10,'Ticker Data'!D10&gt;'Ticker Data'!E10,'Ticker Data'!E10&gt;0),"✔ PASS","✘ FAIL"))</f>
        <v/>
      </c>
      <c r="E11" s="21">
        <f>IF('Ticker Data'!A10="","",IF('Ticker Data'!C10&gt;='Ticker Data'!F10*0.85,"✔ PASS","✘ FAIL"))</f>
        <v/>
      </c>
      <c r="F11" s="21">
        <f>IF('Ticker Data'!A10="","",IF('Ticker Data'!C10&gt;='Ticker Data'!G10,"✔ PASS","✘ FAIL"))</f>
        <v/>
      </c>
      <c r="G11" s="21">
        <f>IF('Ticker Data'!A10="","",IF('Ticker Data'!I10&gt;'Ticker Data'!J10,"✔ PASS","✘ FAIL"))</f>
        <v/>
      </c>
      <c r="H11" s="22">
        <f>IF('Ticker Data'!A10="","",(('Ticker Data'!K10/100)))</f>
        <v/>
      </c>
      <c r="I11" s="23">
        <f>IF(OR('Ticker Data'!A10="",'Ticker Data'!J10=0),"",'Ticker Data'!I10/'Ticker Data'!J10)</f>
        <v/>
      </c>
      <c r="J11" s="24">
        <f>IF(OR('Ticker Data'!A10="",'Ticker Data'!G10=0),"",('Ticker Data'!C10-'Ticker Data'!G10)/'Ticker Data'!G10)</f>
        <v/>
      </c>
      <c r="K11" s="24">
        <f>IF(OR('Ticker Data'!A10="",'Ticker Data'!D10=0),"",('Ticker Data'!C10-'Ticker Data'!D10)/'Ticker Data'!D10)</f>
        <v/>
      </c>
      <c r="L11" s="22">
        <f>IF(OR('Ticker Data'!A10="",'Ticker Data'!F10=0),"",'Ticker Data'!C10/'Ticker Data'!F10)</f>
        <v/>
      </c>
      <c r="M11" s="25">
        <f>IF(OR(C11="",H11=""),"",ROUND(PERCENTRANK($H$5:$H$54,H11)*100,1))</f>
        <v/>
      </c>
      <c r="N11" s="25">
        <f>IF(OR(C11="",I11=""),"",ROUND(PERCENTRANK($I$5:$I$54,I11)*100,1))</f>
        <v/>
      </c>
      <c r="O11" s="25">
        <f>IF(OR(C11="",J11=""),"",ROUND(PERCENTRANK($J$5:$J$54,J11)*100,1))</f>
        <v/>
      </c>
      <c r="P11" s="25">
        <f>IF(OR(C11="",K11=""),"",ROUND(PERCENTRANK($K$5:$K$54,K11)*100,1))</f>
        <v/>
      </c>
      <c r="Q11" s="25">
        <f>IF(OR(A11="",D11=""),"",ROUND(M11*0.3+N11*0.25+O11*0.25+P11*0.2,1))</f>
        <v/>
      </c>
      <c r="R11" s="21">
        <f>IF(OR(A11="",S11&lt;&gt;"✔ ALL PASS"),"",RANK(Q11,$Q$5:$Q$54,0))</f>
        <v/>
      </c>
      <c r="S11" s="21">
        <f>IF(A11="","",IF(AND(D11="✔ PASS",E11="✔ PASS",F11="✔ PASS",G11="✔ PASS"),"✔ ALL PASS","✘ FILTERED"))</f>
        <v/>
      </c>
      <c r="T11" s="21">
        <f>IF(OR(A11="",S11&lt;&gt;"✔ ALL PASS",R11=""),"",IF(R11&lt;=20,"🟢 BUY SIGNAL","—"))</f>
        <v/>
      </c>
    </row>
    <row r="12" ht="18" customHeight="1">
      <c r="A12" s="20">
        <f>IF('Ticker Data'!A11="","",'Ticker Data'!A11)</f>
        <v/>
      </c>
      <c r="B12" s="20">
        <f>IF('Ticker Data'!A11="","",'Ticker Data'!B11)</f>
        <v/>
      </c>
      <c r="C12" s="20">
        <f>IF('Ticker Data'!A11="","",'Ticker Data'!L11)</f>
        <v/>
      </c>
      <c r="D12" s="21">
        <f>IF('Ticker Data'!A11="","",IF(AND('Ticker Data'!C11&gt;'Ticker Data'!D11,'Ticker Data'!D11&gt;'Ticker Data'!E11,'Ticker Data'!E11&gt;0),"✔ PASS","✘ FAIL"))</f>
        <v/>
      </c>
      <c r="E12" s="21">
        <f>IF('Ticker Data'!A11="","",IF('Ticker Data'!C11&gt;='Ticker Data'!F11*0.85,"✔ PASS","✘ FAIL"))</f>
        <v/>
      </c>
      <c r="F12" s="21">
        <f>IF('Ticker Data'!A11="","",IF('Ticker Data'!C11&gt;='Ticker Data'!G11,"✔ PASS","✘ FAIL"))</f>
        <v/>
      </c>
      <c r="G12" s="21">
        <f>IF('Ticker Data'!A11="","",IF('Ticker Data'!I11&gt;'Ticker Data'!J11,"✔ PASS","✘ FAIL"))</f>
        <v/>
      </c>
      <c r="H12" s="22">
        <f>IF('Ticker Data'!A11="","",(('Ticker Data'!K11/100)))</f>
        <v/>
      </c>
      <c r="I12" s="23">
        <f>IF(OR('Ticker Data'!A11="",'Ticker Data'!J11=0),"",'Ticker Data'!I11/'Ticker Data'!J11)</f>
        <v/>
      </c>
      <c r="J12" s="24">
        <f>IF(OR('Ticker Data'!A11="",'Ticker Data'!G11=0),"",('Ticker Data'!C11-'Ticker Data'!G11)/'Ticker Data'!G11)</f>
        <v/>
      </c>
      <c r="K12" s="24">
        <f>IF(OR('Ticker Data'!A11="",'Ticker Data'!D11=0),"",('Ticker Data'!C11-'Ticker Data'!D11)/'Ticker Data'!D11)</f>
        <v/>
      </c>
      <c r="L12" s="22">
        <f>IF(OR('Ticker Data'!A11="",'Ticker Data'!F11=0),"",'Ticker Data'!C11/'Ticker Data'!F11)</f>
        <v/>
      </c>
      <c r="M12" s="25">
        <f>IF(OR(C12="",H12=""),"",ROUND(PERCENTRANK($H$5:$H$54,H12)*100,1))</f>
        <v/>
      </c>
      <c r="N12" s="25">
        <f>IF(OR(C12="",I12=""),"",ROUND(PERCENTRANK($I$5:$I$54,I12)*100,1))</f>
        <v/>
      </c>
      <c r="O12" s="25">
        <f>IF(OR(C12="",J12=""),"",ROUND(PERCENTRANK($J$5:$J$54,J12)*100,1))</f>
        <v/>
      </c>
      <c r="P12" s="25">
        <f>IF(OR(C12="",K12=""),"",ROUND(PERCENTRANK($K$5:$K$54,K12)*100,1))</f>
        <v/>
      </c>
      <c r="Q12" s="25">
        <f>IF(OR(A12="",D12=""),"",ROUND(M12*0.3+N12*0.25+O12*0.25+P12*0.2,1))</f>
        <v/>
      </c>
      <c r="R12" s="21">
        <f>IF(OR(A12="",S12&lt;&gt;"✔ ALL PASS"),"",RANK(Q12,$Q$5:$Q$54,0))</f>
        <v/>
      </c>
      <c r="S12" s="21">
        <f>IF(A12="","",IF(AND(D12="✔ PASS",E12="✔ PASS",F12="✔ PASS",G12="✔ PASS"),"✔ ALL PASS","✘ FILTERED"))</f>
        <v/>
      </c>
      <c r="T12" s="21">
        <f>IF(OR(A12="",S12&lt;&gt;"✔ ALL PASS",R12=""),"",IF(R12&lt;=20,"🟢 BUY SIGNAL","—"))</f>
        <v/>
      </c>
    </row>
    <row r="13" ht="18" customHeight="1">
      <c r="A13" s="20">
        <f>IF('Ticker Data'!A12="","",'Ticker Data'!A12)</f>
        <v/>
      </c>
      <c r="B13" s="20">
        <f>IF('Ticker Data'!A12="","",'Ticker Data'!B12)</f>
        <v/>
      </c>
      <c r="C13" s="20">
        <f>IF('Ticker Data'!A12="","",'Ticker Data'!L12)</f>
        <v/>
      </c>
      <c r="D13" s="21">
        <f>IF('Ticker Data'!A12="","",IF(AND('Ticker Data'!C12&gt;'Ticker Data'!D12,'Ticker Data'!D12&gt;'Ticker Data'!E12,'Ticker Data'!E12&gt;0),"✔ PASS","✘ FAIL"))</f>
        <v/>
      </c>
      <c r="E13" s="21">
        <f>IF('Ticker Data'!A12="","",IF('Ticker Data'!C12&gt;='Ticker Data'!F12*0.85,"✔ PASS","✘ FAIL"))</f>
        <v/>
      </c>
      <c r="F13" s="21">
        <f>IF('Ticker Data'!A12="","",IF('Ticker Data'!C12&gt;='Ticker Data'!G12,"✔ PASS","✘ FAIL"))</f>
        <v/>
      </c>
      <c r="G13" s="21">
        <f>IF('Ticker Data'!A12="","",IF('Ticker Data'!I12&gt;'Ticker Data'!J12,"✔ PASS","✘ FAIL"))</f>
        <v/>
      </c>
      <c r="H13" s="22">
        <f>IF('Ticker Data'!A12="","",(('Ticker Data'!K12/100)))</f>
        <v/>
      </c>
      <c r="I13" s="23">
        <f>IF(OR('Ticker Data'!A12="",'Ticker Data'!J12=0),"",'Ticker Data'!I12/'Ticker Data'!J12)</f>
        <v/>
      </c>
      <c r="J13" s="24">
        <f>IF(OR('Ticker Data'!A12="",'Ticker Data'!G12=0),"",('Ticker Data'!C12-'Ticker Data'!G12)/'Ticker Data'!G12)</f>
        <v/>
      </c>
      <c r="K13" s="24">
        <f>IF(OR('Ticker Data'!A12="",'Ticker Data'!D12=0),"",('Ticker Data'!C12-'Ticker Data'!D12)/'Ticker Data'!D12)</f>
        <v/>
      </c>
      <c r="L13" s="22">
        <f>IF(OR('Ticker Data'!A12="",'Ticker Data'!F12=0),"",'Ticker Data'!C12/'Ticker Data'!F12)</f>
        <v/>
      </c>
      <c r="M13" s="25">
        <f>IF(OR(C13="",H13=""),"",ROUND(PERCENTRANK($H$5:$H$54,H13)*100,1))</f>
        <v/>
      </c>
      <c r="N13" s="25">
        <f>IF(OR(C13="",I13=""),"",ROUND(PERCENTRANK($I$5:$I$54,I13)*100,1))</f>
        <v/>
      </c>
      <c r="O13" s="25">
        <f>IF(OR(C13="",J13=""),"",ROUND(PERCENTRANK($J$5:$J$54,J13)*100,1))</f>
        <v/>
      </c>
      <c r="P13" s="25">
        <f>IF(OR(C13="",K13=""),"",ROUND(PERCENTRANK($K$5:$K$54,K13)*100,1))</f>
        <v/>
      </c>
      <c r="Q13" s="25">
        <f>IF(OR(A13="",D13=""),"",ROUND(M13*0.3+N13*0.25+O13*0.25+P13*0.2,1))</f>
        <v/>
      </c>
      <c r="R13" s="21">
        <f>IF(OR(A13="",S13&lt;&gt;"✔ ALL PASS"),"",RANK(Q13,$Q$5:$Q$54,0))</f>
        <v/>
      </c>
      <c r="S13" s="21">
        <f>IF(A13="","",IF(AND(D13="✔ PASS",E13="✔ PASS",F13="✔ PASS",G13="✔ PASS"),"✔ ALL PASS","✘ FILTERED"))</f>
        <v/>
      </c>
      <c r="T13" s="21">
        <f>IF(OR(A13="",S13&lt;&gt;"✔ ALL PASS",R13=""),"",IF(R13&lt;=20,"🟢 BUY SIGNAL","—"))</f>
        <v/>
      </c>
    </row>
    <row r="14" ht="18" customHeight="1">
      <c r="A14" s="20">
        <f>IF('Ticker Data'!A13="","",'Ticker Data'!A13)</f>
        <v/>
      </c>
      <c r="B14" s="20">
        <f>IF('Ticker Data'!A13="","",'Ticker Data'!B13)</f>
        <v/>
      </c>
      <c r="C14" s="20">
        <f>IF('Ticker Data'!A13="","",'Ticker Data'!L13)</f>
        <v/>
      </c>
      <c r="D14" s="21">
        <f>IF('Ticker Data'!A13="","",IF(AND('Ticker Data'!C13&gt;'Ticker Data'!D13,'Ticker Data'!D13&gt;'Ticker Data'!E13,'Ticker Data'!E13&gt;0),"✔ PASS","✘ FAIL"))</f>
        <v/>
      </c>
      <c r="E14" s="21">
        <f>IF('Ticker Data'!A13="","",IF('Ticker Data'!C13&gt;='Ticker Data'!F13*0.85,"✔ PASS","✘ FAIL"))</f>
        <v/>
      </c>
      <c r="F14" s="21">
        <f>IF('Ticker Data'!A13="","",IF('Ticker Data'!C13&gt;='Ticker Data'!G13,"✔ PASS","✘ FAIL"))</f>
        <v/>
      </c>
      <c r="G14" s="21">
        <f>IF('Ticker Data'!A13="","",IF('Ticker Data'!I13&gt;'Ticker Data'!J13,"✔ PASS","✘ FAIL"))</f>
        <v/>
      </c>
      <c r="H14" s="22">
        <f>IF('Ticker Data'!A13="","",(('Ticker Data'!K13/100)))</f>
        <v/>
      </c>
      <c r="I14" s="23">
        <f>IF(OR('Ticker Data'!A13="",'Ticker Data'!J13=0),"",'Ticker Data'!I13/'Ticker Data'!J13)</f>
        <v/>
      </c>
      <c r="J14" s="24">
        <f>IF(OR('Ticker Data'!A13="",'Ticker Data'!G13=0),"",('Ticker Data'!C13-'Ticker Data'!G13)/'Ticker Data'!G13)</f>
        <v/>
      </c>
      <c r="K14" s="24">
        <f>IF(OR('Ticker Data'!A13="",'Ticker Data'!D13=0),"",('Ticker Data'!C13-'Ticker Data'!D13)/'Ticker Data'!D13)</f>
        <v/>
      </c>
      <c r="L14" s="22">
        <f>IF(OR('Ticker Data'!A13="",'Ticker Data'!F13=0),"",'Ticker Data'!C13/'Ticker Data'!F13)</f>
        <v/>
      </c>
      <c r="M14" s="25">
        <f>IF(OR(C14="",H14=""),"",ROUND(PERCENTRANK($H$5:$H$54,H14)*100,1))</f>
        <v/>
      </c>
      <c r="N14" s="25">
        <f>IF(OR(C14="",I14=""),"",ROUND(PERCENTRANK($I$5:$I$54,I14)*100,1))</f>
        <v/>
      </c>
      <c r="O14" s="25">
        <f>IF(OR(C14="",J14=""),"",ROUND(PERCENTRANK($J$5:$J$54,J14)*100,1))</f>
        <v/>
      </c>
      <c r="P14" s="25">
        <f>IF(OR(C14="",K14=""),"",ROUND(PERCENTRANK($K$5:$K$54,K14)*100,1))</f>
        <v/>
      </c>
      <c r="Q14" s="25">
        <f>IF(OR(A14="",D14=""),"",ROUND(M14*0.3+N14*0.25+O14*0.25+P14*0.2,1))</f>
        <v/>
      </c>
      <c r="R14" s="21">
        <f>IF(OR(A14="",S14&lt;&gt;"✔ ALL PASS"),"",RANK(Q14,$Q$5:$Q$54,0))</f>
        <v/>
      </c>
      <c r="S14" s="21">
        <f>IF(A14="","",IF(AND(D14="✔ PASS",E14="✔ PASS",F14="✔ PASS",G14="✔ PASS"),"✔ ALL PASS","✘ FILTERED"))</f>
        <v/>
      </c>
      <c r="T14" s="21">
        <f>IF(OR(A14="",S14&lt;&gt;"✔ ALL PASS",R14=""),"",IF(R14&lt;=20,"🟢 BUY SIGNAL","—"))</f>
        <v/>
      </c>
    </row>
    <row r="15" ht="18" customHeight="1">
      <c r="A15" s="20">
        <f>IF('Ticker Data'!A14="","",'Ticker Data'!A14)</f>
        <v/>
      </c>
      <c r="B15" s="20">
        <f>IF('Ticker Data'!A14="","",'Ticker Data'!B14)</f>
        <v/>
      </c>
      <c r="C15" s="20">
        <f>IF('Ticker Data'!A14="","",'Ticker Data'!L14)</f>
        <v/>
      </c>
      <c r="D15" s="21">
        <f>IF('Ticker Data'!A14="","",IF(AND('Ticker Data'!C14&gt;'Ticker Data'!D14,'Ticker Data'!D14&gt;'Ticker Data'!E14,'Ticker Data'!E14&gt;0),"✔ PASS","✘ FAIL"))</f>
        <v/>
      </c>
      <c r="E15" s="21">
        <f>IF('Ticker Data'!A14="","",IF('Ticker Data'!C14&gt;='Ticker Data'!F14*0.85,"✔ PASS","✘ FAIL"))</f>
        <v/>
      </c>
      <c r="F15" s="21">
        <f>IF('Ticker Data'!A14="","",IF('Ticker Data'!C14&gt;='Ticker Data'!G14,"✔ PASS","✘ FAIL"))</f>
        <v/>
      </c>
      <c r="G15" s="21">
        <f>IF('Ticker Data'!A14="","",IF('Ticker Data'!I14&gt;'Ticker Data'!J14,"✔ PASS","✘ FAIL"))</f>
        <v/>
      </c>
      <c r="H15" s="22">
        <f>IF('Ticker Data'!A14="","",(('Ticker Data'!K14/100)))</f>
        <v/>
      </c>
      <c r="I15" s="23">
        <f>IF(OR('Ticker Data'!A14="",'Ticker Data'!J14=0),"",'Ticker Data'!I14/'Ticker Data'!J14)</f>
        <v/>
      </c>
      <c r="J15" s="24">
        <f>IF(OR('Ticker Data'!A14="",'Ticker Data'!G14=0),"",('Ticker Data'!C14-'Ticker Data'!G14)/'Ticker Data'!G14)</f>
        <v/>
      </c>
      <c r="K15" s="24">
        <f>IF(OR('Ticker Data'!A14="",'Ticker Data'!D14=0),"",('Ticker Data'!C14-'Ticker Data'!D14)/'Ticker Data'!D14)</f>
        <v/>
      </c>
      <c r="L15" s="22">
        <f>IF(OR('Ticker Data'!A14="",'Ticker Data'!F14=0),"",'Ticker Data'!C14/'Ticker Data'!F14)</f>
        <v/>
      </c>
      <c r="M15" s="25">
        <f>IF(OR(C15="",H15=""),"",ROUND(PERCENTRANK($H$5:$H$54,H15)*100,1))</f>
        <v/>
      </c>
      <c r="N15" s="25">
        <f>IF(OR(C15="",I15=""),"",ROUND(PERCENTRANK($I$5:$I$54,I15)*100,1))</f>
        <v/>
      </c>
      <c r="O15" s="25">
        <f>IF(OR(C15="",J15=""),"",ROUND(PERCENTRANK($J$5:$J$54,J15)*100,1))</f>
        <v/>
      </c>
      <c r="P15" s="25">
        <f>IF(OR(C15="",K15=""),"",ROUND(PERCENTRANK($K$5:$K$54,K15)*100,1))</f>
        <v/>
      </c>
      <c r="Q15" s="25">
        <f>IF(OR(A15="",D15=""),"",ROUND(M15*0.3+N15*0.25+O15*0.25+P15*0.2,1))</f>
        <v/>
      </c>
      <c r="R15" s="21">
        <f>IF(OR(A15="",S15&lt;&gt;"✔ ALL PASS"),"",RANK(Q15,$Q$5:$Q$54,0))</f>
        <v/>
      </c>
      <c r="S15" s="21">
        <f>IF(A15="","",IF(AND(D15="✔ PASS",E15="✔ PASS",F15="✔ PASS",G15="✔ PASS"),"✔ ALL PASS","✘ FILTERED"))</f>
        <v/>
      </c>
      <c r="T15" s="21">
        <f>IF(OR(A15="",S15&lt;&gt;"✔ ALL PASS",R15=""),"",IF(R15&lt;=20,"🟢 BUY SIGNAL","—"))</f>
        <v/>
      </c>
    </row>
    <row r="16" ht="18" customHeight="1">
      <c r="A16" s="20">
        <f>IF('Ticker Data'!A15="","",'Ticker Data'!A15)</f>
        <v/>
      </c>
      <c r="B16" s="20">
        <f>IF('Ticker Data'!A15="","",'Ticker Data'!B15)</f>
        <v/>
      </c>
      <c r="C16" s="20">
        <f>IF('Ticker Data'!A15="","",'Ticker Data'!L15)</f>
        <v/>
      </c>
      <c r="D16" s="21">
        <f>IF('Ticker Data'!A15="","",IF(AND('Ticker Data'!C15&gt;'Ticker Data'!D15,'Ticker Data'!D15&gt;'Ticker Data'!E15,'Ticker Data'!E15&gt;0),"✔ PASS","✘ FAIL"))</f>
        <v/>
      </c>
      <c r="E16" s="21">
        <f>IF('Ticker Data'!A15="","",IF('Ticker Data'!C15&gt;='Ticker Data'!F15*0.85,"✔ PASS","✘ FAIL"))</f>
        <v/>
      </c>
      <c r="F16" s="21">
        <f>IF('Ticker Data'!A15="","",IF('Ticker Data'!C15&gt;='Ticker Data'!G15,"✔ PASS","✘ FAIL"))</f>
        <v/>
      </c>
      <c r="G16" s="21">
        <f>IF('Ticker Data'!A15="","",IF('Ticker Data'!I15&gt;'Ticker Data'!J15,"✔ PASS","✘ FAIL"))</f>
        <v/>
      </c>
      <c r="H16" s="22">
        <f>IF('Ticker Data'!A15="","",(('Ticker Data'!K15/100)))</f>
        <v/>
      </c>
      <c r="I16" s="23">
        <f>IF(OR('Ticker Data'!A15="",'Ticker Data'!J15=0),"",'Ticker Data'!I15/'Ticker Data'!J15)</f>
        <v/>
      </c>
      <c r="J16" s="24">
        <f>IF(OR('Ticker Data'!A15="",'Ticker Data'!G15=0),"",('Ticker Data'!C15-'Ticker Data'!G15)/'Ticker Data'!G15)</f>
        <v/>
      </c>
      <c r="K16" s="24">
        <f>IF(OR('Ticker Data'!A15="",'Ticker Data'!D15=0),"",('Ticker Data'!C15-'Ticker Data'!D15)/'Ticker Data'!D15)</f>
        <v/>
      </c>
      <c r="L16" s="22">
        <f>IF(OR('Ticker Data'!A15="",'Ticker Data'!F15=0),"",'Ticker Data'!C15/'Ticker Data'!F15)</f>
        <v/>
      </c>
      <c r="M16" s="25">
        <f>IF(OR(C16="",H16=""),"",ROUND(PERCENTRANK($H$5:$H$54,H16)*100,1))</f>
        <v/>
      </c>
      <c r="N16" s="25">
        <f>IF(OR(C16="",I16=""),"",ROUND(PERCENTRANK($I$5:$I$54,I16)*100,1))</f>
        <v/>
      </c>
      <c r="O16" s="25">
        <f>IF(OR(C16="",J16=""),"",ROUND(PERCENTRANK($J$5:$J$54,J16)*100,1))</f>
        <v/>
      </c>
      <c r="P16" s="25">
        <f>IF(OR(C16="",K16=""),"",ROUND(PERCENTRANK($K$5:$K$54,K16)*100,1))</f>
        <v/>
      </c>
      <c r="Q16" s="25">
        <f>IF(OR(A16="",D16=""),"",ROUND(M16*0.3+N16*0.25+O16*0.25+P16*0.2,1))</f>
        <v/>
      </c>
      <c r="R16" s="21">
        <f>IF(OR(A16="",S16&lt;&gt;"✔ ALL PASS"),"",RANK(Q16,$Q$5:$Q$54,0))</f>
        <v/>
      </c>
      <c r="S16" s="21">
        <f>IF(A16="","",IF(AND(D16="✔ PASS",E16="✔ PASS",F16="✔ PASS",G16="✔ PASS"),"✔ ALL PASS","✘ FILTERED"))</f>
        <v/>
      </c>
      <c r="T16" s="21">
        <f>IF(OR(A16="",S16&lt;&gt;"✔ ALL PASS",R16=""),"",IF(R16&lt;=20,"🟢 BUY SIGNAL","—"))</f>
        <v/>
      </c>
    </row>
    <row r="17" ht="18" customHeight="1">
      <c r="A17" s="20">
        <f>IF('Ticker Data'!A16="","",'Ticker Data'!A16)</f>
        <v/>
      </c>
      <c r="B17" s="20">
        <f>IF('Ticker Data'!A16="","",'Ticker Data'!B16)</f>
        <v/>
      </c>
      <c r="C17" s="20">
        <f>IF('Ticker Data'!A16="","",'Ticker Data'!L16)</f>
        <v/>
      </c>
      <c r="D17" s="21">
        <f>IF('Ticker Data'!A16="","",IF(AND('Ticker Data'!C16&gt;'Ticker Data'!D16,'Ticker Data'!D16&gt;'Ticker Data'!E16,'Ticker Data'!E16&gt;0),"✔ PASS","✘ FAIL"))</f>
        <v/>
      </c>
      <c r="E17" s="21">
        <f>IF('Ticker Data'!A16="","",IF('Ticker Data'!C16&gt;='Ticker Data'!F16*0.85,"✔ PASS","✘ FAIL"))</f>
        <v/>
      </c>
      <c r="F17" s="21">
        <f>IF('Ticker Data'!A16="","",IF('Ticker Data'!C16&gt;='Ticker Data'!G16,"✔ PASS","✘ FAIL"))</f>
        <v/>
      </c>
      <c r="G17" s="21">
        <f>IF('Ticker Data'!A16="","",IF('Ticker Data'!I16&gt;'Ticker Data'!J16,"✔ PASS","✘ FAIL"))</f>
        <v/>
      </c>
      <c r="H17" s="22">
        <f>IF('Ticker Data'!A16="","",(('Ticker Data'!K16/100)))</f>
        <v/>
      </c>
      <c r="I17" s="23">
        <f>IF(OR('Ticker Data'!A16="",'Ticker Data'!J16=0),"",'Ticker Data'!I16/'Ticker Data'!J16)</f>
        <v/>
      </c>
      <c r="J17" s="24">
        <f>IF(OR('Ticker Data'!A16="",'Ticker Data'!G16=0),"",('Ticker Data'!C16-'Ticker Data'!G16)/'Ticker Data'!G16)</f>
        <v/>
      </c>
      <c r="K17" s="24">
        <f>IF(OR('Ticker Data'!A16="",'Ticker Data'!D16=0),"",('Ticker Data'!C16-'Ticker Data'!D16)/'Ticker Data'!D16)</f>
        <v/>
      </c>
      <c r="L17" s="22">
        <f>IF(OR('Ticker Data'!A16="",'Ticker Data'!F16=0),"",'Ticker Data'!C16/'Ticker Data'!F16)</f>
        <v/>
      </c>
      <c r="M17" s="25">
        <f>IF(OR(C17="",H17=""),"",ROUND(PERCENTRANK($H$5:$H$54,H17)*100,1))</f>
        <v/>
      </c>
      <c r="N17" s="25">
        <f>IF(OR(C17="",I17=""),"",ROUND(PERCENTRANK($I$5:$I$54,I17)*100,1))</f>
        <v/>
      </c>
      <c r="O17" s="25">
        <f>IF(OR(C17="",J17=""),"",ROUND(PERCENTRANK($J$5:$J$54,J17)*100,1))</f>
        <v/>
      </c>
      <c r="P17" s="25">
        <f>IF(OR(C17="",K17=""),"",ROUND(PERCENTRANK($K$5:$K$54,K17)*100,1))</f>
        <v/>
      </c>
      <c r="Q17" s="25">
        <f>IF(OR(A17="",D17=""),"",ROUND(M17*0.3+N17*0.25+O17*0.25+P17*0.2,1))</f>
        <v/>
      </c>
      <c r="R17" s="21">
        <f>IF(OR(A17="",S17&lt;&gt;"✔ ALL PASS"),"",RANK(Q17,$Q$5:$Q$54,0))</f>
        <v/>
      </c>
      <c r="S17" s="21">
        <f>IF(A17="","",IF(AND(D17="✔ PASS",E17="✔ PASS",F17="✔ PASS",G17="✔ PASS"),"✔ ALL PASS","✘ FILTERED"))</f>
        <v/>
      </c>
      <c r="T17" s="21">
        <f>IF(OR(A17="",S17&lt;&gt;"✔ ALL PASS",R17=""),"",IF(R17&lt;=20,"🟢 BUY SIGNAL","—"))</f>
        <v/>
      </c>
    </row>
    <row r="18" ht="18" customHeight="1">
      <c r="A18" s="20">
        <f>IF('Ticker Data'!A17="","",'Ticker Data'!A17)</f>
        <v/>
      </c>
      <c r="B18" s="20">
        <f>IF('Ticker Data'!A17="","",'Ticker Data'!B17)</f>
        <v/>
      </c>
      <c r="C18" s="20">
        <f>IF('Ticker Data'!A17="","",'Ticker Data'!L17)</f>
        <v/>
      </c>
      <c r="D18" s="21">
        <f>IF('Ticker Data'!A17="","",IF(AND('Ticker Data'!C17&gt;'Ticker Data'!D17,'Ticker Data'!D17&gt;'Ticker Data'!E17,'Ticker Data'!E17&gt;0),"✔ PASS","✘ FAIL"))</f>
        <v/>
      </c>
      <c r="E18" s="21">
        <f>IF('Ticker Data'!A17="","",IF('Ticker Data'!C17&gt;='Ticker Data'!F17*0.85,"✔ PASS","✘ FAIL"))</f>
        <v/>
      </c>
      <c r="F18" s="21">
        <f>IF('Ticker Data'!A17="","",IF('Ticker Data'!C17&gt;='Ticker Data'!G17,"✔ PASS","✘ FAIL"))</f>
        <v/>
      </c>
      <c r="G18" s="21">
        <f>IF('Ticker Data'!A17="","",IF('Ticker Data'!I17&gt;'Ticker Data'!J17,"✔ PASS","✘ FAIL"))</f>
        <v/>
      </c>
      <c r="H18" s="22">
        <f>IF('Ticker Data'!A17="","",(('Ticker Data'!K17/100)))</f>
        <v/>
      </c>
      <c r="I18" s="23">
        <f>IF(OR('Ticker Data'!A17="",'Ticker Data'!J17=0),"",'Ticker Data'!I17/'Ticker Data'!J17)</f>
        <v/>
      </c>
      <c r="J18" s="24">
        <f>IF(OR('Ticker Data'!A17="",'Ticker Data'!G17=0),"",('Ticker Data'!C17-'Ticker Data'!G17)/'Ticker Data'!G17)</f>
        <v/>
      </c>
      <c r="K18" s="24">
        <f>IF(OR('Ticker Data'!A17="",'Ticker Data'!D17=0),"",('Ticker Data'!C17-'Ticker Data'!D17)/'Ticker Data'!D17)</f>
        <v/>
      </c>
      <c r="L18" s="22">
        <f>IF(OR('Ticker Data'!A17="",'Ticker Data'!F17=0),"",'Ticker Data'!C17/'Ticker Data'!F17)</f>
        <v/>
      </c>
      <c r="M18" s="25">
        <f>IF(OR(C18="",H18=""),"",ROUND(PERCENTRANK($H$5:$H$54,H18)*100,1))</f>
        <v/>
      </c>
      <c r="N18" s="25">
        <f>IF(OR(C18="",I18=""),"",ROUND(PERCENTRANK($I$5:$I$54,I18)*100,1))</f>
        <v/>
      </c>
      <c r="O18" s="25">
        <f>IF(OR(C18="",J18=""),"",ROUND(PERCENTRANK($J$5:$J$54,J18)*100,1))</f>
        <v/>
      </c>
      <c r="P18" s="25">
        <f>IF(OR(C18="",K18=""),"",ROUND(PERCENTRANK($K$5:$K$54,K18)*100,1))</f>
        <v/>
      </c>
      <c r="Q18" s="25">
        <f>IF(OR(A18="",D18=""),"",ROUND(M18*0.3+N18*0.25+O18*0.25+P18*0.2,1))</f>
        <v/>
      </c>
      <c r="R18" s="21">
        <f>IF(OR(A18="",S18&lt;&gt;"✔ ALL PASS"),"",RANK(Q18,$Q$5:$Q$54,0))</f>
        <v/>
      </c>
      <c r="S18" s="21">
        <f>IF(A18="","",IF(AND(D18="✔ PASS",E18="✔ PASS",F18="✔ PASS",G18="✔ PASS"),"✔ ALL PASS","✘ FILTERED"))</f>
        <v/>
      </c>
      <c r="T18" s="21">
        <f>IF(OR(A18="",S18&lt;&gt;"✔ ALL PASS",R18=""),"",IF(R18&lt;=20,"🟢 BUY SIGNAL","—"))</f>
        <v/>
      </c>
    </row>
    <row r="19" ht="18" customHeight="1">
      <c r="A19" s="20">
        <f>IF('Ticker Data'!A18="","",'Ticker Data'!A18)</f>
        <v/>
      </c>
      <c r="B19" s="20">
        <f>IF('Ticker Data'!A18="","",'Ticker Data'!B18)</f>
        <v/>
      </c>
      <c r="C19" s="20">
        <f>IF('Ticker Data'!A18="","",'Ticker Data'!L18)</f>
        <v/>
      </c>
      <c r="D19" s="21">
        <f>IF('Ticker Data'!A18="","",IF(AND('Ticker Data'!C18&gt;'Ticker Data'!D18,'Ticker Data'!D18&gt;'Ticker Data'!E18,'Ticker Data'!E18&gt;0),"✔ PASS","✘ FAIL"))</f>
        <v/>
      </c>
      <c r="E19" s="21">
        <f>IF('Ticker Data'!A18="","",IF('Ticker Data'!C18&gt;='Ticker Data'!F18*0.85,"✔ PASS","✘ FAIL"))</f>
        <v/>
      </c>
      <c r="F19" s="21">
        <f>IF('Ticker Data'!A18="","",IF('Ticker Data'!C18&gt;='Ticker Data'!G18,"✔ PASS","✘ FAIL"))</f>
        <v/>
      </c>
      <c r="G19" s="21">
        <f>IF('Ticker Data'!A18="","",IF('Ticker Data'!I18&gt;'Ticker Data'!J18,"✔ PASS","✘ FAIL"))</f>
        <v/>
      </c>
      <c r="H19" s="22">
        <f>IF('Ticker Data'!A18="","",(('Ticker Data'!K18/100)))</f>
        <v/>
      </c>
      <c r="I19" s="23">
        <f>IF(OR('Ticker Data'!A18="",'Ticker Data'!J18=0),"",'Ticker Data'!I18/'Ticker Data'!J18)</f>
        <v/>
      </c>
      <c r="J19" s="24">
        <f>IF(OR('Ticker Data'!A18="",'Ticker Data'!G18=0),"",('Ticker Data'!C18-'Ticker Data'!G18)/'Ticker Data'!G18)</f>
        <v/>
      </c>
      <c r="K19" s="24">
        <f>IF(OR('Ticker Data'!A18="",'Ticker Data'!D18=0),"",('Ticker Data'!C18-'Ticker Data'!D18)/'Ticker Data'!D18)</f>
        <v/>
      </c>
      <c r="L19" s="22">
        <f>IF(OR('Ticker Data'!A18="",'Ticker Data'!F18=0),"",'Ticker Data'!C18/'Ticker Data'!F18)</f>
        <v/>
      </c>
      <c r="M19" s="25">
        <f>IF(OR(C19="",H19=""),"",ROUND(PERCENTRANK($H$5:$H$54,H19)*100,1))</f>
        <v/>
      </c>
      <c r="N19" s="25">
        <f>IF(OR(C19="",I19=""),"",ROUND(PERCENTRANK($I$5:$I$54,I19)*100,1))</f>
        <v/>
      </c>
      <c r="O19" s="25">
        <f>IF(OR(C19="",J19=""),"",ROUND(PERCENTRANK($J$5:$J$54,J19)*100,1))</f>
        <v/>
      </c>
      <c r="P19" s="25">
        <f>IF(OR(C19="",K19=""),"",ROUND(PERCENTRANK($K$5:$K$54,K19)*100,1))</f>
        <v/>
      </c>
      <c r="Q19" s="25">
        <f>IF(OR(A19="",D19=""),"",ROUND(M19*0.3+N19*0.25+O19*0.25+P19*0.2,1))</f>
        <v/>
      </c>
      <c r="R19" s="21">
        <f>IF(OR(A19="",S19&lt;&gt;"✔ ALL PASS"),"",RANK(Q19,$Q$5:$Q$54,0))</f>
        <v/>
      </c>
      <c r="S19" s="21">
        <f>IF(A19="","",IF(AND(D19="✔ PASS",E19="✔ PASS",F19="✔ PASS",G19="✔ PASS"),"✔ ALL PASS","✘ FILTERED"))</f>
        <v/>
      </c>
      <c r="T19" s="21">
        <f>IF(OR(A19="",S19&lt;&gt;"✔ ALL PASS",R19=""),"",IF(R19&lt;=20,"🟢 BUY SIGNAL","—"))</f>
        <v/>
      </c>
    </row>
    <row r="20" ht="18" customHeight="1">
      <c r="A20" s="20">
        <f>IF('Ticker Data'!A19="","",'Ticker Data'!A19)</f>
        <v/>
      </c>
      <c r="B20" s="20">
        <f>IF('Ticker Data'!A19="","",'Ticker Data'!B19)</f>
        <v/>
      </c>
      <c r="C20" s="20">
        <f>IF('Ticker Data'!A19="","",'Ticker Data'!L19)</f>
        <v/>
      </c>
      <c r="D20" s="21">
        <f>IF('Ticker Data'!A19="","",IF(AND('Ticker Data'!C19&gt;'Ticker Data'!D19,'Ticker Data'!D19&gt;'Ticker Data'!E19,'Ticker Data'!E19&gt;0),"✔ PASS","✘ FAIL"))</f>
        <v/>
      </c>
      <c r="E20" s="21">
        <f>IF('Ticker Data'!A19="","",IF('Ticker Data'!C19&gt;='Ticker Data'!F19*0.85,"✔ PASS","✘ FAIL"))</f>
        <v/>
      </c>
      <c r="F20" s="21">
        <f>IF('Ticker Data'!A19="","",IF('Ticker Data'!C19&gt;='Ticker Data'!G19,"✔ PASS","✘ FAIL"))</f>
        <v/>
      </c>
      <c r="G20" s="21">
        <f>IF('Ticker Data'!A19="","",IF('Ticker Data'!I19&gt;'Ticker Data'!J19,"✔ PASS","✘ FAIL"))</f>
        <v/>
      </c>
      <c r="H20" s="22">
        <f>IF('Ticker Data'!A19="","",(('Ticker Data'!K19/100)))</f>
        <v/>
      </c>
      <c r="I20" s="23">
        <f>IF(OR('Ticker Data'!A19="",'Ticker Data'!J19=0),"",'Ticker Data'!I19/'Ticker Data'!J19)</f>
        <v/>
      </c>
      <c r="J20" s="24">
        <f>IF(OR('Ticker Data'!A19="",'Ticker Data'!G19=0),"",('Ticker Data'!C19-'Ticker Data'!G19)/'Ticker Data'!G19)</f>
        <v/>
      </c>
      <c r="K20" s="24">
        <f>IF(OR('Ticker Data'!A19="",'Ticker Data'!D19=0),"",('Ticker Data'!C19-'Ticker Data'!D19)/'Ticker Data'!D19)</f>
        <v/>
      </c>
      <c r="L20" s="22">
        <f>IF(OR('Ticker Data'!A19="",'Ticker Data'!F19=0),"",'Ticker Data'!C19/'Ticker Data'!F19)</f>
        <v/>
      </c>
      <c r="M20" s="25">
        <f>IF(OR(C20="",H20=""),"",ROUND(PERCENTRANK($H$5:$H$54,H20)*100,1))</f>
        <v/>
      </c>
      <c r="N20" s="25">
        <f>IF(OR(C20="",I20=""),"",ROUND(PERCENTRANK($I$5:$I$54,I20)*100,1))</f>
        <v/>
      </c>
      <c r="O20" s="25">
        <f>IF(OR(C20="",J20=""),"",ROUND(PERCENTRANK($J$5:$J$54,J20)*100,1))</f>
        <v/>
      </c>
      <c r="P20" s="25">
        <f>IF(OR(C20="",K20=""),"",ROUND(PERCENTRANK($K$5:$K$54,K20)*100,1))</f>
        <v/>
      </c>
      <c r="Q20" s="25">
        <f>IF(OR(A20="",D20=""),"",ROUND(M20*0.3+N20*0.25+O20*0.25+P20*0.2,1))</f>
        <v/>
      </c>
      <c r="R20" s="21">
        <f>IF(OR(A20="",S20&lt;&gt;"✔ ALL PASS"),"",RANK(Q20,$Q$5:$Q$54,0))</f>
        <v/>
      </c>
      <c r="S20" s="21">
        <f>IF(A20="","",IF(AND(D20="✔ PASS",E20="✔ PASS",F20="✔ PASS",G20="✔ PASS"),"✔ ALL PASS","✘ FILTERED"))</f>
        <v/>
      </c>
      <c r="T20" s="21">
        <f>IF(OR(A20="",S20&lt;&gt;"✔ ALL PASS",R20=""),"",IF(R20&lt;=20,"🟢 BUY SIGNAL","—"))</f>
        <v/>
      </c>
    </row>
    <row r="21" ht="18" customHeight="1">
      <c r="A21" s="20">
        <f>IF('Ticker Data'!A20="","",'Ticker Data'!A20)</f>
        <v/>
      </c>
      <c r="B21" s="20">
        <f>IF('Ticker Data'!A20="","",'Ticker Data'!B20)</f>
        <v/>
      </c>
      <c r="C21" s="20">
        <f>IF('Ticker Data'!A20="","",'Ticker Data'!L20)</f>
        <v/>
      </c>
      <c r="D21" s="21">
        <f>IF('Ticker Data'!A20="","",IF(AND('Ticker Data'!C20&gt;'Ticker Data'!D20,'Ticker Data'!D20&gt;'Ticker Data'!E20,'Ticker Data'!E20&gt;0),"✔ PASS","✘ FAIL"))</f>
        <v/>
      </c>
      <c r="E21" s="21">
        <f>IF('Ticker Data'!A20="","",IF('Ticker Data'!C20&gt;='Ticker Data'!F20*0.85,"✔ PASS","✘ FAIL"))</f>
        <v/>
      </c>
      <c r="F21" s="21">
        <f>IF('Ticker Data'!A20="","",IF('Ticker Data'!C20&gt;='Ticker Data'!G20,"✔ PASS","✘ FAIL"))</f>
        <v/>
      </c>
      <c r="G21" s="21">
        <f>IF('Ticker Data'!A20="","",IF('Ticker Data'!I20&gt;'Ticker Data'!J20,"✔ PASS","✘ FAIL"))</f>
        <v/>
      </c>
      <c r="H21" s="22">
        <f>IF('Ticker Data'!A20="","",(('Ticker Data'!K20/100)))</f>
        <v/>
      </c>
      <c r="I21" s="23">
        <f>IF(OR('Ticker Data'!A20="",'Ticker Data'!J20=0),"",'Ticker Data'!I20/'Ticker Data'!J20)</f>
        <v/>
      </c>
      <c r="J21" s="24">
        <f>IF(OR('Ticker Data'!A20="",'Ticker Data'!G20=0),"",('Ticker Data'!C20-'Ticker Data'!G20)/'Ticker Data'!G20)</f>
        <v/>
      </c>
      <c r="K21" s="24">
        <f>IF(OR('Ticker Data'!A20="",'Ticker Data'!D20=0),"",('Ticker Data'!C20-'Ticker Data'!D20)/'Ticker Data'!D20)</f>
        <v/>
      </c>
      <c r="L21" s="22">
        <f>IF(OR('Ticker Data'!A20="",'Ticker Data'!F20=0),"",'Ticker Data'!C20/'Ticker Data'!F20)</f>
        <v/>
      </c>
      <c r="M21" s="25">
        <f>IF(OR(C21="",H21=""),"",ROUND(PERCENTRANK($H$5:$H$54,H21)*100,1))</f>
        <v/>
      </c>
      <c r="N21" s="25">
        <f>IF(OR(C21="",I21=""),"",ROUND(PERCENTRANK($I$5:$I$54,I21)*100,1))</f>
        <v/>
      </c>
      <c r="O21" s="25">
        <f>IF(OR(C21="",J21=""),"",ROUND(PERCENTRANK($J$5:$J$54,J21)*100,1))</f>
        <v/>
      </c>
      <c r="P21" s="25">
        <f>IF(OR(C21="",K21=""),"",ROUND(PERCENTRANK($K$5:$K$54,K21)*100,1))</f>
        <v/>
      </c>
      <c r="Q21" s="25">
        <f>IF(OR(A21="",D21=""),"",ROUND(M21*0.3+N21*0.25+O21*0.25+P21*0.2,1))</f>
        <v/>
      </c>
      <c r="R21" s="21">
        <f>IF(OR(A21="",S21&lt;&gt;"✔ ALL PASS"),"",RANK(Q21,$Q$5:$Q$54,0))</f>
        <v/>
      </c>
      <c r="S21" s="21">
        <f>IF(A21="","",IF(AND(D21="✔ PASS",E21="✔ PASS",F21="✔ PASS",G21="✔ PASS"),"✔ ALL PASS","✘ FILTERED"))</f>
        <v/>
      </c>
      <c r="T21" s="21">
        <f>IF(OR(A21="",S21&lt;&gt;"✔ ALL PASS",R21=""),"",IF(R21&lt;=20,"🟢 BUY SIGNAL","—"))</f>
        <v/>
      </c>
    </row>
    <row r="22" ht="18" customHeight="1">
      <c r="A22" s="20">
        <f>IF('Ticker Data'!A21="","",'Ticker Data'!A21)</f>
        <v/>
      </c>
      <c r="B22" s="20">
        <f>IF('Ticker Data'!A21="","",'Ticker Data'!B21)</f>
        <v/>
      </c>
      <c r="C22" s="20">
        <f>IF('Ticker Data'!A21="","",'Ticker Data'!L21)</f>
        <v/>
      </c>
      <c r="D22" s="21">
        <f>IF('Ticker Data'!A21="","",IF(AND('Ticker Data'!C21&gt;'Ticker Data'!D21,'Ticker Data'!D21&gt;'Ticker Data'!E21,'Ticker Data'!E21&gt;0),"✔ PASS","✘ FAIL"))</f>
        <v/>
      </c>
      <c r="E22" s="21">
        <f>IF('Ticker Data'!A21="","",IF('Ticker Data'!C21&gt;='Ticker Data'!F21*0.85,"✔ PASS","✘ FAIL"))</f>
        <v/>
      </c>
      <c r="F22" s="21">
        <f>IF('Ticker Data'!A21="","",IF('Ticker Data'!C21&gt;='Ticker Data'!G21,"✔ PASS","✘ FAIL"))</f>
        <v/>
      </c>
      <c r="G22" s="21">
        <f>IF('Ticker Data'!A21="","",IF('Ticker Data'!I21&gt;'Ticker Data'!J21,"✔ PASS","✘ FAIL"))</f>
        <v/>
      </c>
      <c r="H22" s="22">
        <f>IF('Ticker Data'!A21="","",(('Ticker Data'!K21/100)))</f>
        <v/>
      </c>
      <c r="I22" s="23">
        <f>IF(OR('Ticker Data'!A21="",'Ticker Data'!J21=0),"",'Ticker Data'!I21/'Ticker Data'!J21)</f>
        <v/>
      </c>
      <c r="J22" s="24">
        <f>IF(OR('Ticker Data'!A21="",'Ticker Data'!G21=0),"",('Ticker Data'!C21-'Ticker Data'!G21)/'Ticker Data'!G21)</f>
        <v/>
      </c>
      <c r="K22" s="24">
        <f>IF(OR('Ticker Data'!A21="",'Ticker Data'!D21=0),"",('Ticker Data'!C21-'Ticker Data'!D21)/'Ticker Data'!D21)</f>
        <v/>
      </c>
      <c r="L22" s="22">
        <f>IF(OR('Ticker Data'!A21="",'Ticker Data'!F21=0),"",'Ticker Data'!C21/'Ticker Data'!F21)</f>
        <v/>
      </c>
      <c r="M22" s="25">
        <f>IF(OR(C22="",H22=""),"",ROUND(PERCENTRANK($H$5:$H$54,H22)*100,1))</f>
        <v/>
      </c>
      <c r="N22" s="25">
        <f>IF(OR(C22="",I22=""),"",ROUND(PERCENTRANK($I$5:$I$54,I22)*100,1))</f>
        <v/>
      </c>
      <c r="O22" s="25">
        <f>IF(OR(C22="",J22=""),"",ROUND(PERCENTRANK($J$5:$J$54,J22)*100,1))</f>
        <v/>
      </c>
      <c r="P22" s="25">
        <f>IF(OR(C22="",K22=""),"",ROUND(PERCENTRANK($K$5:$K$54,K22)*100,1))</f>
        <v/>
      </c>
      <c r="Q22" s="25">
        <f>IF(OR(A22="",D22=""),"",ROUND(M22*0.3+N22*0.25+O22*0.25+P22*0.2,1))</f>
        <v/>
      </c>
      <c r="R22" s="21">
        <f>IF(OR(A22="",S22&lt;&gt;"✔ ALL PASS"),"",RANK(Q22,$Q$5:$Q$54,0))</f>
        <v/>
      </c>
      <c r="S22" s="21">
        <f>IF(A22="","",IF(AND(D22="✔ PASS",E22="✔ PASS",F22="✔ PASS",G22="✔ PASS"),"✔ ALL PASS","✘ FILTERED"))</f>
        <v/>
      </c>
      <c r="T22" s="21">
        <f>IF(OR(A22="",S22&lt;&gt;"✔ ALL PASS",R22=""),"",IF(R22&lt;=20,"🟢 BUY SIGNAL","—"))</f>
        <v/>
      </c>
    </row>
    <row r="23" ht="18" customHeight="1">
      <c r="A23" s="20">
        <f>IF('Ticker Data'!A22="","",'Ticker Data'!A22)</f>
        <v/>
      </c>
      <c r="B23" s="20">
        <f>IF('Ticker Data'!A22="","",'Ticker Data'!B22)</f>
        <v/>
      </c>
      <c r="C23" s="20">
        <f>IF('Ticker Data'!A22="","",'Ticker Data'!L22)</f>
        <v/>
      </c>
      <c r="D23" s="21">
        <f>IF('Ticker Data'!A22="","",IF(AND('Ticker Data'!C22&gt;'Ticker Data'!D22,'Ticker Data'!D22&gt;'Ticker Data'!E22,'Ticker Data'!E22&gt;0),"✔ PASS","✘ FAIL"))</f>
        <v/>
      </c>
      <c r="E23" s="21">
        <f>IF('Ticker Data'!A22="","",IF('Ticker Data'!C22&gt;='Ticker Data'!F22*0.85,"✔ PASS","✘ FAIL"))</f>
        <v/>
      </c>
      <c r="F23" s="21">
        <f>IF('Ticker Data'!A22="","",IF('Ticker Data'!C22&gt;='Ticker Data'!G22,"✔ PASS","✘ FAIL"))</f>
        <v/>
      </c>
      <c r="G23" s="21">
        <f>IF('Ticker Data'!A22="","",IF('Ticker Data'!I22&gt;'Ticker Data'!J22,"✔ PASS","✘ FAIL"))</f>
        <v/>
      </c>
      <c r="H23" s="22">
        <f>IF('Ticker Data'!A22="","",(('Ticker Data'!K22/100)))</f>
        <v/>
      </c>
      <c r="I23" s="23">
        <f>IF(OR('Ticker Data'!A22="",'Ticker Data'!J22=0),"",'Ticker Data'!I22/'Ticker Data'!J22)</f>
        <v/>
      </c>
      <c r="J23" s="24">
        <f>IF(OR('Ticker Data'!A22="",'Ticker Data'!G22=0),"",('Ticker Data'!C22-'Ticker Data'!G22)/'Ticker Data'!G22)</f>
        <v/>
      </c>
      <c r="K23" s="24">
        <f>IF(OR('Ticker Data'!A22="",'Ticker Data'!D22=0),"",('Ticker Data'!C22-'Ticker Data'!D22)/'Ticker Data'!D22)</f>
        <v/>
      </c>
      <c r="L23" s="22">
        <f>IF(OR('Ticker Data'!A22="",'Ticker Data'!F22=0),"",'Ticker Data'!C22/'Ticker Data'!F22)</f>
        <v/>
      </c>
      <c r="M23" s="25">
        <f>IF(OR(C23="",H23=""),"",ROUND(PERCENTRANK($H$5:$H$54,H23)*100,1))</f>
        <v/>
      </c>
      <c r="N23" s="25">
        <f>IF(OR(C23="",I23=""),"",ROUND(PERCENTRANK($I$5:$I$54,I23)*100,1))</f>
        <v/>
      </c>
      <c r="O23" s="25">
        <f>IF(OR(C23="",J23=""),"",ROUND(PERCENTRANK($J$5:$J$54,J23)*100,1))</f>
        <v/>
      </c>
      <c r="P23" s="25">
        <f>IF(OR(C23="",K23=""),"",ROUND(PERCENTRANK($K$5:$K$54,K23)*100,1))</f>
        <v/>
      </c>
      <c r="Q23" s="25">
        <f>IF(OR(A23="",D23=""),"",ROUND(M23*0.3+N23*0.25+O23*0.25+P23*0.2,1))</f>
        <v/>
      </c>
      <c r="R23" s="21">
        <f>IF(OR(A23="",S23&lt;&gt;"✔ ALL PASS"),"",RANK(Q23,$Q$5:$Q$54,0))</f>
        <v/>
      </c>
      <c r="S23" s="21">
        <f>IF(A23="","",IF(AND(D23="✔ PASS",E23="✔ PASS",F23="✔ PASS",G23="✔ PASS"),"✔ ALL PASS","✘ FILTERED"))</f>
        <v/>
      </c>
      <c r="T23" s="21">
        <f>IF(OR(A23="",S23&lt;&gt;"✔ ALL PASS",R23=""),"",IF(R23&lt;=20,"🟢 BUY SIGNAL","—"))</f>
        <v/>
      </c>
    </row>
    <row r="24" ht="18" customHeight="1">
      <c r="A24" s="20">
        <f>IF('Ticker Data'!A23="","",'Ticker Data'!A23)</f>
        <v/>
      </c>
      <c r="B24" s="20">
        <f>IF('Ticker Data'!A23="","",'Ticker Data'!B23)</f>
        <v/>
      </c>
      <c r="C24" s="20">
        <f>IF('Ticker Data'!A23="","",'Ticker Data'!L23)</f>
        <v/>
      </c>
      <c r="D24" s="21">
        <f>IF('Ticker Data'!A23="","",IF(AND('Ticker Data'!C23&gt;'Ticker Data'!D23,'Ticker Data'!D23&gt;'Ticker Data'!E23,'Ticker Data'!E23&gt;0),"✔ PASS","✘ FAIL"))</f>
        <v/>
      </c>
      <c r="E24" s="21">
        <f>IF('Ticker Data'!A23="","",IF('Ticker Data'!C23&gt;='Ticker Data'!F23*0.85,"✔ PASS","✘ FAIL"))</f>
        <v/>
      </c>
      <c r="F24" s="21">
        <f>IF('Ticker Data'!A23="","",IF('Ticker Data'!C23&gt;='Ticker Data'!G23,"✔ PASS","✘ FAIL"))</f>
        <v/>
      </c>
      <c r="G24" s="21">
        <f>IF('Ticker Data'!A23="","",IF('Ticker Data'!I23&gt;'Ticker Data'!J23,"✔ PASS","✘ FAIL"))</f>
        <v/>
      </c>
      <c r="H24" s="22">
        <f>IF('Ticker Data'!A23="","",(('Ticker Data'!K23/100)))</f>
        <v/>
      </c>
      <c r="I24" s="23">
        <f>IF(OR('Ticker Data'!A23="",'Ticker Data'!J23=0),"",'Ticker Data'!I23/'Ticker Data'!J23)</f>
        <v/>
      </c>
      <c r="J24" s="24">
        <f>IF(OR('Ticker Data'!A23="",'Ticker Data'!G23=0),"",('Ticker Data'!C23-'Ticker Data'!G23)/'Ticker Data'!G23)</f>
        <v/>
      </c>
      <c r="K24" s="24">
        <f>IF(OR('Ticker Data'!A23="",'Ticker Data'!D23=0),"",('Ticker Data'!C23-'Ticker Data'!D23)/'Ticker Data'!D23)</f>
        <v/>
      </c>
      <c r="L24" s="22">
        <f>IF(OR('Ticker Data'!A23="",'Ticker Data'!F23=0),"",'Ticker Data'!C23/'Ticker Data'!F23)</f>
        <v/>
      </c>
      <c r="M24" s="25">
        <f>IF(OR(C24="",H24=""),"",ROUND(PERCENTRANK($H$5:$H$54,H24)*100,1))</f>
        <v/>
      </c>
      <c r="N24" s="25">
        <f>IF(OR(C24="",I24=""),"",ROUND(PERCENTRANK($I$5:$I$54,I24)*100,1))</f>
        <v/>
      </c>
      <c r="O24" s="25">
        <f>IF(OR(C24="",J24=""),"",ROUND(PERCENTRANK($J$5:$J$54,J24)*100,1))</f>
        <v/>
      </c>
      <c r="P24" s="25">
        <f>IF(OR(C24="",K24=""),"",ROUND(PERCENTRANK($K$5:$K$54,K24)*100,1))</f>
        <v/>
      </c>
      <c r="Q24" s="25">
        <f>IF(OR(A24="",D24=""),"",ROUND(M24*0.3+N24*0.25+O24*0.25+P24*0.2,1))</f>
        <v/>
      </c>
      <c r="R24" s="21">
        <f>IF(OR(A24="",S24&lt;&gt;"✔ ALL PASS"),"",RANK(Q24,$Q$5:$Q$54,0))</f>
        <v/>
      </c>
      <c r="S24" s="21">
        <f>IF(A24="","",IF(AND(D24="✔ PASS",E24="✔ PASS",F24="✔ PASS",G24="✔ PASS"),"✔ ALL PASS","✘ FILTERED"))</f>
        <v/>
      </c>
      <c r="T24" s="21">
        <f>IF(OR(A24="",S24&lt;&gt;"✔ ALL PASS",R24=""),"",IF(R24&lt;=20,"🟢 BUY SIGNAL","—"))</f>
        <v/>
      </c>
    </row>
    <row r="25" ht="18" customHeight="1">
      <c r="A25" s="20">
        <f>IF('Ticker Data'!A24="","",'Ticker Data'!A24)</f>
        <v/>
      </c>
      <c r="B25" s="20">
        <f>IF('Ticker Data'!A24="","",'Ticker Data'!B24)</f>
        <v/>
      </c>
      <c r="C25" s="20">
        <f>IF('Ticker Data'!A24="","",'Ticker Data'!L24)</f>
        <v/>
      </c>
      <c r="D25" s="21">
        <f>IF('Ticker Data'!A24="","",IF(AND('Ticker Data'!C24&gt;'Ticker Data'!D24,'Ticker Data'!D24&gt;'Ticker Data'!E24,'Ticker Data'!E24&gt;0),"✔ PASS","✘ FAIL"))</f>
        <v/>
      </c>
      <c r="E25" s="21">
        <f>IF('Ticker Data'!A24="","",IF('Ticker Data'!C24&gt;='Ticker Data'!F24*0.85,"✔ PASS","✘ FAIL"))</f>
        <v/>
      </c>
      <c r="F25" s="21">
        <f>IF('Ticker Data'!A24="","",IF('Ticker Data'!C24&gt;='Ticker Data'!G24,"✔ PASS","✘ FAIL"))</f>
        <v/>
      </c>
      <c r="G25" s="21">
        <f>IF('Ticker Data'!A24="","",IF('Ticker Data'!I24&gt;'Ticker Data'!J24,"✔ PASS","✘ FAIL"))</f>
        <v/>
      </c>
      <c r="H25" s="22">
        <f>IF('Ticker Data'!A24="","",(('Ticker Data'!K24/100)))</f>
        <v/>
      </c>
      <c r="I25" s="23">
        <f>IF(OR('Ticker Data'!A24="",'Ticker Data'!J24=0),"",'Ticker Data'!I24/'Ticker Data'!J24)</f>
        <v/>
      </c>
      <c r="J25" s="24">
        <f>IF(OR('Ticker Data'!A24="",'Ticker Data'!G24=0),"",('Ticker Data'!C24-'Ticker Data'!G24)/'Ticker Data'!G24)</f>
        <v/>
      </c>
      <c r="K25" s="24">
        <f>IF(OR('Ticker Data'!A24="",'Ticker Data'!D24=0),"",('Ticker Data'!C24-'Ticker Data'!D24)/'Ticker Data'!D24)</f>
        <v/>
      </c>
      <c r="L25" s="22">
        <f>IF(OR('Ticker Data'!A24="",'Ticker Data'!F24=0),"",'Ticker Data'!C24/'Ticker Data'!F24)</f>
        <v/>
      </c>
      <c r="M25" s="25">
        <f>IF(OR(C25="",H25=""),"",ROUND(PERCENTRANK($H$5:$H$54,H25)*100,1))</f>
        <v/>
      </c>
      <c r="N25" s="25">
        <f>IF(OR(C25="",I25=""),"",ROUND(PERCENTRANK($I$5:$I$54,I25)*100,1))</f>
        <v/>
      </c>
      <c r="O25" s="25">
        <f>IF(OR(C25="",J25=""),"",ROUND(PERCENTRANK($J$5:$J$54,J25)*100,1))</f>
        <v/>
      </c>
      <c r="P25" s="25">
        <f>IF(OR(C25="",K25=""),"",ROUND(PERCENTRANK($K$5:$K$54,K25)*100,1))</f>
        <v/>
      </c>
      <c r="Q25" s="25">
        <f>IF(OR(A25="",D25=""),"",ROUND(M25*0.3+N25*0.25+O25*0.25+P25*0.2,1))</f>
        <v/>
      </c>
      <c r="R25" s="21">
        <f>IF(OR(A25="",S25&lt;&gt;"✔ ALL PASS"),"",RANK(Q25,$Q$5:$Q$54,0))</f>
        <v/>
      </c>
      <c r="S25" s="21">
        <f>IF(A25="","",IF(AND(D25="✔ PASS",E25="✔ PASS",F25="✔ PASS",G25="✔ PASS"),"✔ ALL PASS","✘ FILTERED"))</f>
        <v/>
      </c>
      <c r="T25" s="21">
        <f>IF(OR(A25="",S25&lt;&gt;"✔ ALL PASS",R25=""),"",IF(R25&lt;=20,"🟢 BUY SIGNAL","—"))</f>
        <v/>
      </c>
    </row>
    <row r="26" ht="18" customHeight="1">
      <c r="A26" s="20">
        <f>IF('Ticker Data'!A25="","",'Ticker Data'!A25)</f>
        <v/>
      </c>
      <c r="B26" s="20">
        <f>IF('Ticker Data'!A25="","",'Ticker Data'!B25)</f>
        <v/>
      </c>
      <c r="C26" s="20">
        <f>IF('Ticker Data'!A25="","",'Ticker Data'!L25)</f>
        <v/>
      </c>
      <c r="D26" s="21">
        <f>IF('Ticker Data'!A25="","",IF(AND('Ticker Data'!C25&gt;'Ticker Data'!D25,'Ticker Data'!D25&gt;'Ticker Data'!E25,'Ticker Data'!E25&gt;0),"✔ PASS","✘ FAIL"))</f>
        <v/>
      </c>
      <c r="E26" s="21">
        <f>IF('Ticker Data'!A25="","",IF('Ticker Data'!C25&gt;='Ticker Data'!F25*0.85,"✔ PASS","✘ FAIL"))</f>
        <v/>
      </c>
      <c r="F26" s="21">
        <f>IF('Ticker Data'!A25="","",IF('Ticker Data'!C25&gt;='Ticker Data'!G25,"✔ PASS","✘ FAIL"))</f>
        <v/>
      </c>
      <c r="G26" s="21">
        <f>IF('Ticker Data'!A25="","",IF('Ticker Data'!I25&gt;'Ticker Data'!J25,"✔ PASS","✘ FAIL"))</f>
        <v/>
      </c>
      <c r="H26" s="22">
        <f>IF('Ticker Data'!A25="","",(('Ticker Data'!K25/100)))</f>
        <v/>
      </c>
      <c r="I26" s="23">
        <f>IF(OR('Ticker Data'!A25="",'Ticker Data'!J25=0),"",'Ticker Data'!I25/'Ticker Data'!J25)</f>
        <v/>
      </c>
      <c r="J26" s="24">
        <f>IF(OR('Ticker Data'!A25="",'Ticker Data'!G25=0),"",('Ticker Data'!C25-'Ticker Data'!G25)/'Ticker Data'!G25)</f>
        <v/>
      </c>
      <c r="K26" s="24">
        <f>IF(OR('Ticker Data'!A25="",'Ticker Data'!D25=0),"",('Ticker Data'!C25-'Ticker Data'!D25)/'Ticker Data'!D25)</f>
        <v/>
      </c>
      <c r="L26" s="22">
        <f>IF(OR('Ticker Data'!A25="",'Ticker Data'!F25=0),"",'Ticker Data'!C25/'Ticker Data'!F25)</f>
        <v/>
      </c>
      <c r="M26" s="25">
        <f>IF(OR(C26="",H26=""),"",ROUND(PERCENTRANK($H$5:$H$54,H26)*100,1))</f>
        <v/>
      </c>
      <c r="N26" s="25">
        <f>IF(OR(C26="",I26=""),"",ROUND(PERCENTRANK($I$5:$I$54,I26)*100,1))</f>
        <v/>
      </c>
      <c r="O26" s="25">
        <f>IF(OR(C26="",J26=""),"",ROUND(PERCENTRANK($J$5:$J$54,J26)*100,1))</f>
        <v/>
      </c>
      <c r="P26" s="25">
        <f>IF(OR(C26="",K26=""),"",ROUND(PERCENTRANK($K$5:$K$54,K26)*100,1))</f>
        <v/>
      </c>
      <c r="Q26" s="25">
        <f>IF(OR(A26="",D26=""),"",ROUND(M26*0.3+N26*0.25+O26*0.25+P26*0.2,1))</f>
        <v/>
      </c>
      <c r="R26" s="21">
        <f>IF(OR(A26="",S26&lt;&gt;"✔ ALL PASS"),"",RANK(Q26,$Q$5:$Q$54,0))</f>
        <v/>
      </c>
      <c r="S26" s="21">
        <f>IF(A26="","",IF(AND(D26="✔ PASS",E26="✔ PASS",F26="✔ PASS",G26="✔ PASS"),"✔ ALL PASS","✘ FILTERED"))</f>
        <v/>
      </c>
      <c r="T26" s="21">
        <f>IF(OR(A26="",S26&lt;&gt;"✔ ALL PASS",R26=""),"",IF(R26&lt;=20,"🟢 BUY SIGNAL","—"))</f>
        <v/>
      </c>
    </row>
    <row r="27" ht="18" customHeight="1">
      <c r="A27" s="20">
        <f>IF('Ticker Data'!A26="","",'Ticker Data'!A26)</f>
        <v/>
      </c>
      <c r="B27" s="20">
        <f>IF('Ticker Data'!A26="","",'Ticker Data'!B26)</f>
        <v/>
      </c>
      <c r="C27" s="20">
        <f>IF('Ticker Data'!A26="","",'Ticker Data'!L26)</f>
        <v/>
      </c>
      <c r="D27" s="21">
        <f>IF('Ticker Data'!A26="","",IF(AND('Ticker Data'!C26&gt;'Ticker Data'!D26,'Ticker Data'!D26&gt;'Ticker Data'!E26,'Ticker Data'!E26&gt;0),"✔ PASS","✘ FAIL"))</f>
        <v/>
      </c>
      <c r="E27" s="21">
        <f>IF('Ticker Data'!A26="","",IF('Ticker Data'!C26&gt;='Ticker Data'!F26*0.85,"✔ PASS","✘ FAIL"))</f>
        <v/>
      </c>
      <c r="F27" s="21">
        <f>IF('Ticker Data'!A26="","",IF('Ticker Data'!C26&gt;='Ticker Data'!G26,"✔ PASS","✘ FAIL"))</f>
        <v/>
      </c>
      <c r="G27" s="21">
        <f>IF('Ticker Data'!A26="","",IF('Ticker Data'!I26&gt;'Ticker Data'!J26,"✔ PASS","✘ FAIL"))</f>
        <v/>
      </c>
      <c r="H27" s="22">
        <f>IF('Ticker Data'!A26="","",(('Ticker Data'!K26/100)))</f>
        <v/>
      </c>
      <c r="I27" s="23">
        <f>IF(OR('Ticker Data'!A26="",'Ticker Data'!J26=0),"",'Ticker Data'!I26/'Ticker Data'!J26)</f>
        <v/>
      </c>
      <c r="J27" s="24">
        <f>IF(OR('Ticker Data'!A26="",'Ticker Data'!G26=0),"",('Ticker Data'!C26-'Ticker Data'!G26)/'Ticker Data'!G26)</f>
        <v/>
      </c>
      <c r="K27" s="24">
        <f>IF(OR('Ticker Data'!A26="",'Ticker Data'!D26=0),"",('Ticker Data'!C26-'Ticker Data'!D26)/'Ticker Data'!D26)</f>
        <v/>
      </c>
      <c r="L27" s="22">
        <f>IF(OR('Ticker Data'!A26="",'Ticker Data'!F26=0),"",'Ticker Data'!C26/'Ticker Data'!F26)</f>
        <v/>
      </c>
      <c r="M27" s="25">
        <f>IF(OR(C27="",H27=""),"",ROUND(PERCENTRANK($H$5:$H$54,H27)*100,1))</f>
        <v/>
      </c>
      <c r="N27" s="25">
        <f>IF(OR(C27="",I27=""),"",ROUND(PERCENTRANK($I$5:$I$54,I27)*100,1))</f>
        <v/>
      </c>
      <c r="O27" s="25">
        <f>IF(OR(C27="",J27=""),"",ROUND(PERCENTRANK($J$5:$J$54,J27)*100,1))</f>
        <v/>
      </c>
      <c r="P27" s="25">
        <f>IF(OR(C27="",K27=""),"",ROUND(PERCENTRANK($K$5:$K$54,K27)*100,1))</f>
        <v/>
      </c>
      <c r="Q27" s="25">
        <f>IF(OR(A27="",D27=""),"",ROUND(M27*0.3+N27*0.25+O27*0.25+P27*0.2,1))</f>
        <v/>
      </c>
      <c r="R27" s="21">
        <f>IF(OR(A27="",S27&lt;&gt;"✔ ALL PASS"),"",RANK(Q27,$Q$5:$Q$54,0))</f>
        <v/>
      </c>
      <c r="S27" s="21">
        <f>IF(A27="","",IF(AND(D27="✔ PASS",E27="✔ PASS",F27="✔ PASS",G27="✔ PASS"),"✔ ALL PASS","✘ FILTERED"))</f>
        <v/>
      </c>
      <c r="T27" s="21">
        <f>IF(OR(A27="",S27&lt;&gt;"✔ ALL PASS",R27=""),"",IF(R27&lt;=20,"🟢 BUY SIGNAL","—"))</f>
        <v/>
      </c>
    </row>
    <row r="28" ht="18" customHeight="1">
      <c r="A28" s="20">
        <f>IF('Ticker Data'!A27="","",'Ticker Data'!A27)</f>
        <v/>
      </c>
      <c r="B28" s="20">
        <f>IF('Ticker Data'!A27="","",'Ticker Data'!B27)</f>
        <v/>
      </c>
      <c r="C28" s="20">
        <f>IF('Ticker Data'!A27="","",'Ticker Data'!L27)</f>
        <v/>
      </c>
      <c r="D28" s="21">
        <f>IF('Ticker Data'!A27="","",IF(AND('Ticker Data'!C27&gt;'Ticker Data'!D27,'Ticker Data'!D27&gt;'Ticker Data'!E27,'Ticker Data'!E27&gt;0),"✔ PASS","✘ FAIL"))</f>
        <v/>
      </c>
      <c r="E28" s="21">
        <f>IF('Ticker Data'!A27="","",IF('Ticker Data'!C27&gt;='Ticker Data'!F27*0.85,"✔ PASS","✘ FAIL"))</f>
        <v/>
      </c>
      <c r="F28" s="21">
        <f>IF('Ticker Data'!A27="","",IF('Ticker Data'!C27&gt;='Ticker Data'!G27,"✔ PASS","✘ FAIL"))</f>
        <v/>
      </c>
      <c r="G28" s="21">
        <f>IF('Ticker Data'!A27="","",IF('Ticker Data'!I27&gt;'Ticker Data'!J27,"✔ PASS","✘ FAIL"))</f>
        <v/>
      </c>
      <c r="H28" s="22">
        <f>IF('Ticker Data'!A27="","",(('Ticker Data'!K27/100)))</f>
        <v/>
      </c>
      <c r="I28" s="23">
        <f>IF(OR('Ticker Data'!A27="",'Ticker Data'!J27=0),"",'Ticker Data'!I27/'Ticker Data'!J27)</f>
        <v/>
      </c>
      <c r="J28" s="24">
        <f>IF(OR('Ticker Data'!A27="",'Ticker Data'!G27=0),"",('Ticker Data'!C27-'Ticker Data'!G27)/'Ticker Data'!G27)</f>
        <v/>
      </c>
      <c r="K28" s="24">
        <f>IF(OR('Ticker Data'!A27="",'Ticker Data'!D27=0),"",('Ticker Data'!C27-'Ticker Data'!D27)/'Ticker Data'!D27)</f>
        <v/>
      </c>
      <c r="L28" s="22">
        <f>IF(OR('Ticker Data'!A27="",'Ticker Data'!F27=0),"",'Ticker Data'!C27/'Ticker Data'!F27)</f>
        <v/>
      </c>
      <c r="M28" s="25">
        <f>IF(OR(C28="",H28=""),"",ROUND(PERCENTRANK($H$5:$H$54,H28)*100,1))</f>
        <v/>
      </c>
      <c r="N28" s="25">
        <f>IF(OR(C28="",I28=""),"",ROUND(PERCENTRANK($I$5:$I$54,I28)*100,1))</f>
        <v/>
      </c>
      <c r="O28" s="25">
        <f>IF(OR(C28="",J28=""),"",ROUND(PERCENTRANK($J$5:$J$54,J28)*100,1))</f>
        <v/>
      </c>
      <c r="P28" s="25">
        <f>IF(OR(C28="",K28=""),"",ROUND(PERCENTRANK($K$5:$K$54,K28)*100,1))</f>
        <v/>
      </c>
      <c r="Q28" s="25">
        <f>IF(OR(A28="",D28=""),"",ROUND(M28*0.3+N28*0.25+O28*0.25+P28*0.2,1))</f>
        <v/>
      </c>
      <c r="R28" s="21">
        <f>IF(OR(A28="",S28&lt;&gt;"✔ ALL PASS"),"",RANK(Q28,$Q$5:$Q$54,0))</f>
        <v/>
      </c>
      <c r="S28" s="21">
        <f>IF(A28="","",IF(AND(D28="✔ PASS",E28="✔ PASS",F28="✔ PASS",G28="✔ PASS"),"✔ ALL PASS","✘ FILTERED"))</f>
        <v/>
      </c>
      <c r="T28" s="21">
        <f>IF(OR(A28="",S28&lt;&gt;"✔ ALL PASS",R28=""),"",IF(R28&lt;=20,"🟢 BUY SIGNAL","—"))</f>
        <v/>
      </c>
    </row>
    <row r="29" ht="18" customHeight="1">
      <c r="A29" s="20">
        <f>IF('Ticker Data'!A28="","",'Ticker Data'!A28)</f>
        <v/>
      </c>
      <c r="B29" s="20">
        <f>IF('Ticker Data'!A28="","",'Ticker Data'!B28)</f>
        <v/>
      </c>
      <c r="C29" s="20">
        <f>IF('Ticker Data'!A28="","",'Ticker Data'!L28)</f>
        <v/>
      </c>
      <c r="D29" s="21">
        <f>IF('Ticker Data'!A28="","",IF(AND('Ticker Data'!C28&gt;'Ticker Data'!D28,'Ticker Data'!D28&gt;'Ticker Data'!E28,'Ticker Data'!E28&gt;0),"✔ PASS","✘ FAIL"))</f>
        <v/>
      </c>
      <c r="E29" s="21">
        <f>IF('Ticker Data'!A28="","",IF('Ticker Data'!C28&gt;='Ticker Data'!F28*0.85,"✔ PASS","✘ FAIL"))</f>
        <v/>
      </c>
      <c r="F29" s="21">
        <f>IF('Ticker Data'!A28="","",IF('Ticker Data'!C28&gt;='Ticker Data'!G28,"✔ PASS","✘ FAIL"))</f>
        <v/>
      </c>
      <c r="G29" s="21">
        <f>IF('Ticker Data'!A28="","",IF('Ticker Data'!I28&gt;'Ticker Data'!J28,"✔ PASS","✘ FAIL"))</f>
        <v/>
      </c>
      <c r="H29" s="22">
        <f>IF('Ticker Data'!A28="","",(('Ticker Data'!K28/100)))</f>
        <v/>
      </c>
      <c r="I29" s="23">
        <f>IF(OR('Ticker Data'!A28="",'Ticker Data'!J28=0),"",'Ticker Data'!I28/'Ticker Data'!J28)</f>
        <v/>
      </c>
      <c r="J29" s="24">
        <f>IF(OR('Ticker Data'!A28="",'Ticker Data'!G28=0),"",('Ticker Data'!C28-'Ticker Data'!G28)/'Ticker Data'!G28)</f>
        <v/>
      </c>
      <c r="K29" s="24">
        <f>IF(OR('Ticker Data'!A28="",'Ticker Data'!D28=0),"",('Ticker Data'!C28-'Ticker Data'!D28)/'Ticker Data'!D28)</f>
        <v/>
      </c>
      <c r="L29" s="22">
        <f>IF(OR('Ticker Data'!A28="",'Ticker Data'!F28=0),"",'Ticker Data'!C28/'Ticker Data'!F28)</f>
        <v/>
      </c>
      <c r="M29" s="25">
        <f>IF(OR(C29="",H29=""),"",ROUND(PERCENTRANK($H$5:$H$54,H29)*100,1))</f>
        <v/>
      </c>
      <c r="N29" s="25">
        <f>IF(OR(C29="",I29=""),"",ROUND(PERCENTRANK($I$5:$I$54,I29)*100,1))</f>
        <v/>
      </c>
      <c r="O29" s="25">
        <f>IF(OR(C29="",J29=""),"",ROUND(PERCENTRANK($J$5:$J$54,J29)*100,1))</f>
        <v/>
      </c>
      <c r="P29" s="25">
        <f>IF(OR(C29="",K29=""),"",ROUND(PERCENTRANK($K$5:$K$54,K29)*100,1))</f>
        <v/>
      </c>
      <c r="Q29" s="25">
        <f>IF(OR(A29="",D29=""),"",ROUND(M29*0.3+N29*0.25+O29*0.25+P29*0.2,1))</f>
        <v/>
      </c>
      <c r="R29" s="21">
        <f>IF(OR(A29="",S29&lt;&gt;"✔ ALL PASS"),"",RANK(Q29,$Q$5:$Q$54,0))</f>
        <v/>
      </c>
      <c r="S29" s="21">
        <f>IF(A29="","",IF(AND(D29="✔ PASS",E29="✔ PASS",F29="✔ PASS",G29="✔ PASS"),"✔ ALL PASS","✘ FILTERED"))</f>
        <v/>
      </c>
      <c r="T29" s="21">
        <f>IF(OR(A29="",S29&lt;&gt;"✔ ALL PASS",R29=""),"",IF(R29&lt;=20,"🟢 BUY SIGNAL","—"))</f>
        <v/>
      </c>
    </row>
    <row r="30" ht="18" customHeight="1">
      <c r="A30" s="20">
        <f>IF('Ticker Data'!A29="","",'Ticker Data'!A29)</f>
        <v/>
      </c>
      <c r="B30" s="20">
        <f>IF('Ticker Data'!A29="","",'Ticker Data'!B29)</f>
        <v/>
      </c>
      <c r="C30" s="20">
        <f>IF('Ticker Data'!A29="","",'Ticker Data'!L29)</f>
        <v/>
      </c>
      <c r="D30" s="21">
        <f>IF('Ticker Data'!A29="","",IF(AND('Ticker Data'!C29&gt;'Ticker Data'!D29,'Ticker Data'!D29&gt;'Ticker Data'!E29,'Ticker Data'!E29&gt;0),"✔ PASS","✘ FAIL"))</f>
        <v/>
      </c>
      <c r="E30" s="21">
        <f>IF('Ticker Data'!A29="","",IF('Ticker Data'!C29&gt;='Ticker Data'!F29*0.85,"✔ PASS","✘ FAIL"))</f>
        <v/>
      </c>
      <c r="F30" s="21">
        <f>IF('Ticker Data'!A29="","",IF('Ticker Data'!C29&gt;='Ticker Data'!G29,"✔ PASS","✘ FAIL"))</f>
        <v/>
      </c>
      <c r="G30" s="21">
        <f>IF('Ticker Data'!A29="","",IF('Ticker Data'!I29&gt;'Ticker Data'!J29,"✔ PASS","✘ FAIL"))</f>
        <v/>
      </c>
      <c r="H30" s="22">
        <f>IF('Ticker Data'!A29="","",(('Ticker Data'!K29/100)))</f>
        <v/>
      </c>
      <c r="I30" s="23">
        <f>IF(OR('Ticker Data'!A29="",'Ticker Data'!J29=0),"",'Ticker Data'!I29/'Ticker Data'!J29)</f>
        <v/>
      </c>
      <c r="J30" s="24">
        <f>IF(OR('Ticker Data'!A29="",'Ticker Data'!G29=0),"",('Ticker Data'!C29-'Ticker Data'!G29)/'Ticker Data'!G29)</f>
        <v/>
      </c>
      <c r="K30" s="24">
        <f>IF(OR('Ticker Data'!A29="",'Ticker Data'!D29=0),"",('Ticker Data'!C29-'Ticker Data'!D29)/'Ticker Data'!D29)</f>
        <v/>
      </c>
      <c r="L30" s="22">
        <f>IF(OR('Ticker Data'!A29="",'Ticker Data'!F29=0),"",'Ticker Data'!C29/'Ticker Data'!F29)</f>
        <v/>
      </c>
      <c r="M30" s="25">
        <f>IF(OR(C30="",H30=""),"",ROUND(PERCENTRANK($H$5:$H$54,H30)*100,1))</f>
        <v/>
      </c>
      <c r="N30" s="25">
        <f>IF(OR(C30="",I30=""),"",ROUND(PERCENTRANK($I$5:$I$54,I30)*100,1))</f>
        <v/>
      </c>
      <c r="O30" s="25">
        <f>IF(OR(C30="",J30=""),"",ROUND(PERCENTRANK($J$5:$J$54,J30)*100,1))</f>
        <v/>
      </c>
      <c r="P30" s="25">
        <f>IF(OR(C30="",K30=""),"",ROUND(PERCENTRANK($K$5:$K$54,K30)*100,1))</f>
        <v/>
      </c>
      <c r="Q30" s="25">
        <f>IF(OR(A30="",D30=""),"",ROUND(M30*0.3+N30*0.25+O30*0.25+P30*0.2,1))</f>
        <v/>
      </c>
      <c r="R30" s="21">
        <f>IF(OR(A30="",S30&lt;&gt;"✔ ALL PASS"),"",RANK(Q30,$Q$5:$Q$54,0))</f>
        <v/>
      </c>
      <c r="S30" s="21">
        <f>IF(A30="","",IF(AND(D30="✔ PASS",E30="✔ PASS",F30="✔ PASS",G30="✔ PASS"),"✔ ALL PASS","✘ FILTERED"))</f>
        <v/>
      </c>
      <c r="T30" s="21">
        <f>IF(OR(A30="",S30&lt;&gt;"✔ ALL PASS",R30=""),"",IF(R30&lt;=20,"🟢 BUY SIGNAL","—"))</f>
        <v/>
      </c>
    </row>
    <row r="31" ht="18" customHeight="1">
      <c r="A31" s="20">
        <f>IF('Ticker Data'!A30="","",'Ticker Data'!A30)</f>
        <v/>
      </c>
      <c r="B31" s="20">
        <f>IF('Ticker Data'!A30="","",'Ticker Data'!B30)</f>
        <v/>
      </c>
      <c r="C31" s="20">
        <f>IF('Ticker Data'!A30="","",'Ticker Data'!L30)</f>
        <v/>
      </c>
      <c r="D31" s="21">
        <f>IF('Ticker Data'!A30="","",IF(AND('Ticker Data'!C30&gt;'Ticker Data'!D30,'Ticker Data'!D30&gt;'Ticker Data'!E30,'Ticker Data'!E30&gt;0),"✔ PASS","✘ FAIL"))</f>
        <v/>
      </c>
      <c r="E31" s="21">
        <f>IF('Ticker Data'!A30="","",IF('Ticker Data'!C30&gt;='Ticker Data'!F30*0.85,"✔ PASS","✘ FAIL"))</f>
        <v/>
      </c>
      <c r="F31" s="21">
        <f>IF('Ticker Data'!A30="","",IF('Ticker Data'!C30&gt;='Ticker Data'!G30,"✔ PASS","✘ FAIL"))</f>
        <v/>
      </c>
      <c r="G31" s="21">
        <f>IF('Ticker Data'!A30="","",IF('Ticker Data'!I30&gt;'Ticker Data'!J30,"✔ PASS","✘ FAIL"))</f>
        <v/>
      </c>
      <c r="H31" s="22">
        <f>IF('Ticker Data'!A30="","",(('Ticker Data'!K30/100)))</f>
        <v/>
      </c>
      <c r="I31" s="23">
        <f>IF(OR('Ticker Data'!A30="",'Ticker Data'!J30=0),"",'Ticker Data'!I30/'Ticker Data'!J30)</f>
        <v/>
      </c>
      <c r="J31" s="24">
        <f>IF(OR('Ticker Data'!A30="",'Ticker Data'!G30=0),"",('Ticker Data'!C30-'Ticker Data'!G30)/'Ticker Data'!G30)</f>
        <v/>
      </c>
      <c r="K31" s="24">
        <f>IF(OR('Ticker Data'!A30="",'Ticker Data'!D30=0),"",('Ticker Data'!C30-'Ticker Data'!D30)/'Ticker Data'!D30)</f>
        <v/>
      </c>
      <c r="L31" s="22">
        <f>IF(OR('Ticker Data'!A30="",'Ticker Data'!F30=0),"",'Ticker Data'!C30/'Ticker Data'!F30)</f>
        <v/>
      </c>
      <c r="M31" s="25">
        <f>IF(OR(C31="",H31=""),"",ROUND(PERCENTRANK($H$5:$H$54,H31)*100,1))</f>
        <v/>
      </c>
      <c r="N31" s="25">
        <f>IF(OR(C31="",I31=""),"",ROUND(PERCENTRANK($I$5:$I$54,I31)*100,1))</f>
        <v/>
      </c>
      <c r="O31" s="25">
        <f>IF(OR(C31="",J31=""),"",ROUND(PERCENTRANK($J$5:$J$54,J31)*100,1))</f>
        <v/>
      </c>
      <c r="P31" s="25">
        <f>IF(OR(C31="",K31=""),"",ROUND(PERCENTRANK($K$5:$K$54,K31)*100,1))</f>
        <v/>
      </c>
      <c r="Q31" s="25">
        <f>IF(OR(A31="",D31=""),"",ROUND(M31*0.3+N31*0.25+O31*0.25+P31*0.2,1))</f>
        <v/>
      </c>
      <c r="R31" s="21">
        <f>IF(OR(A31="",S31&lt;&gt;"✔ ALL PASS"),"",RANK(Q31,$Q$5:$Q$54,0))</f>
        <v/>
      </c>
      <c r="S31" s="21">
        <f>IF(A31="","",IF(AND(D31="✔ PASS",E31="✔ PASS",F31="✔ PASS",G31="✔ PASS"),"✔ ALL PASS","✘ FILTERED"))</f>
        <v/>
      </c>
      <c r="T31" s="21">
        <f>IF(OR(A31="",S31&lt;&gt;"✔ ALL PASS",R31=""),"",IF(R31&lt;=20,"🟢 BUY SIGNAL","—"))</f>
        <v/>
      </c>
    </row>
    <row r="32" ht="18" customHeight="1">
      <c r="A32" s="20">
        <f>IF('Ticker Data'!A31="","",'Ticker Data'!A31)</f>
        <v/>
      </c>
      <c r="B32" s="20">
        <f>IF('Ticker Data'!A31="","",'Ticker Data'!B31)</f>
        <v/>
      </c>
      <c r="C32" s="20">
        <f>IF('Ticker Data'!A31="","",'Ticker Data'!L31)</f>
        <v/>
      </c>
      <c r="D32" s="21">
        <f>IF('Ticker Data'!A31="","",IF(AND('Ticker Data'!C31&gt;'Ticker Data'!D31,'Ticker Data'!D31&gt;'Ticker Data'!E31,'Ticker Data'!E31&gt;0),"✔ PASS","✘ FAIL"))</f>
        <v/>
      </c>
      <c r="E32" s="21">
        <f>IF('Ticker Data'!A31="","",IF('Ticker Data'!C31&gt;='Ticker Data'!F31*0.85,"✔ PASS","✘ FAIL"))</f>
        <v/>
      </c>
      <c r="F32" s="21">
        <f>IF('Ticker Data'!A31="","",IF('Ticker Data'!C31&gt;='Ticker Data'!G31,"✔ PASS","✘ FAIL"))</f>
        <v/>
      </c>
      <c r="G32" s="21">
        <f>IF('Ticker Data'!A31="","",IF('Ticker Data'!I31&gt;'Ticker Data'!J31,"✔ PASS","✘ FAIL"))</f>
        <v/>
      </c>
      <c r="H32" s="22">
        <f>IF('Ticker Data'!A31="","",(('Ticker Data'!K31/100)))</f>
        <v/>
      </c>
      <c r="I32" s="23">
        <f>IF(OR('Ticker Data'!A31="",'Ticker Data'!J31=0),"",'Ticker Data'!I31/'Ticker Data'!J31)</f>
        <v/>
      </c>
      <c r="J32" s="24">
        <f>IF(OR('Ticker Data'!A31="",'Ticker Data'!G31=0),"",('Ticker Data'!C31-'Ticker Data'!G31)/'Ticker Data'!G31)</f>
        <v/>
      </c>
      <c r="K32" s="24">
        <f>IF(OR('Ticker Data'!A31="",'Ticker Data'!D31=0),"",('Ticker Data'!C31-'Ticker Data'!D31)/'Ticker Data'!D31)</f>
        <v/>
      </c>
      <c r="L32" s="22">
        <f>IF(OR('Ticker Data'!A31="",'Ticker Data'!F31=0),"",'Ticker Data'!C31/'Ticker Data'!F31)</f>
        <v/>
      </c>
      <c r="M32" s="25">
        <f>IF(OR(C32="",H32=""),"",ROUND(PERCENTRANK($H$5:$H$54,H32)*100,1))</f>
        <v/>
      </c>
      <c r="N32" s="25">
        <f>IF(OR(C32="",I32=""),"",ROUND(PERCENTRANK($I$5:$I$54,I32)*100,1))</f>
        <v/>
      </c>
      <c r="O32" s="25">
        <f>IF(OR(C32="",J32=""),"",ROUND(PERCENTRANK($J$5:$J$54,J32)*100,1))</f>
        <v/>
      </c>
      <c r="P32" s="25">
        <f>IF(OR(C32="",K32=""),"",ROUND(PERCENTRANK($K$5:$K$54,K32)*100,1))</f>
        <v/>
      </c>
      <c r="Q32" s="25">
        <f>IF(OR(A32="",D32=""),"",ROUND(M32*0.3+N32*0.25+O32*0.25+P32*0.2,1))</f>
        <v/>
      </c>
      <c r="R32" s="21">
        <f>IF(OR(A32="",S32&lt;&gt;"✔ ALL PASS"),"",RANK(Q32,$Q$5:$Q$54,0))</f>
        <v/>
      </c>
      <c r="S32" s="21">
        <f>IF(A32="","",IF(AND(D32="✔ PASS",E32="✔ PASS",F32="✔ PASS",G32="✔ PASS"),"✔ ALL PASS","✘ FILTERED"))</f>
        <v/>
      </c>
      <c r="T32" s="21">
        <f>IF(OR(A32="",S32&lt;&gt;"✔ ALL PASS",R32=""),"",IF(R32&lt;=20,"🟢 BUY SIGNAL","—"))</f>
        <v/>
      </c>
    </row>
    <row r="33" ht="18" customHeight="1">
      <c r="A33" s="20">
        <f>IF('Ticker Data'!A32="","",'Ticker Data'!A32)</f>
        <v/>
      </c>
      <c r="B33" s="20">
        <f>IF('Ticker Data'!A32="","",'Ticker Data'!B32)</f>
        <v/>
      </c>
      <c r="C33" s="20">
        <f>IF('Ticker Data'!A32="","",'Ticker Data'!L32)</f>
        <v/>
      </c>
      <c r="D33" s="21">
        <f>IF('Ticker Data'!A32="","",IF(AND('Ticker Data'!C32&gt;'Ticker Data'!D32,'Ticker Data'!D32&gt;'Ticker Data'!E32,'Ticker Data'!E32&gt;0),"✔ PASS","✘ FAIL"))</f>
        <v/>
      </c>
      <c r="E33" s="21">
        <f>IF('Ticker Data'!A32="","",IF('Ticker Data'!C32&gt;='Ticker Data'!F32*0.85,"✔ PASS","✘ FAIL"))</f>
        <v/>
      </c>
      <c r="F33" s="21">
        <f>IF('Ticker Data'!A32="","",IF('Ticker Data'!C32&gt;='Ticker Data'!G32,"✔ PASS","✘ FAIL"))</f>
        <v/>
      </c>
      <c r="G33" s="21">
        <f>IF('Ticker Data'!A32="","",IF('Ticker Data'!I32&gt;'Ticker Data'!J32,"✔ PASS","✘ FAIL"))</f>
        <v/>
      </c>
      <c r="H33" s="22">
        <f>IF('Ticker Data'!A32="","",(('Ticker Data'!K32/100)))</f>
        <v/>
      </c>
      <c r="I33" s="23">
        <f>IF(OR('Ticker Data'!A32="",'Ticker Data'!J32=0),"",'Ticker Data'!I32/'Ticker Data'!J32)</f>
        <v/>
      </c>
      <c r="J33" s="24">
        <f>IF(OR('Ticker Data'!A32="",'Ticker Data'!G32=0),"",('Ticker Data'!C32-'Ticker Data'!G32)/'Ticker Data'!G32)</f>
        <v/>
      </c>
      <c r="K33" s="24">
        <f>IF(OR('Ticker Data'!A32="",'Ticker Data'!D32=0),"",('Ticker Data'!C32-'Ticker Data'!D32)/'Ticker Data'!D32)</f>
        <v/>
      </c>
      <c r="L33" s="22">
        <f>IF(OR('Ticker Data'!A32="",'Ticker Data'!F32=0),"",'Ticker Data'!C32/'Ticker Data'!F32)</f>
        <v/>
      </c>
      <c r="M33" s="25">
        <f>IF(OR(C33="",H33=""),"",ROUND(PERCENTRANK($H$5:$H$54,H33)*100,1))</f>
        <v/>
      </c>
      <c r="N33" s="25">
        <f>IF(OR(C33="",I33=""),"",ROUND(PERCENTRANK($I$5:$I$54,I33)*100,1))</f>
        <v/>
      </c>
      <c r="O33" s="25">
        <f>IF(OR(C33="",J33=""),"",ROUND(PERCENTRANK($J$5:$J$54,J33)*100,1))</f>
        <v/>
      </c>
      <c r="P33" s="25">
        <f>IF(OR(C33="",K33=""),"",ROUND(PERCENTRANK($K$5:$K$54,K33)*100,1))</f>
        <v/>
      </c>
      <c r="Q33" s="25">
        <f>IF(OR(A33="",D33=""),"",ROUND(M33*0.3+N33*0.25+O33*0.25+P33*0.2,1))</f>
        <v/>
      </c>
      <c r="R33" s="21">
        <f>IF(OR(A33="",S33&lt;&gt;"✔ ALL PASS"),"",RANK(Q33,$Q$5:$Q$54,0))</f>
        <v/>
      </c>
      <c r="S33" s="21">
        <f>IF(A33="","",IF(AND(D33="✔ PASS",E33="✔ PASS",F33="✔ PASS",G33="✔ PASS"),"✔ ALL PASS","✘ FILTERED"))</f>
        <v/>
      </c>
      <c r="T33" s="21">
        <f>IF(OR(A33="",S33&lt;&gt;"✔ ALL PASS",R33=""),"",IF(R33&lt;=20,"🟢 BUY SIGNAL","—"))</f>
        <v/>
      </c>
    </row>
    <row r="34" ht="18" customHeight="1">
      <c r="A34" s="20">
        <f>IF('Ticker Data'!A33="","",'Ticker Data'!A33)</f>
        <v/>
      </c>
      <c r="B34" s="20">
        <f>IF('Ticker Data'!A33="","",'Ticker Data'!B33)</f>
        <v/>
      </c>
      <c r="C34" s="20">
        <f>IF('Ticker Data'!A33="","",'Ticker Data'!L33)</f>
        <v/>
      </c>
      <c r="D34" s="21">
        <f>IF('Ticker Data'!A33="","",IF(AND('Ticker Data'!C33&gt;'Ticker Data'!D33,'Ticker Data'!D33&gt;'Ticker Data'!E33,'Ticker Data'!E33&gt;0),"✔ PASS","✘ FAIL"))</f>
        <v/>
      </c>
      <c r="E34" s="21">
        <f>IF('Ticker Data'!A33="","",IF('Ticker Data'!C33&gt;='Ticker Data'!F33*0.85,"✔ PASS","✘ FAIL"))</f>
        <v/>
      </c>
      <c r="F34" s="21">
        <f>IF('Ticker Data'!A33="","",IF('Ticker Data'!C33&gt;='Ticker Data'!G33,"✔ PASS","✘ FAIL"))</f>
        <v/>
      </c>
      <c r="G34" s="21">
        <f>IF('Ticker Data'!A33="","",IF('Ticker Data'!I33&gt;'Ticker Data'!J33,"✔ PASS","✘ FAIL"))</f>
        <v/>
      </c>
      <c r="H34" s="22">
        <f>IF('Ticker Data'!A33="","",(('Ticker Data'!K33/100)))</f>
        <v/>
      </c>
      <c r="I34" s="23">
        <f>IF(OR('Ticker Data'!A33="",'Ticker Data'!J33=0),"",'Ticker Data'!I33/'Ticker Data'!J33)</f>
        <v/>
      </c>
      <c r="J34" s="24">
        <f>IF(OR('Ticker Data'!A33="",'Ticker Data'!G33=0),"",('Ticker Data'!C33-'Ticker Data'!G33)/'Ticker Data'!G33)</f>
        <v/>
      </c>
      <c r="K34" s="24">
        <f>IF(OR('Ticker Data'!A33="",'Ticker Data'!D33=0),"",('Ticker Data'!C33-'Ticker Data'!D33)/'Ticker Data'!D33)</f>
        <v/>
      </c>
      <c r="L34" s="22">
        <f>IF(OR('Ticker Data'!A33="",'Ticker Data'!F33=0),"",'Ticker Data'!C33/'Ticker Data'!F33)</f>
        <v/>
      </c>
      <c r="M34" s="25">
        <f>IF(OR(C34="",H34=""),"",ROUND(PERCENTRANK($H$5:$H$54,H34)*100,1))</f>
        <v/>
      </c>
      <c r="N34" s="25">
        <f>IF(OR(C34="",I34=""),"",ROUND(PERCENTRANK($I$5:$I$54,I34)*100,1))</f>
        <v/>
      </c>
      <c r="O34" s="25">
        <f>IF(OR(C34="",J34=""),"",ROUND(PERCENTRANK($J$5:$J$54,J34)*100,1))</f>
        <v/>
      </c>
      <c r="P34" s="25">
        <f>IF(OR(C34="",K34=""),"",ROUND(PERCENTRANK($K$5:$K$54,K34)*100,1))</f>
        <v/>
      </c>
      <c r="Q34" s="25">
        <f>IF(OR(A34="",D34=""),"",ROUND(M34*0.3+N34*0.25+O34*0.25+P34*0.2,1))</f>
        <v/>
      </c>
      <c r="R34" s="21">
        <f>IF(OR(A34="",S34&lt;&gt;"✔ ALL PASS"),"",RANK(Q34,$Q$5:$Q$54,0))</f>
        <v/>
      </c>
      <c r="S34" s="21">
        <f>IF(A34="","",IF(AND(D34="✔ PASS",E34="✔ PASS",F34="✔ PASS",G34="✔ PASS"),"✔ ALL PASS","✘ FILTERED"))</f>
        <v/>
      </c>
      <c r="T34" s="21">
        <f>IF(OR(A34="",S34&lt;&gt;"✔ ALL PASS",R34=""),"",IF(R34&lt;=20,"🟢 BUY SIGNAL","—"))</f>
        <v/>
      </c>
    </row>
    <row r="35" ht="18" customHeight="1">
      <c r="A35" s="20">
        <f>IF('Ticker Data'!A34="","",'Ticker Data'!A34)</f>
        <v/>
      </c>
      <c r="B35" s="20">
        <f>IF('Ticker Data'!A34="","",'Ticker Data'!B34)</f>
        <v/>
      </c>
      <c r="C35" s="20">
        <f>IF('Ticker Data'!A34="","",'Ticker Data'!L34)</f>
        <v/>
      </c>
      <c r="D35" s="21">
        <f>IF('Ticker Data'!A34="","",IF(AND('Ticker Data'!C34&gt;'Ticker Data'!D34,'Ticker Data'!D34&gt;'Ticker Data'!E34,'Ticker Data'!E34&gt;0),"✔ PASS","✘ FAIL"))</f>
        <v/>
      </c>
      <c r="E35" s="21">
        <f>IF('Ticker Data'!A34="","",IF('Ticker Data'!C34&gt;='Ticker Data'!F34*0.85,"✔ PASS","✘ FAIL"))</f>
        <v/>
      </c>
      <c r="F35" s="21">
        <f>IF('Ticker Data'!A34="","",IF('Ticker Data'!C34&gt;='Ticker Data'!G34,"✔ PASS","✘ FAIL"))</f>
        <v/>
      </c>
      <c r="G35" s="21">
        <f>IF('Ticker Data'!A34="","",IF('Ticker Data'!I34&gt;'Ticker Data'!J34,"✔ PASS","✘ FAIL"))</f>
        <v/>
      </c>
      <c r="H35" s="22">
        <f>IF('Ticker Data'!A34="","",(('Ticker Data'!K34/100)))</f>
        <v/>
      </c>
      <c r="I35" s="23">
        <f>IF(OR('Ticker Data'!A34="",'Ticker Data'!J34=0),"",'Ticker Data'!I34/'Ticker Data'!J34)</f>
        <v/>
      </c>
      <c r="J35" s="24">
        <f>IF(OR('Ticker Data'!A34="",'Ticker Data'!G34=0),"",('Ticker Data'!C34-'Ticker Data'!G34)/'Ticker Data'!G34)</f>
        <v/>
      </c>
      <c r="K35" s="24">
        <f>IF(OR('Ticker Data'!A34="",'Ticker Data'!D34=0),"",('Ticker Data'!C34-'Ticker Data'!D34)/'Ticker Data'!D34)</f>
        <v/>
      </c>
      <c r="L35" s="22">
        <f>IF(OR('Ticker Data'!A34="",'Ticker Data'!F34=0),"",'Ticker Data'!C34/'Ticker Data'!F34)</f>
        <v/>
      </c>
      <c r="M35" s="25">
        <f>IF(OR(C35="",H35=""),"",ROUND(PERCENTRANK($H$5:$H$54,H35)*100,1))</f>
        <v/>
      </c>
      <c r="N35" s="25">
        <f>IF(OR(C35="",I35=""),"",ROUND(PERCENTRANK($I$5:$I$54,I35)*100,1))</f>
        <v/>
      </c>
      <c r="O35" s="25">
        <f>IF(OR(C35="",J35=""),"",ROUND(PERCENTRANK($J$5:$J$54,J35)*100,1))</f>
        <v/>
      </c>
      <c r="P35" s="25">
        <f>IF(OR(C35="",K35=""),"",ROUND(PERCENTRANK($K$5:$K$54,K35)*100,1))</f>
        <v/>
      </c>
      <c r="Q35" s="25">
        <f>IF(OR(A35="",D35=""),"",ROUND(M35*0.3+N35*0.25+O35*0.25+P35*0.2,1))</f>
        <v/>
      </c>
      <c r="R35" s="21">
        <f>IF(OR(A35="",S35&lt;&gt;"✔ ALL PASS"),"",RANK(Q35,$Q$5:$Q$54,0))</f>
        <v/>
      </c>
      <c r="S35" s="21">
        <f>IF(A35="","",IF(AND(D35="✔ PASS",E35="✔ PASS",F35="✔ PASS",G35="✔ PASS"),"✔ ALL PASS","✘ FILTERED"))</f>
        <v/>
      </c>
      <c r="T35" s="21">
        <f>IF(OR(A35="",S35&lt;&gt;"✔ ALL PASS",R35=""),"",IF(R35&lt;=20,"🟢 BUY SIGNAL","—"))</f>
        <v/>
      </c>
    </row>
    <row r="36" ht="18" customHeight="1">
      <c r="A36" s="20">
        <f>IF('Ticker Data'!A35="","",'Ticker Data'!A35)</f>
        <v/>
      </c>
      <c r="B36" s="20">
        <f>IF('Ticker Data'!A35="","",'Ticker Data'!B35)</f>
        <v/>
      </c>
      <c r="C36" s="20">
        <f>IF('Ticker Data'!A35="","",'Ticker Data'!L35)</f>
        <v/>
      </c>
      <c r="D36" s="21">
        <f>IF('Ticker Data'!A35="","",IF(AND('Ticker Data'!C35&gt;'Ticker Data'!D35,'Ticker Data'!D35&gt;'Ticker Data'!E35,'Ticker Data'!E35&gt;0),"✔ PASS","✘ FAIL"))</f>
        <v/>
      </c>
      <c r="E36" s="21">
        <f>IF('Ticker Data'!A35="","",IF('Ticker Data'!C35&gt;='Ticker Data'!F35*0.85,"✔ PASS","✘ FAIL"))</f>
        <v/>
      </c>
      <c r="F36" s="21">
        <f>IF('Ticker Data'!A35="","",IF('Ticker Data'!C35&gt;='Ticker Data'!G35,"✔ PASS","✘ FAIL"))</f>
        <v/>
      </c>
      <c r="G36" s="21">
        <f>IF('Ticker Data'!A35="","",IF('Ticker Data'!I35&gt;'Ticker Data'!J35,"✔ PASS","✘ FAIL"))</f>
        <v/>
      </c>
      <c r="H36" s="22">
        <f>IF('Ticker Data'!A35="","",(('Ticker Data'!K35/100)))</f>
        <v/>
      </c>
      <c r="I36" s="23">
        <f>IF(OR('Ticker Data'!A35="",'Ticker Data'!J35=0),"",'Ticker Data'!I35/'Ticker Data'!J35)</f>
        <v/>
      </c>
      <c r="J36" s="24">
        <f>IF(OR('Ticker Data'!A35="",'Ticker Data'!G35=0),"",('Ticker Data'!C35-'Ticker Data'!G35)/'Ticker Data'!G35)</f>
        <v/>
      </c>
      <c r="K36" s="24">
        <f>IF(OR('Ticker Data'!A35="",'Ticker Data'!D35=0),"",('Ticker Data'!C35-'Ticker Data'!D35)/'Ticker Data'!D35)</f>
        <v/>
      </c>
      <c r="L36" s="22">
        <f>IF(OR('Ticker Data'!A35="",'Ticker Data'!F35=0),"",'Ticker Data'!C35/'Ticker Data'!F35)</f>
        <v/>
      </c>
      <c r="M36" s="25">
        <f>IF(OR(C36="",H36=""),"",ROUND(PERCENTRANK($H$5:$H$54,H36)*100,1))</f>
        <v/>
      </c>
      <c r="N36" s="25">
        <f>IF(OR(C36="",I36=""),"",ROUND(PERCENTRANK($I$5:$I$54,I36)*100,1))</f>
        <v/>
      </c>
      <c r="O36" s="25">
        <f>IF(OR(C36="",J36=""),"",ROUND(PERCENTRANK($J$5:$J$54,J36)*100,1))</f>
        <v/>
      </c>
      <c r="P36" s="25">
        <f>IF(OR(C36="",K36=""),"",ROUND(PERCENTRANK($K$5:$K$54,K36)*100,1))</f>
        <v/>
      </c>
      <c r="Q36" s="25">
        <f>IF(OR(A36="",D36=""),"",ROUND(M36*0.3+N36*0.25+O36*0.25+P36*0.2,1))</f>
        <v/>
      </c>
      <c r="R36" s="21">
        <f>IF(OR(A36="",S36&lt;&gt;"✔ ALL PASS"),"",RANK(Q36,$Q$5:$Q$54,0))</f>
        <v/>
      </c>
      <c r="S36" s="21">
        <f>IF(A36="","",IF(AND(D36="✔ PASS",E36="✔ PASS",F36="✔ PASS",G36="✔ PASS"),"✔ ALL PASS","✘ FILTERED"))</f>
        <v/>
      </c>
      <c r="T36" s="21">
        <f>IF(OR(A36="",S36&lt;&gt;"✔ ALL PASS",R36=""),"",IF(R36&lt;=20,"🟢 BUY SIGNAL","—"))</f>
        <v/>
      </c>
    </row>
    <row r="37" ht="18" customHeight="1">
      <c r="A37" s="20">
        <f>IF('Ticker Data'!A36="","",'Ticker Data'!A36)</f>
        <v/>
      </c>
      <c r="B37" s="20">
        <f>IF('Ticker Data'!A36="","",'Ticker Data'!B36)</f>
        <v/>
      </c>
      <c r="C37" s="20">
        <f>IF('Ticker Data'!A36="","",'Ticker Data'!L36)</f>
        <v/>
      </c>
      <c r="D37" s="21">
        <f>IF('Ticker Data'!A36="","",IF(AND('Ticker Data'!C36&gt;'Ticker Data'!D36,'Ticker Data'!D36&gt;'Ticker Data'!E36,'Ticker Data'!E36&gt;0),"✔ PASS","✘ FAIL"))</f>
        <v/>
      </c>
      <c r="E37" s="21">
        <f>IF('Ticker Data'!A36="","",IF('Ticker Data'!C36&gt;='Ticker Data'!F36*0.85,"✔ PASS","✘ FAIL"))</f>
        <v/>
      </c>
      <c r="F37" s="21">
        <f>IF('Ticker Data'!A36="","",IF('Ticker Data'!C36&gt;='Ticker Data'!G36,"✔ PASS","✘ FAIL"))</f>
        <v/>
      </c>
      <c r="G37" s="21">
        <f>IF('Ticker Data'!A36="","",IF('Ticker Data'!I36&gt;'Ticker Data'!J36,"✔ PASS","✘ FAIL"))</f>
        <v/>
      </c>
      <c r="H37" s="22">
        <f>IF('Ticker Data'!A36="","",(('Ticker Data'!K36/100)))</f>
        <v/>
      </c>
      <c r="I37" s="23">
        <f>IF(OR('Ticker Data'!A36="",'Ticker Data'!J36=0),"",'Ticker Data'!I36/'Ticker Data'!J36)</f>
        <v/>
      </c>
      <c r="J37" s="24">
        <f>IF(OR('Ticker Data'!A36="",'Ticker Data'!G36=0),"",('Ticker Data'!C36-'Ticker Data'!G36)/'Ticker Data'!G36)</f>
        <v/>
      </c>
      <c r="K37" s="24">
        <f>IF(OR('Ticker Data'!A36="",'Ticker Data'!D36=0),"",('Ticker Data'!C36-'Ticker Data'!D36)/'Ticker Data'!D36)</f>
        <v/>
      </c>
      <c r="L37" s="22">
        <f>IF(OR('Ticker Data'!A36="",'Ticker Data'!F36=0),"",'Ticker Data'!C36/'Ticker Data'!F36)</f>
        <v/>
      </c>
      <c r="M37" s="25">
        <f>IF(OR(C37="",H37=""),"",ROUND(PERCENTRANK($H$5:$H$54,H37)*100,1))</f>
        <v/>
      </c>
      <c r="N37" s="25">
        <f>IF(OR(C37="",I37=""),"",ROUND(PERCENTRANK($I$5:$I$54,I37)*100,1))</f>
        <v/>
      </c>
      <c r="O37" s="25">
        <f>IF(OR(C37="",J37=""),"",ROUND(PERCENTRANK($J$5:$J$54,J37)*100,1))</f>
        <v/>
      </c>
      <c r="P37" s="25">
        <f>IF(OR(C37="",K37=""),"",ROUND(PERCENTRANK($K$5:$K$54,K37)*100,1))</f>
        <v/>
      </c>
      <c r="Q37" s="25">
        <f>IF(OR(A37="",D37=""),"",ROUND(M37*0.3+N37*0.25+O37*0.25+P37*0.2,1))</f>
        <v/>
      </c>
      <c r="R37" s="21">
        <f>IF(OR(A37="",S37&lt;&gt;"✔ ALL PASS"),"",RANK(Q37,$Q$5:$Q$54,0))</f>
        <v/>
      </c>
      <c r="S37" s="21">
        <f>IF(A37="","",IF(AND(D37="✔ PASS",E37="✔ PASS",F37="✔ PASS",G37="✔ PASS"),"✔ ALL PASS","✘ FILTERED"))</f>
        <v/>
      </c>
      <c r="T37" s="21">
        <f>IF(OR(A37="",S37&lt;&gt;"✔ ALL PASS",R37=""),"",IF(R37&lt;=20,"🟢 BUY SIGNAL","—"))</f>
        <v/>
      </c>
    </row>
    <row r="38" ht="18" customHeight="1">
      <c r="A38" s="20">
        <f>IF('Ticker Data'!A37="","",'Ticker Data'!A37)</f>
        <v/>
      </c>
      <c r="B38" s="20">
        <f>IF('Ticker Data'!A37="","",'Ticker Data'!B37)</f>
        <v/>
      </c>
      <c r="C38" s="20">
        <f>IF('Ticker Data'!A37="","",'Ticker Data'!L37)</f>
        <v/>
      </c>
      <c r="D38" s="21">
        <f>IF('Ticker Data'!A37="","",IF(AND('Ticker Data'!C37&gt;'Ticker Data'!D37,'Ticker Data'!D37&gt;'Ticker Data'!E37,'Ticker Data'!E37&gt;0),"✔ PASS","✘ FAIL"))</f>
        <v/>
      </c>
      <c r="E38" s="21">
        <f>IF('Ticker Data'!A37="","",IF('Ticker Data'!C37&gt;='Ticker Data'!F37*0.85,"✔ PASS","✘ FAIL"))</f>
        <v/>
      </c>
      <c r="F38" s="21">
        <f>IF('Ticker Data'!A37="","",IF('Ticker Data'!C37&gt;='Ticker Data'!G37,"✔ PASS","✘ FAIL"))</f>
        <v/>
      </c>
      <c r="G38" s="21">
        <f>IF('Ticker Data'!A37="","",IF('Ticker Data'!I37&gt;'Ticker Data'!J37,"✔ PASS","✘ FAIL"))</f>
        <v/>
      </c>
      <c r="H38" s="22">
        <f>IF('Ticker Data'!A37="","",(('Ticker Data'!K37/100)))</f>
        <v/>
      </c>
      <c r="I38" s="23">
        <f>IF(OR('Ticker Data'!A37="",'Ticker Data'!J37=0),"",'Ticker Data'!I37/'Ticker Data'!J37)</f>
        <v/>
      </c>
      <c r="J38" s="24">
        <f>IF(OR('Ticker Data'!A37="",'Ticker Data'!G37=0),"",('Ticker Data'!C37-'Ticker Data'!G37)/'Ticker Data'!G37)</f>
        <v/>
      </c>
      <c r="K38" s="24">
        <f>IF(OR('Ticker Data'!A37="",'Ticker Data'!D37=0),"",('Ticker Data'!C37-'Ticker Data'!D37)/'Ticker Data'!D37)</f>
        <v/>
      </c>
      <c r="L38" s="22">
        <f>IF(OR('Ticker Data'!A37="",'Ticker Data'!F37=0),"",'Ticker Data'!C37/'Ticker Data'!F37)</f>
        <v/>
      </c>
      <c r="M38" s="25">
        <f>IF(OR(C38="",H38=""),"",ROUND(PERCENTRANK($H$5:$H$54,H38)*100,1))</f>
        <v/>
      </c>
      <c r="N38" s="25">
        <f>IF(OR(C38="",I38=""),"",ROUND(PERCENTRANK($I$5:$I$54,I38)*100,1))</f>
        <v/>
      </c>
      <c r="O38" s="25">
        <f>IF(OR(C38="",J38=""),"",ROUND(PERCENTRANK($J$5:$J$54,J38)*100,1))</f>
        <v/>
      </c>
      <c r="P38" s="25">
        <f>IF(OR(C38="",K38=""),"",ROUND(PERCENTRANK($K$5:$K$54,K38)*100,1))</f>
        <v/>
      </c>
      <c r="Q38" s="25">
        <f>IF(OR(A38="",D38=""),"",ROUND(M38*0.3+N38*0.25+O38*0.25+P38*0.2,1))</f>
        <v/>
      </c>
      <c r="R38" s="21">
        <f>IF(OR(A38="",S38&lt;&gt;"✔ ALL PASS"),"",RANK(Q38,$Q$5:$Q$54,0))</f>
        <v/>
      </c>
      <c r="S38" s="21">
        <f>IF(A38="","",IF(AND(D38="✔ PASS",E38="✔ PASS",F38="✔ PASS",G38="✔ PASS"),"✔ ALL PASS","✘ FILTERED"))</f>
        <v/>
      </c>
      <c r="T38" s="21">
        <f>IF(OR(A38="",S38&lt;&gt;"✔ ALL PASS",R38=""),"",IF(R38&lt;=20,"🟢 BUY SIGNAL","—"))</f>
        <v/>
      </c>
    </row>
    <row r="39" ht="18" customHeight="1">
      <c r="A39" s="20">
        <f>IF('Ticker Data'!A38="","",'Ticker Data'!A38)</f>
        <v/>
      </c>
      <c r="B39" s="20">
        <f>IF('Ticker Data'!A38="","",'Ticker Data'!B38)</f>
        <v/>
      </c>
      <c r="C39" s="20">
        <f>IF('Ticker Data'!A38="","",'Ticker Data'!L38)</f>
        <v/>
      </c>
      <c r="D39" s="21">
        <f>IF('Ticker Data'!A38="","",IF(AND('Ticker Data'!C38&gt;'Ticker Data'!D38,'Ticker Data'!D38&gt;'Ticker Data'!E38,'Ticker Data'!E38&gt;0),"✔ PASS","✘ FAIL"))</f>
        <v/>
      </c>
      <c r="E39" s="21">
        <f>IF('Ticker Data'!A38="","",IF('Ticker Data'!C38&gt;='Ticker Data'!F38*0.85,"✔ PASS","✘ FAIL"))</f>
        <v/>
      </c>
      <c r="F39" s="21">
        <f>IF('Ticker Data'!A38="","",IF('Ticker Data'!C38&gt;='Ticker Data'!G38,"✔ PASS","✘ FAIL"))</f>
        <v/>
      </c>
      <c r="G39" s="21">
        <f>IF('Ticker Data'!A38="","",IF('Ticker Data'!I38&gt;'Ticker Data'!J38,"✔ PASS","✘ FAIL"))</f>
        <v/>
      </c>
      <c r="H39" s="22">
        <f>IF('Ticker Data'!A38="","",(('Ticker Data'!K38/100)))</f>
        <v/>
      </c>
      <c r="I39" s="23">
        <f>IF(OR('Ticker Data'!A38="",'Ticker Data'!J38=0),"",'Ticker Data'!I38/'Ticker Data'!J38)</f>
        <v/>
      </c>
      <c r="J39" s="24">
        <f>IF(OR('Ticker Data'!A38="",'Ticker Data'!G38=0),"",('Ticker Data'!C38-'Ticker Data'!G38)/'Ticker Data'!G38)</f>
        <v/>
      </c>
      <c r="K39" s="24">
        <f>IF(OR('Ticker Data'!A38="",'Ticker Data'!D38=0),"",('Ticker Data'!C38-'Ticker Data'!D38)/'Ticker Data'!D38)</f>
        <v/>
      </c>
      <c r="L39" s="22">
        <f>IF(OR('Ticker Data'!A38="",'Ticker Data'!F38=0),"",'Ticker Data'!C38/'Ticker Data'!F38)</f>
        <v/>
      </c>
      <c r="M39" s="25">
        <f>IF(OR(C39="",H39=""),"",ROUND(PERCENTRANK($H$5:$H$54,H39)*100,1))</f>
        <v/>
      </c>
      <c r="N39" s="25">
        <f>IF(OR(C39="",I39=""),"",ROUND(PERCENTRANK($I$5:$I$54,I39)*100,1))</f>
        <v/>
      </c>
      <c r="O39" s="25">
        <f>IF(OR(C39="",J39=""),"",ROUND(PERCENTRANK($J$5:$J$54,J39)*100,1))</f>
        <v/>
      </c>
      <c r="P39" s="25">
        <f>IF(OR(C39="",K39=""),"",ROUND(PERCENTRANK($K$5:$K$54,K39)*100,1))</f>
        <v/>
      </c>
      <c r="Q39" s="25">
        <f>IF(OR(A39="",D39=""),"",ROUND(M39*0.3+N39*0.25+O39*0.25+P39*0.2,1))</f>
        <v/>
      </c>
      <c r="R39" s="21">
        <f>IF(OR(A39="",S39&lt;&gt;"✔ ALL PASS"),"",RANK(Q39,$Q$5:$Q$54,0))</f>
        <v/>
      </c>
      <c r="S39" s="21">
        <f>IF(A39="","",IF(AND(D39="✔ PASS",E39="✔ PASS",F39="✔ PASS",G39="✔ PASS"),"✔ ALL PASS","✘ FILTERED"))</f>
        <v/>
      </c>
      <c r="T39" s="21">
        <f>IF(OR(A39="",S39&lt;&gt;"✔ ALL PASS",R39=""),"",IF(R39&lt;=20,"🟢 BUY SIGNAL","—"))</f>
        <v/>
      </c>
    </row>
    <row r="40" ht="18" customHeight="1">
      <c r="A40" s="20">
        <f>IF('Ticker Data'!A39="","",'Ticker Data'!A39)</f>
        <v/>
      </c>
      <c r="B40" s="20">
        <f>IF('Ticker Data'!A39="","",'Ticker Data'!B39)</f>
        <v/>
      </c>
      <c r="C40" s="20">
        <f>IF('Ticker Data'!A39="","",'Ticker Data'!L39)</f>
        <v/>
      </c>
      <c r="D40" s="21">
        <f>IF('Ticker Data'!A39="","",IF(AND('Ticker Data'!C39&gt;'Ticker Data'!D39,'Ticker Data'!D39&gt;'Ticker Data'!E39,'Ticker Data'!E39&gt;0),"✔ PASS","✘ FAIL"))</f>
        <v/>
      </c>
      <c r="E40" s="21">
        <f>IF('Ticker Data'!A39="","",IF('Ticker Data'!C39&gt;='Ticker Data'!F39*0.85,"✔ PASS","✘ FAIL"))</f>
        <v/>
      </c>
      <c r="F40" s="21">
        <f>IF('Ticker Data'!A39="","",IF('Ticker Data'!C39&gt;='Ticker Data'!G39,"✔ PASS","✘ FAIL"))</f>
        <v/>
      </c>
      <c r="G40" s="21">
        <f>IF('Ticker Data'!A39="","",IF('Ticker Data'!I39&gt;'Ticker Data'!J39,"✔ PASS","✘ FAIL"))</f>
        <v/>
      </c>
      <c r="H40" s="22">
        <f>IF('Ticker Data'!A39="","",(('Ticker Data'!K39/100)))</f>
        <v/>
      </c>
      <c r="I40" s="23">
        <f>IF(OR('Ticker Data'!A39="",'Ticker Data'!J39=0),"",'Ticker Data'!I39/'Ticker Data'!J39)</f>
        <v/>
      </c>
      <c r="J40" s="24">
        <f>IF(OR('Ticker Data'!A39="",'Ticker Data'!G39=0),"",('Ticker Data'!C39-'Ticker Data'!G39)/'Ticker Data'!G39)</f>
        <v/>
      </c>
      <c r="K40" s="24">
        <f>IF(OR('Ticker Data'!A39="",'Ticker Data'!D39=0),"",('Ticker Data'!C39-'Ticker Data'!D39)/'Ticker Data'!D39)</f>
        <v/>
      </c>
      <c r="L40" s="22">
        <f>IF(OR('Ticker Data'!A39="",'Ticker Data'!F39=0),"",'Ticker Data'!C39/'Ticker Data'!F39)</f>
        <v/>
      </c>
      <c r="M40" s="25">
        <f>IF(OR(C40="",H40=""),"",ROUND(PERCENTRANK($H$5:$H$54,H40)*100,1))</f>
        <v/>
      </c>
      <c r="N40" s="25">
        <f>IF(OR(C40="",I40=""),"",ROUND(PERCENTRANK($I$5:$I$54,I40)*100,1))</f>
        <v/>
      </c>
      <c r="O40" s="25">
        <f>IF(OR(C40="",J40=""),"",ROUND(PERCENTRANK($J$5:$J$54,J40)*100,1))</f>
        <v/>
      </c>
      <c r="P40" s="25">
        <f>IF(OR(C40="",K40=""),"",ROUND(PERCENTRANK($K$5:$K$54,K40)*100,1))</f>
        <v/>
      </c>
      <c r="Q40" s="25">
        <f>IF(OR(A40="",D40=""),"",ROUND(M40*0.3+N40*0.25+O40*0.25+P40*0.2,1))</f>
        <v/>
      </c>
      <c r="R40" s="21">
        <f>IF(OR(A40="",S40&lt;&gt;"✔ ALL PASS"),"",RANK(Q40,$Q$5:$Q$54,0))</f>
        <v/>
      </c>
      <c r="S40" s="21">
        <f>IF(A40="","",IF(AND(D40="✔ PASS",E40="✔ PASS",F40="✔ PASS",G40="✔ PASS"),"✔ ALL PASS","✘ FILTERED"))</f>
        <v/>
      </c>
      <c r="T40" s="21">
        <f>IF(OR(A40="",S40&lt;&gt;"✔ ALL PASS",R40=""),"",IF(R40&lt;=20,"🟢 BUY SIGNAL","—"))</f>
        <v/>
      </c>
    </row>
    <row r="41" ht="18" customHeight="1">
      <c r="A41" s="20">
        <f>IF('Ticker Data'!A40="","",'Ticker Data'!A40)</f>
        <v/>
      </c>
      <c r="B41" s="20">
        <f>IF('Ticker Data'!A40="","",'Ticker Data'!B40)</f>
        <v/>
      </c>
      <c r="C41" s="20">
        <f>IF('Ticker Data'!A40="","",'Ticker Data'!L40)</f>
        <v/>
      </c>
      <c r="D41" s="21">
        <f>IF('Ticker Data'!A40="","",IF(AND('Ticker Data'!C40&gt;'Ticker Data'!D40,'Ticker Data'!D40&gt;'Ticker Data'!E40,'Ticker Data'!E40&gt;0),"✔ PASS","✘ FAIL"))</f>
        <v/>
      </c>
      <c r="E41" s="21">
        <f>IF('Ticker Data'!A40="","",IF('Ticker Data'!C40&gt;='Ticker Data'!F40*0.85,"✔ PASS","✘ FAIL"))</f>
        <v/>
      </c>
      <c r="F41" s="21">
        <f>IF('Ticker Data'!A40="","",IF('Ticker Data'!C40&gt;='Ticker Data'!G40,"✔ PASS","✘ FAIL"))</f>
        <v/>
      </c>
      <c r="G41" s="21">
        <f>IF('Ticker Data'!A40="","",IF('Ticker Data'!I40&gt;'Ticker Data'!J40,"✔ PASS","✘ FAIL"))</f>
        <v/>
      </c>
      <c r="H41" s="22">
        <f>IF('Ticker Data'!A40="","",(('Ticker Data'!K40/100)))</f>
        <v/>
      </c>
      <c r="I41" s="23">
        <f>IF(OR('Ticker Data'!A40="",'Ticker Data'!J40=0),"",'Ticker Data'!I40/'Ticker Data'!J40)</f>
        <v/>
      </c>
      <c r="J41" s="24">
        <f>IF(OR('Ticker Data'!A40="",'Ticker Data'!G40=0),"",('Ticker Data'!C40-'Ticker Data'!G40)/'Ticker Data'!G40)</f>
        <v/>
      </c>
      <c r="K41" s="24">
        <f>IF(OR('Ticker Data'!A40="",'Ticker Data'!D40=0),"",('Ticker Data'!C40-'Ticker Data'!D40)/'Ticker Data'!D40)</f>
        <v/>
      </c>
      <c r="L41" s="22">
        <f>IF(OR('Ticker Data'!A40="",'Ticker Data'!F40=0),"",'Ticker Data'!C40/'Ticker Data'!F40)</f>
        <v/>
      </c>
      <c r="M41" s="25">
        <f>IF(OR(C41="",H41=""),"",ROUND(PERCENTRANK($H$5:$H$54,H41)*100,1))</f>
        <v/>
      </c>
      <c r="N41" s="25">
        <f>IF(OR(C41="",I41=""),"",ROUND(PERCENTRANK($I$5:$I$54,I41)*100,1))</f>
        <v/>
      </c>
      <c r="O41" s="25">
        <f>IF(OR(C41="",J41=""),"",ROUND(PERCENTRANK($J$5:$J$54,J41)*100,1))</f>
        <v/>
      </c>
      <c r="P41" s="25">
        <f>IF(OR(C41="",K41=""),"",ROUND(PERCENTRANK($K$5:$K$54,K41)*100,1))</f>
        <v/>
      </c>
      <c r="Q41" s="25">
        <f>IF(OR(A41="",D41=""),"",ROUND(M41*0.3+N41*0.25+O41*0.25+P41*0.2,1))</f>
        <v/>
      </c>
      <c r="R41" s="21">
        <f>IF(OR(A41="",S41&lt;&gt;"✔ ALL PASS"),"",RANK(Q41,$Q$5:$Q$54,0))</f>
        <v/>
      </c>
      <c r="S41" s="21">
        <f>IF(A41="","",IF(AND(D41="✔ PASS",E41="✔ PASS",F41="✔ PASS",G41="✔ PASS"),"✔ ALL PASS","✘ FILTERED"))</f>
        <v/>
      </c>
      <c r="T41" s="21">
        <f>IF(OR(A41="",S41&lt;&gt;"✔ ALL PASS",R41=""),"",IF(R41&lt;=20,"🟢 BUY SIGNAL","—"))</f>
        <v/>
      </c>
    </row>
    <row r="42" ht="18" customHeight="1">
      <c r="A42" s="20">
        <f>IF('Ticker Data'!A41="","",'Ticker Data'!A41)</f>
        <v/>
      </c>
      <c r="B42" s="20">
        <f>IF('Ticker Data'!A41="","",'Ticker Data'!B41)</f>
        <v/>
      </c>
      <c r="C42" s="20">
        <f>IF('Ticker Data'!A41="","",'Ticker Data'!L41)</f>
        <v/>
      </c>
      <c r="D42" s="21">
        <f>IF('Ticker Data'!A41="","",IF(AND('Ticker Data'!C41&gt;'Ticker Data'!D41,'Ticker Data'!D41&gt;'Ticker Data'!E41,'Ticker Data'!E41&gt;0),"✔ PASS","✘ FAIL"))</f>
        <v/>
      </c>
      <c r="E42" s="21">
        <f>IF('Ticker Data'!A41="","",IF('Ticker Data'!C41&gt;='Ticker Data'!F41*0.85,"✔ PASS","✘ FAIL"))</f>
        <v/>
      </c>
      <c r="F42" s="21">
        <f>IF('Ticker Data'!A41="","",IF('Ticker Data'!C41&gt;='Ticker Data'!G41,"✔ PASS","✘ FAIL"))</f>
        <v/>
      </c>
      <c r="G42" s="21">
        <f>IF('Ticker Data'!A41="","",IF('Ticker Data'!I41&gt;'Ticker Data'!J41,"✔ PASS","✘ FAIL"))</f>
        <v/>
      </c>
      <c r="H42" s="22">
        <f>IF('Ticker Data'!A41="","",(('Ticker Data'!K41/100)))</f>
        <v/>
      </c>
      <c r="I42" s="23">
        <f>IF(OR('Ticker Data'!A41="",'Ticker Data'!J41=0),"",'Ticker Data'!I41/'Ticker Data'!J41)</f>
        <v/>
      </c>
      <c r="J42" s="24">
        <f>IF(OR('Ticker Data'!A41="",'Ticker Data'!G41=0),"",('Ticker Data'!C41-'Ticker Data'!G41)/'Ticker Data'!G41)</f>
        <v/>
      </c>
      <c r="K42" s="24">
        <f>IF(OR('Ticker Data'!A41="",'Ticker Data'!D41=0),"",('Ticker Data'!C41-'Ticker Data'!D41)/'Ticker Data'!D41)</f>
        <v/>
      </c>
      <c r="L42" s="22">
        <f>IF(OR('Ticker Data'!A41="",'Ticker Data'!F41=0),"",'Ticker Data'!C41/'Ticker Data'!F41)</f>
        <v/>
      </c>
      <c r="M42" s="25">
        <f>IF(OR(C42="",H42=""),"",ROUND(PERCENTRANK($H$5:$H$54,H42)*100,1))</f>
        <v/>
      </c>
      <c r="N42" s="25">
        <f>IF(OR(C42="",I42=""),"",ROUND(PERCENTRANK($I$5:$I$54,I42)*100,1))</f>
        <v/>
      </c>
      <c r="O42" s="25">
        <f>IF(OR(C42="",J42=""),"",ROUND(PERCENTRANK($J$5:$J$54,J42)*100,1))</f>
        <v/>
      </c>
      <c r="P42" s="25">
        <f>IF(OR(C42="",K42=""),"",ROUND(PERCENTRANK($K$5:$K$54,K42)*100,1))</f>
        <v/>
      </c>
      <c r="Q42" s="25">
        <f>IF(OR(A42="",D42=""),"",ROUND(M42*0.3+N42*0.25+O42*0.25+P42*0.2,1))</f>
        <v/>
      </c>
      <c r="R42" s="21">
        <f>IF(OR(A42="",S42&lt;&gt;"✔ ALL PASS"),"",RANK(Q42,$Q$5:$Q$54,0))</f>
        <v/>
      </c>
      <c r="S42" s="21">
        <f>IF(A42="","",IF(AND(D42="✔ PASS",E42="✔ PASS",F42="✔ PASS",G42="✔ PASS"),"✔ ALL PASS","✘ FILTERED"))</f>
        <v/>
      </c>
      <c r="T42" s="21">
        <f>IF(OR(A42="",S42&lt;&gt;"✔ ALL PASS",R42=""),"",IF(R42&lt;=20,"🟢 BUY SIGNAL","—"))</f>
        <v/>
      </c>
    </row>
    <row r="43" ht="18" customHeight="1">
      <c r="A43" s="20">
        <f>IF('Ticker Data'!A42="","",'Ticker Data'!A42)</f>
        <v/>
      </c>
      <c r="B43" s="20">
        <f>IF('Ticker Data'!A42="","",'Ticker Data'!B42)</f>
        <v/>
      </c>
      <c r="C43" s="20">
        <f>IF('Ticker Data'!A42="","",'Ticker Data'!L42)</f>
        <v/>
      </c>
      <c r="D43" s="21">
        <f>IF('Ticker Data'!A42="","",IF(AND('Ticker Data'!C42&gt;'Ticker Data'!D42,'Ticker Data'!D42&gt;'Ticker Data'!E42,'Ticker Data'!E42&gt;0),"✔ PASS","✘ FAIL"))</f>
        <v/>
      </c>
      <c r="E43" s="21">
        <f>IF('Ticker Data'!A42="","",IF('Ticker Data'!C42&gt;='Ticker Data'!F42*0.85,"✔ PASS","✘ FAIL"))</f>
        <v/>
      </c>
      <c r="F43" s="21">
        <f>IF('Ticker Data'!A42="","",IF('Ticker Data'!C42&gt;='Ticker Data'!G42,"✔ PASS","✘ FAIL"))</f>
        <v/>
      </c>
      <c r="G43" s="21">
        <f>IF('Ticker Data'!A42="","",IF('Ticker Data'!I42&gt;'Ticker Data'!J42,"✔ PASS","✘ FAIL"))</f>
        <v/>
      </c>
      <c r="H43" s="22">
        <f>IF('Ticker Data'!A42="","",(('Ticker Data'!K42/100)))</f>
        <v/>
      </c>
      <c r="I43" s="23">
        <f>IF(OR('Ticker Data'!A42="",'Ticker Data'!J42=0),"",'Ticker Data'!I42/'Ticker Data'!J42)</f>
        <v/>
      </c>
      <c r="J43" s="24">
        <f>IF(OR('Ticker Data'!A42="",'Ticker Data'!G42=0),"",('Ticker Data'!C42-'Ticker Data'!G42)/'Ticker Data'!G42)</f>
        <v/>
      </c>
      <c r="K43" s="24">
        <f>IF(OR('Ticker Data'!A42="",'Ticker Data'!D42=0),"",('Ticker Data'!C42-'Ticker Data'!D42)/'Ticker Data'!D42)</f>
        <v/>
      </c>
      <c r="L43" s="22">
        <f>IF(OR('Ticker Data'!A42="",'Ticker Data'!F42=0),"",'Ticker Data'!C42/'Ticker Data'!F42)</f>
        <v/>
      </c>
      <c r="M43" s="25">
        <f>IF(OR(C43="",H43=""),"",ROUND(PERCENTRANK($H$5:$H$54,H43)*100,1))</f>
        <v/>
      </c>
      <c r="N43" s="25">
        <f>IF(OR(C43="",I43=""),"",ROUND(PERCENTRANK($I$5:$I$54,I43)*100,1))</f>
        <v/>
      </c>
      <c r="O43" s="25">
        <f>IF(OR(C43="",J43=""),"",ROUND(PERCENTRANK($J$5:$J$54,J43)*100,1))</f>
        <v/>
      </c>
      <c r="P43" s="25">
        <f>IF(OR(C43="",K43=""),"",ROUND(PERCENTRANK($K$5:$K$54,K43)*100,1))</f>
        <v/>
      </c>
      <c r="Q43" s="25">
        <f>IF(OR(A43="",D43=""),"",ROUND(M43*0.3+N43*0.25+O43*0.25+P43*0.2,1))</f>
        <v/>
      </c>
      <c r="R43" s="21">
        <f>IF(OR(A43="",S43&lt;&gt;"✔ ALL PASS"),"",RANK(Q43,$Q$5:$Q$54,0))</f>
        <v/>
      </c>
      <c r="S43" s="21">
        <f>IF(A43="","",IF(AND(D43="✔ PASS",E43="✔ PASS",F43="✔ PASS",G43="✔ PASS"),"✔ ALL PASS","✘ FILTERED"))</f>
        <v/>
      </c>
      <c r="T43" s="21">
        <f>IF(OR(A43="",S43&lt;&gt;"✔ ALL PASS",R43=""),"",IF(R43&lt;=20,"🟢 BUY SIGNAL","—"))</f>
        <v/>
      </c>
    </row>
    <row r="44" ht="18" customHeight="1">
      <c r="A44" s="20">
        <f>IF('Ticker Data'!A43="","",'Ticker Data'!A43)</f>
        <v/>
      </c>
      <c r="B44" s="20">
        <f>IF('Ticker Data'!A43="","",'Ticker Data'!B43)</f>
        <v/>
      </c>
      <c r="C44" s="20">
        <f>IF('Ticker Data'!A43="","",'Ticker Data'!L43)</f>
        <v/>
      </c>
      <c r="D44" s="21">
        <f>IF('Ticker Data'!A43="","",IF(AND('Ticker Data'!C43&gt;'Ticker Data'!D43,'Ticker Data'!D43&gt;'Ticker Data'!E43,'Ticker Data'!E43&gt;0),"✔ PASS","✘ FAIL"))</f>
        <v/>
      </c>
      <c r="E44" s="21">
        <f>IF('Ticker Data'!A43="","",IF('Ticker Data'!C43&gt;='Ticker Data'!F43*0.85,"✔ PASS","✘ FAIL"))</f>
        <v/>
      </c>
      <c r="F44" s="21">
        <f>IF('Ticker Data'!A43="","",IF('Ticker Data'!C43&gt;='Ticker Data'!G43,"✔ PASS","✘ FAIL"))</f>
        <v/>
      </c>
      <c r="G44" s="21">
        <f>IF('Ticker Data'!A43="","",IF('Ticker Data'!I43&gt;'Ticker Data'!J43,"✔ PASS","✘ FAIL"))</f>
        <v/>
      </c>
      <c r="H44" s="22">
        <f>IF('Ticker Data'!A43="","",(('Ticker Data'!K43/100)))</f>
        <v/>
      </c>
      <c r="I44" s="23">
        <f>IF(OR('Ticker Data'!A43="",'Ticker Data'!J43=0),"",'Ticker Data'!I43/'Ticker Data'!J43)</f>
        <v/>
      </c>
      <c r="J44" s="24">
        <f>IF(OR('Ticker Data'!A43="",'Ticker Data'!G43=0),"",('Ticker Data'!C43-'Ticker Data'!G43)/'Ticker Data'!G43)</f>
        <v/>
      </c>
      <c r="K44" s="24">
        <f>IF(OR('Ticker Data'!A43="",'Ticker Data'!D43=0),"",('Ticker Data'!C43-'Ticker Data'!D43)/'Ticker Data'!D43)</f>
        <v/>
      </c>
      <c r="L44" s="22">
        <f>IF(OR('Ticker Data'!A43="",'Ticker Data'!F43=0),"",'Ticker Data'!C43/'Ticker Data'!F43)</f>
        <v/>
      </c>
      <c r="M44" s="25">
        <f>IF(OR(C44="",H44=""),"",ROUND(PERCENTRANK($H$5:$H$54,H44)*100,1))</f>
        <v/>
      </c>
      <c r="N44" s="25">
        <f>IF(OR(C44="",I44=""),"",ROUND(PERCENTRANK($I$5:$I$54,I44)*100,1))</f>
        <v/>
      </c>
      <c r="O44" s="25">
        <f>IF(OR(C44="",J44=""),"",ROUND(PERCENTRANK($J$5:$J$54,J44)*100,1))</f>
        <v/>
      </c>
      <c r="P44" s="25">
        <f>IF(OR(C44="",K44=""),"",ROUND(PERCENTRANK($K$5:$K$54,K44)*100,1))</f>
        <v/>
      </c>
      <c r="Q44" s="25">
        <f>IF(OR(A44="",D44=""),"",ROUND(M44*0.3+N44*0.25+O44*0.25+P44*0.2,1))</f>
        <v/>
      </c>
      <c r="R44" s="21">
        <f>IF(OR(A44="",S44&lt;&gt;"✔ ALL PASS"),"",RANK(Q44,$Q$5:$Q$54,0))</f>
        <v/>
      </c>
      <c r="S44" s="21">
        <f>IF(A44="","",IF(AND(D44="✔ PASS",E44="✔ PASS",F44="✔ PASS",G44="✔ PASS"),"✔ ALL PASS","✘ FILTERED"))</f>
        <v/>
      </c>
      <c r="T44" s="21">
        <f>IF(OR(A44="",S44&lt;&gt;"✔ ALL PASS",R44=""),"",IF(R44&lt;=20,"🟢 BUY SIGNAL","—"))</f>
        <v/>
      </c>
    </row>
    <row r="45" ht="18" customHeight="1">
      <c r="A45" s="20">
        <f>IF('Ticker Data'!A44="","",'Ticker Data'!A44)</f>
        <v/>
      </c>
      <c r="B45" s="20">
        <f>IF('Ticker Data'!A44="","",'Ticker Data'!B44)</f>
        <v/>
      </c>
      <c r="C45" s="20">
        <f>IF('Ticker Data'!A44="","",'Ticker Data'!L44)</f>
        <v/>
      </c>
      <c r="D45" s="21">
        <f>IF('Ticker Data'!A44="","",IF(AND('Ticker Data'!C44&gt;'Ticker Data'!D44,'Ticker Data'!D44&gt;'Ticker Data'!E44,'Ticker Data'!E44&gt;0),"✔ PASS","✘ FAIL"))</f>
        <v/>
      </c>
      <c r="E45" s="21">
        <f>IF('Ticker Data'!A44="","",IF('Ticker Data'!C44&gt;='Ticker Data'!F44*0.85,"✔ PASS","✘ FAIL"))</f>
        <v/>
      </c>
      <c r="F45" s="21">
        <f>IF('Ticker Data'!A44="","",IF('Ticker Data'!C44&gt;='Ticker Data'!G44,"✔ PASS","✘ FAIL"))</f>
        <v/>
      </c>
      <c r="G45" s="21">
        <f>IF('Ticker Data'!A44="","",IF('Ticker Data'!I44&gt;'Ticker Data'!J44,"✔ PASS","✘ FAIL"))</f>
        <v/>
      </c>
      <c r="H45" s="22">
        <f>IF('Ticker Data'!A44="","",(('Ticker Data'!K44/100)))</f>
        <v/>
      </c>
      <c r="I45" s="23">
        <f>IF(OR('Ticker Data'!A44="",'Ticker Data'!J44=0),"",'Ticker Data'!I44/'Ticker Data'!J44)</f>
        <v/>
      </c>
      <c r="J45" s="24">
        <f>IF(OR('Ticker Data'!A44="",'Ticker Data'!G44=0),"",('Ticker Data'!C44-'Ticker Data'!G44)/'Ticker Data'!G44)</f>
        <v/>
      </c>
      <c r="K45" s="24">
        <f>IF(OR('Ticker Data'!A44="",'Ticker Data'!D44=0),"",('Ticker Data'!C44-'Ticker Data'!D44)/'Ticker Data'!D44)</f>
        <v/>
      </c>
      <c r="L45" s="22">
        <f>IF(OR('Ticker Data'!A44="",'Ticker Data'!F44=0),"",'Ticker Data'!C44/'Ticker Data'!F44)</f>
        <v/>
      </c>
      <c r="M45" s="25">
        <f>IF(OR(C45="",H45=""),"",ROUND(PERCENTRANK($H$5:$H$54,H45)*100,1))</f>
        <v/>
      </c>
      <c r="N45" s="25">
        <f>IF(OR(C45="",I45=""),"",ROUND(PERCENTRANK($I$5:$I$54,I45)*100,1))</f>
        <v/>
      </c>
      <c r="O45" s="25">
        <f>IF(OR(C45="",J45=""),"",ROUND(PERCENTRANK($J$5:$J$54,J45)*100,1))</f>
        <v/>
      </c>
      <c r="P45" s="25">
        <f>IF(OR(C45="",K45=""),"",ROUND(PERCENTRANK($K$5:$K$54,K45)*100,1))</f>
        <v/>
      </c>
      <c r="Q45" s="25">
        <f>IF(OR(A45="",D45=""),"",ROUND(M45*0.3+N45*0.25+O45*0.25+P45*0.2,1))</f>
        <v/>
      </c>
      <c r="R45" s="21">
        <f>IF(OR(A45="",S45&lt;&gt;"✔ ALL PASS"),"",RANK(Q45,$Q$5:$Q$54,0))</f>
        <v/>
      </c>
      <c r="S45" s="21">
        <f>IF(A45="","",IF(AND(D45="✔ PASS",E45="✔ PASS",F45="✔ PASS",G45="✔ PASS"),"✔ ALL PASS","✘ FILTERED"))</f>
        <v/>
      </c>
      <c r="T45" s="21">
        <f>IF(OR(A45="",S45&lt;&gt;"✔ ALL PASS",R45=""),"",IF(R45&lt;=20,"🟢 BUY SIGNAL","—"))</f>
        <v/>
      </c>
    </row>
    <row r="46" ht="18" customHeight="1">
      <c r="A46" s="20">
        <f>IF('Ticker Data'!A45="","",'Ticker Data'!A45)</f>
        <v/>
      </c>
      <c r="B46" s="20">
        <f>IF('Ticker Data'!A45="","",'Ticker Data'!B45)</f>
        <v/>
      </c>
      <c r="C46" s="20">
        <f>IF('Ticker Data'!A45="","",'Ticker Data'!L45)</f>
        <v/>
      </c>
      <c r="D46" s="21">
        <f>IF('Ticker Data'!A45="","",IF(AND('Ticker Data'!C45&gt;'Ticker Data'!D45,'Ticker Data'!D45&gt;'Ticker Data'!E45,'Ticker Data'!E45&gt;0),"✔ PASS","✘ FAIL"))</f>
        <v/>
      </c>
      <c r="E46" s="21">
        <f>IF('Ticker Data'!A45="","",IF('Ticker Data'!C45&gt;='Ticker Data'!F45*0.85,"✔ PASS","✘ FAIL"))</f>
        <v/>
      </c>
      <c r="F46" s="21">
        <f>IF('Ticker Data'!A45="","",IF('Ticker Data'!C45&gt;='Ticker Data'!G45,"✔ PASS","✘ FAIL"))</f>
        <v/>
      </c>
      <c r="G46" s="21">
        <f>IF('Ticker Data'!A45="","",IF('Ticker Data'!I45&gt;'Ticker Data'!J45,"✔ PASS","✘ FAIL"))</f>
        <v/>
      </c>
      <c r="H46" s="22">
        <f>IF('Ticker Data'!A45="","",(('Ticker Data'!K45/100)))</f>
        <v/>
      </c>
      <c r="I46" s="23">
        <f>IF(OR('Ticker Data'!A45="",'Ticker Data'!J45=0),"",'Ticker Data'!I45/'Ticker Data'!J45)</f>
        <v/>
      </c>
      <c r="J46" s="24">
        <f>IF(OR('Ticker Data'!A45="",'Ticker Data'!G45=0),"",('Ticker Data'!C45-'Ticker Data'!G45)/'Ticker Data'!G45)</f>
        <v/>
      </c>
      <c r="K46" s="24">
        <f>IF(OR('Ticker Data'!A45="",'Ticker Data'!D45=0),"",('Ticker Data'!C45-'Ticker Data'!D45)/'Ticker Data'!D45)</f>
        <v/>
      </c>
      <c r="L46" s="22">
        <f>IF(OR('Ticker Data'!A45="",'Ticker Data'!F45=0),"",'Ticker Data'!C45/'Ticker Data'!F45)</f>
        <v/>
      </c>
      <c r="M46" s="25">
        <f>IF(OR(C46="",H46=""),"",ROUND(PERCENTRANK($H$5:$H$54,H46)*100,1))</f>
        <v/>
      </c>
      <c r="N46" s="25">
        <f>IF(OR(C46="",I46=""),"",ROUND(PERCENTRANK($I$5:$I$54,I46)*100,1))</f>
        <v/>
      </c>
      <c r="O46" s="25">
        <f>IF(OR(C46="",J46=""),"",ROUND(PERCENTRANK($J$5:$J$54,J46)*100,1))</f>
        <v/>
      </c>
      <c r="P46" s="25">
        <f>IF(OR(C46="",K46=""),"",ROUND(PERCENTRANK($K$5:$K$54,K46)*100,1))</f>
        <v/>
      </c>
      <c r="Q46" s="25">
        <f>IF(OR(A46="",D46=""),"",ROUND(M46*0.3+N46*0.25+O46*0.25+P46*0.2,1))</f>
        <v/>
      </c>
      <c r="R46" s="21">
        <f>IF(OR(A46="",S46&lt;&gt;"✔ ALL PASS"),"",RANK(Q46,$Q$5:$Q$54,0))</f>
        <v/>
      </c>
      <c r="S46" s="21">
        <f>IF(A46="","",IF(AND(D46="✔ PASS",E46="✔ PASS",F46="✔ PASS",G46="✔ PASS"),"✔ ALL PASS","✘ FILTERED"))</f>
        <v/>
      </c>
      <c r="T46" s="21">
        <f>IF(OR(A46="",S46&lt;&gt;"✔ ALL PASS",R46=""),"",IF(R46&lt;=20,"🟢 BUY SIGNAL","—"))</f>
        <v/>
      </c>
    </row>
    <row r="47" ht="18" customHeight="1">
      <c r="A47" s="20">
        <f>IF('Ticker Data'!A46="","",'Ticker Data'!A46)</f>
        <v/>
      </c>
      <c r="B47" s="20">
        <f>IF('Ticker Data'!A46="","",'Ticker Data'!B46)</f>
        <v/>
      </c>
      <c r="C47" s="20">
        <f>IF('Ticker Data'!A46="","",'Ticker Data'!L46)</f>
        <v/>
      </c>
      <c r="D47" s="21">
        <f>IF('Ticker Data'!A46="","",IF(AND('Ticker Data'!C46&gt;'Ticker Data'!D46,'Ticker Data'!D46&gt;'Ticker Data'!E46,'Ticker Data'!E46&gt;0),"✔ PASS","✘ FAIL"))</f>
        <v/>
      </c>
      <c r="E47" s="21">
        <f>IF('Ticker Data'!A46="","",IF('Ticker Data'!C46&gt;='Ticker Data'!F46*0.85,"✔ PASS","✘ FAIL"))</f>
        <v/>
      </c>
      <c r="F47" s="21">
        <f>IF('Ticker Data'!A46="","",IF('Ticker Data'!C46&gt;='Ticker Data'!G46,"✔ PASS","✘ FAIL"))</f>
        <v/>
      </c>
      <c r="G47" s="21">
        <f>IF('Ticker Data'!A46="","",IF('Ticker Data'!I46&gt;'Ticker Data'!J46,"✔ PASS","✘ FAIL"))</f>
        <v/>
      </c>
      <c r="H47" s="22">
        <f>IF('Ticker Data'!A46="","",(('Ticker Data'!K46/100)))</f>
        <v/>
      </c>
      <c r="I47" s="23">
        <f>IF(OR('Ticker Data'!A46="",'Ticker Data'!J46=0),"",'Ticker Data'!I46/'Ticker Data'!J46)</f>
        <v/>
      </c>
      <c r="J47" s="24">
        <f>IF(OR('Ticker Data'!A46="",'Ticker Data'!G46=0),"",('Ticker Data'!C46-'Ticker Data'!G46)/'Ticker Data'!G46)</f>
        <v/>
      </c>
      <c r="K47" s="24">
        <f>IF(OR('Ticker Data'!A46="",'Ticker Data'!D46=0),"",('Ticker Data'!C46-'Ticker Data'!D46)/'Ticker Data'!D46)</f>
        <v/>
      </c>
      <c r="L47" s="22">
        <f>IF(OR('Ticker Data'!A46="",'Ticker Data'!F46=0),"",'Ticker Data'!C46/'Ticker Data'!F46)</f>
        <v/>
      </c>
      <c r="M47" s="25">
        <f>IF(OR(C47="",H47=""),"",ROUND(PERCENTRANK($H$5:$H$54,H47)*100,1))</f>
        <v/>
      </c>
      <c r="N47" s="25">
        <f>IF(OR(C47="",I47=""),"",ROUND(PERCENTRANK($I$5:$I$54,I47)*100,1))</f>
        <v/>
      </c>
      <c r="O47" s="25">
        <f>IF(OR(C47="",J47=""),"",ROUND(PERCENTRANK($J$5:$J$54,J47)*100,1))</f>
        <v/>
      </c>
      <c r="P47" s="25">
        <f>IF(OR(C47="",K47=""),"",ROUND(PERCENTRANK($K$5:$K$54,K47)*100,1))</f>
        <v/>
      </c>
      <c r="Q47" s="25">
        <f>IF(OR(A47="",D47=""),"",ROUND(M47*0.3+N47*0.25+O47*0.25+P47*0.2,1))</f>
        <v/>
      </c>
      <c r="R47" s="21">
        <f>IF(OR(A47="",S47&lt;&gt;"✔ ALL PASS"),"",RANK(Q47,$Q$5:$Q$54,0))</f>
        <v/>
      </c>
      <c r="S47" s="21">
        <f>IF(A47="","",IF(AND(D47="✔ PASS",E47="✔ PASS",F47="✔ PASS",G47="✔ PASS"),"✔ ALL PASS","✘ FILTERED"))</f>
        <v/>
      </c>
      <c r="T47" s="21">
        <f>IF(OR(A47="",S47&lt;&gt;"✔ ALL PASS",R47=""),"",IF(R47&lt;=20,"🟢 BUY SIGNAL","—"))</f>
        <v/>
      </c>
    </row>
    <row r="48" ht="18" customHeight="1">
      <c r="A48" s="20">
        <f>IF('Ticker Data'!A47="","",'Ticker Data'!A47)</f>
        <v/>
      </c>
      <c r="B48" s="20">
        <f>IF('Ticker Data'!A47="","",'Ticker Data'!B47)</f>
        <v/>
      </c>
      <c r="C48" s="20">
        <f>IF('Ticker Data'!A47="","",'Ticker Data'!L47)</f>
        <v/>
      </c>
      <c r="D48" s="21">
        <f>IF('Ticker Data'!A47="","",IF(AND('Ticker Data'!C47&gt;'Ticker Data'!D47,'Ticker Data'!D47&gt;'Ticker Data'!E47,'Ticker Data'!E47&gt;0),"✔ PASS","✘ FAIL"))</f>
        <v/>
      </c>
      <c r="E48" s="21">
        <f>IF('Ticker Data'!A47="","",IF('Ticker Data'!C47&gt;='Ticker Data'!F47*0.85,"✔ PASS","✘ FAIL"))</f>
        <v/>
      </c>
      <c r="F48" s="21">
        <f>IF('Ticker Data'!A47="","",IF('Ticker Data'!C47&gt;='Ticker Data'!G47,"✔ PASS","✘ FAIL"))</f>
        <v/>
      </c>
      <c r="G48" s="21">
        <f>IF('Ticker Data'!A47="","",IF('Ticker Data'!I47&gt;'Ticker Data'!J47,"✔ PASS","✘ FAIL"))</f>
        <v/>
      </c>
      <c r="H48" s="22">
        <f>IF('Ticker Data'!A47="","",(('Ticker Data'!K47/100)))</f>
        <v/>
      </c>
      <c r="I48" s="23">
        <f>IF(OR('Ticker Data'!A47="",'Ticker Data'!J47=0),"",'Ticker Data'!I47/'Ticker Data'!J47)</f>
        <v/>
      </c>
      <c r="J48" s="24">
        <f>IF(OR('Ticker Data'!A47="",'Ticker Data'!G47=0),"",('Ticker Data'!C47-'Ticker Data'!G47)/'Ticker Data'!G47)</f>
        <v/>
      </c>
      <c r="K48" s="24">
        <f>IF(OR('Ticker Data'!A47="",'Ticker Data'!D47=0),"",('Ticker Data'!C47-'Ticker Data'!D47)/'Ticker Data'!D47)</f>
        <v/>
      </c>
      <c r="L48" s="22">
        <f>IF(OR('Ticker Data'!A47="",'Ticker Data'!F47=0),"",'Ticker Data'!C47/'Ticker Data'!F47)</f>
        <v/>
      </c>
      <c r="M48" s="25">
        <f>IF(OR(C48="",H48=""),"",ROUND(PERCENTRANK($H$5:$H$54,H48)*100,1))</f>
        <v/>
      </c>
      <c r="N48" s="25">
        <f>IF(OR(C48="",I48=""),"",ROUND(PERCENTRANK($I$5:$I$54,I48)*100,1))</f>
        <v/>
      </c>
      <c r="O48" s="25">
        <f>IF(OR(C48="",J48=""),"",ROUND(PERCENTRANK($J$5:$J$54,J48)*100,1))</f>
        <v/>
      </c>
      <c r="P48" s="25">
        <f>IF(OR(C48="",K48=""),"",ROUND(PERCENTRANK($K$5:$K$54,K48)*100,1))</f>
        <v/>
      </c>
      <c r="Q48" s="25">
        <f>IF(OR(A48="",D48=""),"",ROUND(M48*0.3+N48*0.25+O48*0.25+P48*0.2,1))</f>
        <v/>
      </c>
      <c r="R48" s="21">
        <f>IF(OR(A48="",S48&lt;&gt;"✔ ALL PASS"),"",RANK(Q48,$Q$5:$Q$54,0))</f>
        <v/>
      </c>
      <c r="S48" s="21">
        <f>IF(A48="","",IF(AND(D48="✔ PASS",E48="✔ PASS",F48="✔ PASS",G48="✔ PASS"),"✔ ALL PASS","✘ FILTERED"))</f>
        <v/>
      </c>
      <c r="T48" s="21">
        <f>IF(OR(A48="",S48&lt;&gt;"✔ ALL PASS",R48=""),"",IF(R48&lt;=20,"🟢 BUY SIGNAL","—"))</f>
        <v/>
      </c>
    </row>
    <row r="49" ht="18" customHeight="1">
      <c r="A49" s="20">
        <f>IF('Ticker Data'!A48="","",'Ticker Data'!A48)</f>
        <v/>
      </c>
      <c r="B49" s="20">
        <f>IF('Ticker Data'!A48="","",'Ticker Data'!B48)</f>
        <v/>
      </c>
      <c r="C49" s="20">
        <f>IF('Ticker Data'!A48="","",'Ticker Data'!L48)</f>
        <v/>
      </c>
      <c r="D49" s="21">
        <f>IF('Ticker Data'!A48="","",IF(AND('Ticker Data'!C48&gt;'Ticker Data'!D48,'Ticker Data'!D48&gt;'Ticker Data'!E48,'Ticker Data'!E48&gt;0),"✔ PASS","✘ FAIL"))</f>
        <v/>
      </c>
      <c r="E49" s="21">
        <f>IF('Ticker Data'!A48="","",IF('Ticker Data'!C48&gt;='Ticker Data'!F48*0.85,"✔ PASS","✘ FAIL"))</f>
        <v/>
      </c>
      <c r="F49" s="21">
        <f>IF('Ticker Data'!A48="","",IF('Ticker Data'!C48&gt;='Ticker Data'!G48,"✔ PASS","✘ FAIL"))</f>
        <v/>
      </c>
      <c r="G49" s="21">
        <f>IF('Ticker Data'!A48="","",IF('Ticker Data'!I48&gt;'Ticker Data'!J48,"✔ PASS","✘ FAIL"))</f>
        <v/>
      </c>
      <c r="H49" s="22">
        <f>IF('Ticker Data'!A48="","",(('Ticker Data'!K48/100)))</f>
        <v/>
      </c>
      <c r="I49" s="23">
        <f>IF(OR('Ticker Data'!A48="",'Ticker Data'!J48=0),"",'Ticker Data'!I48/'Ticker Data'!J48)</f>
        <v/>
      </c>
      <c r="J49" s="24">
        <f>IF(OR('Ticker Data'!A48="",'Ticker Data'!G48=0),"",('Ticker Data'!C48-'Ticker Data'!G48)/'Ticker Data'!G48)</f>
        <v/>
      </c>
      <c r="K49" s="24">
        <f>IF(OR('Ticker Data'!A48="",'Ticker Data'!D48=0),"",('Ticker Data'!C48-'Ticker Data'!D48)/'Ticker Data'!D48)</f>
        <v/>
      </c>
      <c r="L49" s="22">
        <f>IF(OR('Ticker Data'!A48="",'Ticker Data'!F48=0),"",'Ticker Data'!C48/'Ticker Data'!F48)</f>
        <v/>
      </c>
      <c r="M49" s="25">
        <f>IF(OR(C49="",H49=""),"",ROUND(PERCENTRANK($H$5:$H$54,H49)*100,1))</f>
        <v/>
      </c>
      <c r="N49" s="25">
        <f>IF(OR(C49="",I49=""),"",ROUND(PERCENTRANK($I$5:$I$54,I49)*100,1))</f>
        <v/>
      </c>
      <c r="O49" s="25">
        <f>IF(OR(C49="",J49=""),"",ROUND(PERCENTRANK($J$5:$J$54,J49)*100,1))</f>
        <v/>
      </c>
      <c r="P49" s="25">
        <f>IF(OR(C49="",K49=""),"",ROUND(PERCENTRANK($K$5:$K$54,K49)*100,1))</f>
        <v/>
      </c>
      <c r="Q49" s="25">
        <f>IF(OR(A49="",D49=""),"",ROUND(M49*0.3+N49*0.25+O49*0.25+P49*0.2,1))</f>
        <v/>
      </c>
      <c r="R49" s="21">
        <f>IF(OR(A49="",S49&lt;&gt;"✔ ALL PASS"),"",RANK(Q49,$Q$5:$Q$54,0))</f>
        <v/>
      </c>
      <c r="S49" s="21">
        <f>IF(A49="","",IF(AND(D49="✔ PASS",E49="✔ PASS",F49="✔ PASS",G49="✔ PASS"),"✔ ALL PASS","✘ FILTERED"))</f>
        <v/>
      </c>
      <c r="T49" s="21">
        <f>IF(OR(A49="",S49&lt;&gt;"✔ ALL PASS",R49=""),"",IF(R49&lt;=20,"🟢 BUY SIGNAL","—"))</f>
        <v/>
      </c>
    </row>
    <row r="50" ht="18" customHeight="1">
      <c r="A50" s="20">
        <f>IF('Ticker Data'!A49="","",'Ticker Data'!A49)</f>
        <v/>
      </c>
      <c r="B50" s="20">
        <f>IF('Ticker Data'!A49="","",'Ticker Data'!B49)</f>
        <v/>
      </c>
      <c r="C50" s="20">
        <f>IF('Ticker Data'!A49="","",'Ticker Data'!L49)</f>
        <v/>
      </c>
      <c r="D50" s="21">
        <f>IF('Ticker Data'!A49="","",IF(AND('Ticker Data'!C49&gt;'Ticker Data'!D49,'Ticker Data'!D49&gt;'Ticker Data'!E49,'Ticker Data'!E49&gt;0),"✔ PASS","✘ FAIL"))</f>
        <v/>
      </c>
      <c r="E50" s="21">
        <f>IF('Ticker Data'!A49="","",IF('Ticker Data'!C49&gt;='Ticker Data'!F49*0.85,"✔ PASS","✘ FAIL"))</f>
        <v/>
      </c>
      <c r="F50" s="21">
        <f>IF('Ticker Data'!A49="","",IF('Ticker Data'!C49&gt;='Ticker Data'!G49,"✔ PASS","✘ FAIL"))</f>
        <v/>
      </c>
      <c r="G50" s="21">
        <f>IF('Ticker Data'!A49="","",IF('Ticker Data'!I49&gt;'Ticker Data'!J49,"✔ PASS","✘ FAIL"))</f>
        <v/>
      </c>
      <c r="H50" s="22">
        <f>IF('Ticker Data'!A49="","",(('Ticker Data'!K49/100)))</f>
        <v/>
      </c>
      <c r="I50" s="23">
        <f>IF(OR('Ticker Data'!A49="",'Ticker Data'!J49=0),"",'Ticker Data'!I49/'Ticker Data'!J49)</f>
        <v/>
      </c>
      <c r="J50" s="24">
        <f>IF(OR('Ticker Data'!A49="",'Ticker Data'!G49=0),"",('Ticker Data'!C49-'Ticker Data'!G49)/'Ticker Data'!G49)</f>
        <v/>
      </c>
      <c r="K50" s="24">
        <f>IF(OR('Ticker Data'!A49="",'Ticker Data'!D49=0),"",('Ticker Data'!C49-'Ticker Data'!D49)/'Ticker Data'!D49)</f>
        <v/>
      </c>
      <c r="L50" s="22">
        <f>IF(OR('Ticker Data'!A49="",'Ticker Data'!F49=0),"",'Ticker Data'!C49/'Ticker Data'!F49)</f>
        <v/>
      </c>
      <c r="M50" s="25">
        <f>IF(OR(C50="",H50=""),"",ROUND(PERCENTRANK($H$5:$H$54,H50)*100,1))</f>
        <v/>
      </c>
      <c r="N50" s="25">
        <f>IF(OR(C50="",I50=""),"",ROUND(PERCENTRANK($I$5:$I$54,I50)*100,1))</f>
        <v/>
      </c>
      <c r="O50" s="25">
        <f>IF(OR(C50="",J50=""),"",ROUND(PERCENTRANK($J$5:$J$54,J50)*100,1))</f>
        <v/>
      </c>
      <c r="P50" s="25">
        <f>IF(OR(C50="",K50=""),"",ROUND(PERCENTRANK($K$5:$K$54,K50)*100,1))</f>
        <v/>
      </c>
      <c r="Q50" s="25">
        <f>IF(OR(A50="",D50=""),"",ROUND(M50*0.3+N50*0.25+O50*0.25+P50*0.2,1))</f>
        <v/>
      </c>
      <c r="R50" s="21">
        <f>IF(OR(A50="",S50&lt;&gt;"✔ ALL PASS"),"",RANK(Q50,$Q$5:$Q$54,0))</f>
        <v/>
      </c>
      <c r="S50" s="21">
        <f>IF(A50="","",IF(AND(D50="✔ PASS",E50="✔ PASS",F50="✔ PASS",G50="✔ PASS"),"✔ ALL PASS","✘ FILTERED"))</f>
        <v/>
      </c>
      <c r="T50" s="21">
        <f>IF(OR(A50="",S50&lt;&gt;"✔ ALL PASS",R50=""),"",IF(R50&lt;=20,"🟢 BUY SIGNAL","—"))</f>
        <v/>
      </c>
    </row>
    <row r="51" ht="18" customHeight="1">
      <c r="A51" s="20">
        <f>IF('Ticker Data'!A50="","",'Ticker Data'!A50)</f>
        <v/>
      </c>
      <c r="B51" s="20">
        <f>IF('Ticker Data'!A50="","",'Ticker Data'!B50)</f>
        <v/>
      </c>
      <c r="C51" s="20">
        <f>IF('Ticker Data'!A50="","",'Ticker Data'!L50)</f>
        <v/>
      </c>
      <c r="D51" s="21">
        <f>IF('Ticker Data'!A50="","",IF(AND('Ticker Data'!C50&gt;'Ticker Data'!D50,'Ticker Data'!D50&gt;'Ticker Data'!E50,'Ticker Data'!E50&gt;0),"✔ PASS","✘ FAIL"))</f>
        <v/>
      </c>
      <c r="E51" s="21">
        <f>IF('Ticker Data'!A50="","",IF('Ticker Data'!C50&gt;='Ticker Data'!F50*0.85,"✔ PASS","✘ FAIL"))</f>
        <v/>
      </c>
      <c r="F51" s="21">
        <f>IF('Ticker Data'!A50="","",IF('Ticker Data'!C50&gt;='Ticker Data'!G50,"✔ PASS","✘ FAIL"))</f>
        <v/>
      </c>
      <c r="G51" s="21">
        <f>IF('Ticker Data'!A50="","",IF('Ticker Data'!I50&gt;'Ticker Data'!J50,"✔ PASS","✘ FAIL"))</f>
        <v/>
      </c>
      <c r="H51" s="22">
        <f>IF('Ticker Data'!A50="","",(('Ticker Data'!K50/100)))</f>
        <v/>
      </c>
      <c r="I51" s="23">
        <f>IF(OR('Ticker Data'!A50="",'Ticker Data'!J50=0),"",'Ticker Data'!I50/'Ticker Data'!J50)</f>
        <v/>
      </c>
      <c r="J51" s="24">
        <f>IF(OR('Ticker Data'!A50="",'Ticker Data'!G50=0),"",('Ticker Data'!C50-'Ticker Data'!G50)/'Ticker Data'!G50)</f>
        <v/>
      </c>
      <c r="K51" s="24">
        <f>IF(OR('Ticker Data'!A50="",'Ticker Data'!D50=0),"",('Ticker Data'!C50-'Ticker Data'!D50)/'Ticker Data'!D50)</f>
        <v/>
      </c>
      <c r="L51" s="22">
        <f>IF(OR('Ticker Data'!A50="",'Ticker Data'!F50=0),"",'Ticker Data'!C50/'Ticker Data'!F50)</f>
        <v/>
      </c>
      <c r="M51" s="25">
        <f>IF(OR(C51="",H51=""),"",ROUND(PERCENTRANK($H$5:$H$54,H51)*100,1))</f>
        <v/>
      </c>
      <c r="N51" s="25">
        <f>IF(OR(C51="",I51=""),"",ROUND(PERCENTRANK($I$5:$I$54,I51)*100,1))</f>
        <v/>
      </c>
      <c r="O51" s="25">
        <f>IF(OR(C51="",J51=""),"",ROUND(PERCENTRANK($J$5:$J$54,J51)*100,1))</f>
        <v/>
      </c>
      <c r="P51" s="25">
        <f>IF(OR(C51="",K51=""),"",ROUND(PERCENTRANK($K$5:$K$54,K51)*100,1))</f>
        <v/>
      </c>
      <c r="Q51" s="25">
        <f>IF(OR(A51="",D51=""),"",ROUND(M51*0.3+N51*0.25+O51*0.25+P51*0.2,1))</f>
        <v/>
      </c>
      <c r="R51" s="21">
        <f>IF(OR(A51="",S51&lt;&gt;"✔ ALL PASS"),"",RANK(Q51,$Q$5:$Q$54,0))</f>
        <v/>
      </c>
      <c r="S51" s="21">
        <f>IF(A51="","",IF(AND(D51="✔ PASS",E51="✔ PASS",F51="✔ PASS",G51="✔ PASS"),"✔ ALL PASS","✘ FILTERED"))</f>
        <v/>
      </c>
      <c r="T51" s="21">
        <f>IF(OR(A51="",S51&lt;&gt;"✔ ALL PASS",R51=""),"",IF(R51&lt;=20,"🟢 BUY SIGNAL","—"))</f>
        <v/>
      </c>
    </row>
    <row r="52" ht="18" customHeight="1">
      <c r="A52" s="20">
        <f>IF('Ticker Data'!A51="","",'Ticker Data'!A51)</f>
        <v/>
      </c>
      <c r="B52" s="20">
        <f>IF('Ticker Data'!A51="","",'Ticker Data'!B51)</f>
        <v/>
      </c>
      <c r="C52" s="20">
        <f>IF('Ticker Data'!A51="","",'Ticker Data'!L51)</f>
        <v/>
      </c>
      <c r="D52" s="21">
        <f>IF('Ticker Data'!A51="","",IF(AND('Ticker Data'!C51&gt;'Ticker Data'!D51,'Ticker Data'!D51&gt;'Ticker Data'!E51,'Ticker Data'!E51&gt;0),"✔ PASS","✘ FAIL"))</f>
        <v/>
      </c>
      <c r="E52" s="21">
        <f>IF('Ticker Data'!A51="","",IF('Ticker Data'!C51&gt;='Ticker Data'!F51*0.85,"✔ PASS","✘ FAIL"))</f>
        <v/>
      </c>
      <c r="F52" s="21">
        <f>IF('Ticker Data'!A51="","",IF('Ticker Data'!C51&gt;='Ticker Data'!G51,"✔ PASS","✘ FAIL"))</f>
        <v/>
      </c>
      <c r="G52" s="21">
        <f>IF('Ticker Data'!A51="","",IF('Ticker Data'!I51&gt;'Ticker Data'!J51,"✔ PASS","✘ FAIL"))</f>
        <v/>
      </c>
      <c r="H52" s="22">
        <f>IF('Ticker Data'!A51="","",(('Ticker Data'!K51/100)))</f>
        <v/>
      </c>
      <c r="I52" s="23">
        <f>IF(OR('Ticker Data'!A51="",'Ticker Data'!J51=0),"",'Ticker Data'!I51/'Ticker Data'!J51)</f>
        <v/>
      </c>
      <c r="J52" s="24">
        <f>IF(OR('Ticker Data'!A51="",'Ticker Data'!G51=0),"",('Ticker Data'!C51-'Ticker Data'!G51)/'Ticker Data'!G51)</f>
        <v/>
      </c>
      <c r="K52" s="24">
        <f>IF(OR('Ticker Data'!A51="",'Ticker Data'!D51=0),"",('Ticker Data'!C51-'Ticker Data'!D51)/'Ticker Data'!D51)</f>
        <v/>
      </c>
      <c r="L52" s="22">
        <f>IF(OR('Ticker Data'!A51="",'Ticker Data'!F51=0),"",'Ticker Data'!C51/'Ticker Data'!F51)</f>
        <v/>
      </c>
      <c r="M52" s="25">
        <f>IF(OR(C52="",H52=""),"",ROUND(PERCENTRANK($H$5:$H$54,H52)*100,1))</f>
        <v/>
      </c>
      <c r="N52" s="25">
        <f>IF(OR(C52="",I52=""),"",ROUND(PERCENTRANK($I$5:$I$54,I52)*100,1))</f>
        <v/>
      </c>
      <c r="O52" s="25">
        <f>IF(OR(C52="",J52=""),"",ROUND(PERCENTRANK($J$5:$J$54,J52)*100,1))</f>
        <v/>
      </c>
      <c r="P52" s="25">
        <f>IF(OR(C52="",K52=""),"",ROUND(PERCENTRANK($K$5:$K$54,K52)*100,1))</f>
        <v/>
      </c>
      <c r="Q52" s="25">
        <f>IF(OR(A52="",D52=""),"",ROUND(M52*0.3+N52*0.25+O52*0.25+P52*0.2,1))</f>
        <v/>
      </c>
      <c r="R52" s="21">
        <f>IF(OR(A52="",S52&lt;&gt;"✔ ALL PASS"),"",RANK(Q52,$Q$5:$Q$54,0))</f>
        <v/>
      </c>
      <c r="S52" s="21">
        <f>IF(A52="","",IF(AND(D52="✔ PASS",E52="✔ PASS",F52="✔ PASS",G52="✔ PASS"),"✔ ALL PASS","✘ FILTERED"))</f>
        <v/>
      </c>
      <c r="T52" s="21">
        <f>IF(OR(A52="",S52&lt;&gt;"✔ ALL PASS",R52=""),"",IF(R52&lt;=20,"🟢 BUY SIGNAL","—"))</f>
        <v/>
      </c>
    </row>
    <row r="53" ht="18" customHeight="1">
      <c r="A53" s="20">
        <f>IF('Ticker Data'!A52="","",'Ticker Data'!A52)</f>
        <v/>
      </c>
      <c r="B53" s="20">
        <f>IF('Ticker Data'!A52="","",'Ticker Data'!B52)</f>
        <v/>
      </c>
      <c r="C53" s="20">
        <f>IF('Ticker Data'!A52="","",'Ticker Data'!L52)</f>
        <v/>
      </c>
      <c r="D53" s="21">
        <f>IF('Ticker Data'!A52="","",IF(AND('Ticker Data'!C52&gt;'Ticker Data'!D52,'Ticker Data'!D52&gt;'Ticker Data'!E52,'Ticker Data'!E52&gt;0),"✔ PASS","✘ FAIL"))</f>
        <v/>
      </c>
      <c r="E53" s="21">
        <f>IF('Ticker Data'!A52="","",IF('Ticker Data'!C52&gt;='Ticker Data'!F52*0.85,"✔ PASS","✘ FAIL"))</f>
        <v/>
      </c>
      <c r="F53" s="21">
        <f>IF('Ticker Data'!A52="","",IF('Ticker Data'!C52&gt;='Ticker Data'!G52,"✔ PASS","✘ FAIL"))</f>
        <v/>
      </c>
      <c r="G53" s="21">
        <f>IF('Ticker Data'!A52="","",IF('Ticker Data'!I52&gt;'Ticker Data'!J52,"✔ PASS","✘ FAIL"))</f>
        <v/>
      </c>
      <c r="H53" s="22">
        <f>IF('Ticker Data'!A52="","",(('Ticker Data'!K52/100)))</f>
        <v/>
      </c>
      <c r="I53" s="23">
        <f>IF(OR('Ticker Data'!A52="",'Ticker Data'!J52=0),"",'Ticker Data'!I52/'Ticker Data'!J52)</f>
        <v/>
      </c>
      <c r="J53" s="24">
        <f>IF(OR('Ticker Data'!A52="",'Ticker Data'!G52=0),"",('Ticker Data'!C52-'Ticker Data'!G52)/'Ticker Data'!G52)</f>
        <v/>
      </c>
      <c r="K53" s="24">
        <f>IF(OR('Ticker Data'!A52="",'Ticker Data'!D52=0),"",('Ticker Data'!C52-'Ticker Data'!D52)/'Ticker Data'!D52)</f>
        <v/>
      </c>
      <c r="L53" s="22">
        <f>IF(OR('Ticker Data'!A52="",'Ticker Data'!F52=0),"",'Ticker Data'!C52/'Ticker Data'!F52)</f>
        <v/>
      </c>
      <c r="M53" s="25">
        <f>IF(OR(C53="",H53=""),"",ROUND(PERCENTRANK($H$5:$H$54,H53)*100,1))</f>
        <v/>
      </c>
      <c r="N53" s="25">
        <f>IF(OR(C53="",I53=""),"",ROUND(PERCENTRANK($I$5:$I$54,I53)*100,1))</f>
        <v/>
      </c>
      <c r="O53" s="25">
        <f>IF(OR(C53="",J53=""),"",ROUND(PERCENTRANK($J$5:$J$54,J53)*100,1))</f>
        <v/>
      </c>
      <c r="P53" s="25">
        <f>IF(OR(C53="",K53=""),"",ROUND(PERCENTRANK($K$5:$K$54,K53)*100,1))</f>
        <v/>
      </c>
      <c r="Q53" s="25">
        <f>IF(OR(A53="",D53=""),"",ROUND(M53*0.3+N53*0.25+O53*0.25+P53*0.2,1))</f>
        <v/>
      </c>
      <c r="R53" s="21">
        <f>IF(OR(A53="",S53&lt;&gt;"✔ ALL PASS"),"",RANK(Q53,$Q$5:$Q$54,0))</f>
        <v/>
      </c>
      <c r="S53" s="21">
        <f>IF(A53="","",IF(AND(D53="✔ PASS",E53="✔ PASS",F53="✔ PASS",G53="✔ PASS"),"✔ ALL PASS","✘ FILTERED"))</f>
        <v/>
      </c>
      <c r="T53" s="21">
        <f>IF(OR(A53="",S53&lt;&gt;"✔ ALL PASS",R53=""),"",IF(R53&lt;=20,"🟢 BUY SIGNAL","—"))</f>
        <v/>
      </c>
    </row>
    <row r="54" ht="18" customHeight="1">
      <c r="A54" s="20">
        <f>IF('Ticker Data'!A53="","",'Ticker Data'!A53)</f>
        <v/>
      </c>
      <c r="B54" s="20">
        <f>IF('Ticker Data'!A53="","",'Ticker Data'!B53)</f>
        <v/>
      </c>
      <c r="C54" s="20">
        <f>IF('Ticker Data'!A53="","",'Ticker Data'!L53)</f>
        <v/>
      </c>
      <c r="D54" s="21">
        <f>IF('Ticker Data'!A53="","",IF(AND('Ticker Data'!C53&gt;'Ticker Data'!D53,'Ticker Data'!D53&gt;'Ticker Data'!E53,'Ticker Data'!E53&gt;0),"✔ PASS","✘ FAIL"))</f>
        <v/>
      </c>
      <c r="E54" s="21">
        <f>IF('Ticker Data'!A53="","",IF('Ticker Data'!C53&gt;='Ticker Data'!F53*0.85,"✔ PASS","✘ FAIL"))</f>
        <v/>
      </c>
      <c r="F54" s="21">
        <f>IF('Ticker Data'!A53="","",IF('Ticker Data'!C53&gt;='Ticker Data'!G53,"✔ PASS","✘ FAIL"))</f>
        <v/>
      </c>
      <c r="G54" s="21">
        <f>IF('Ticker Data'!A53="","",IF('Ticker Data'!I53&gt;'Ticker Data'!J53,"✔ PASS","✘ FAIL"))</f>
        <v/>
      </c>
      <c r="H54" s="22">
        <f>IF('Ticker Data'!A53="","",(('Ticker Data'!K53/100)))</f>
        <v/>
      </c>
      <c r="I54" s="23">
        <f>IF(OR('Ticker Data'!A53="",'Ticker Data'!J53=0),"",'Ticker Data'!I53/'Ticker Data'!J53)</f>
        <v/>
      </c>
      <c r="J54" s="24">
        <f>IF(OR('Ticker Data'!A53="",'Ticker Data'!G53=0),"",('Ticker Data'!C53-'Ticker Data'!G53)/'Ticker Data'!G53)</f>
        <v/>
      </c>
      <c r="K54" s="24">
        <f>IF(OR('Ticker Data'!A53="",'Ticker Data'!D53=0),"",('Ticker Data'!C53-'Ticker Data'!D53)/'Ticker Data'!D53)</f>
        <v/>
      </c>
      <c r="L54" s="22">
        <f>IF(OR('Ticker Data'!A53="",'Ticker Data'!F53=0),"",'Ticker Data'!C53/'Ticker Data'!F53)</f>
        <v/>
      </c>
      <c r="M54" s="25">
        <f>IF(OR(C54="",H54=""),"",ROUND(PERCENTRANK($H$5:$H$54,H54)*100,1))</f>
        <v/>
      </c>
      <c r="N54" s="25">
        <f>IF(OR(C54="",I54=""),"",ROUND(PERCENTRANK($I$5:$I$54,I54)*100,1))</f>
        <v/>
      </c>
      <c r="O54" s="25">
        <f>IF(OR(C54="",J54=""),"",ROUND(PERCENTRANK($J$5:$J$54,J54)*100,1))</f>
        <v/>
      </c>
      <c r="P54" s="25">
        <f>IF(OR(C54="",K54=""),"",ROUND(PERCENTRANK($K$5:$K$54,K54)*100,1))</f>
        <v/>
      </c>
      <c r="Q54" s="25">
        <f>IF(OR(A54="",D54=""),"",ROUND(M54*0.3+N54*0.25+O54*0.25+P54*0.2,1))</f>
        <v/>
      </c>
      <c r="R54" s="21">
        <f>IF(OR(A54="",S54&lt;&gt;"✔ ALL PASS"),"",RANK(Q54,$Q$5:$Q$54,0))</f>
        <v/>
      </c>
      <c r="S54" s="21">
        <f>IF(A54="","",IF(AND(D54="✔ PASS",E54="✔ PASS",F54="✔ PASS",G54="✔ PASS"),"✔ ALL PASS","✘ FILTERED"))</f>
        <v/>
      </c>
      <c r="T54" s="21">
        <f>IF(OR(A54="",S54&lt;&gt;"✔ ALL PASS",R54=""),"",IF(R54&lt;=20,"🟢 BUY SIGNAL","—"))</f>
        <v/>
      </c>
    </row>
  </sheetData>
  <mergeCells count="8">
    <mergeCell ref="A1:T1"/>
    <mergeCell ref="H3:L3"/>
    <mergeCell ref="D3:G3"/>
    <mergeCell ref="Q3:R3"/>
    <mergeCell ref="M3:P3"/>
    <mergeCell ref="A3:C3"/>
    <mergeCell ref="A2:T2"/>
    <mergeCell ref="S3:T3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0" customWidth="1" min="4" max="4"/>
    <col width="10" customWidth="1" min="5" max="5"/>
    <col width="7" customWidth="1" min="6" max="6"/>
    <col width="10" customWidth="1" min="7" max="7"/>
    <col width="8" customWidth="1" min="8" max="8"/>
    <col width="10" customWidth="1" min="9" max="9"/>
    <col width="9" customWidth="1" min="10" max="10"/>
    <col width="10" customWidth="1" min="11" max="11"/>
    <col width="13" customWidth="1" min="12" max="12"/>
    <col width="12" customWidth="1" min="13" max="13"/>
    <col width="14" customWidth="1" min="14" max="14"/>
    <col width="10" customWidth="1" min="15" max="15"/>
    <col width="9" customWidth="1" min="16" max="16"/>
    <col width="10" customWidth="1" min="17" max="17"/>
    <col width="9" customWidth="1" min="18" max="18"/>
    <col width="9" customWidth="1" min="19" max="19"/>
    <col width="9" customWidth="1" min="20" max="20"/>
  </cols>
  <sheetData>
    <row r="1" ht="35" customHeight="1">
      <c r="A1" s="39" t="inlineStr">
        <is>
          <t>🟢  TOP 20 BUY SIGNALS  —  22 Apr 2026  15:52  |  6 Filters: Trend | 52W Prox | &gt;=3MH | &lt;6MH | Vol Surge | R/R≥1.5x</t>
        </is>
      </c>
    </row>
    <row r="2" ht="25" customHeight="1">
      <c r="A2" s="40" t="inlineStr">
        <is>
          <t>Rank</t>
        </is>
      </c>
      <c r="B2" s="40" t="inlineStr">
        <is>
          <t>Ticker</t>
        </is>
      </c>
      <c r="C2" s="40" t="inlineStr">
        <is>
          <t>Price ₹</t>
        </is>
      </c>
      <c r="D2" s="40" t="inlineStr">
        <is>
          <t>3M Ret %</t>
        </is>
      </c>
      <c r="E2" s="40" t="inlineStr">
        <is>
          <t>Vol Ratio</t>
        </is>
      </c>
      <c r="F2" s="40" t="inlineStr">
        <is>
          <t>Score</t>
        </is>
      </c>
      <c r="G2" s="41" t="inlineStr">
        <is>
          <t>Risk ₹</t>
        </is>
      </c>
      <c r="H2" s="41" t="inlineStr">
        <is>
          <t>Risk %</t>
        </is>
      </c>
      <c r="I2" s="41" t="inlineStr">
        <is>
          <t>Reward ₹</t>
        </is>
      </c>
      <c r="J2" s="41" t="inlineStr">
        <is>
          <t>Reward %</t>
        </is>
      </c>
      <c r="K2" s="41" t="inlineStr">
        <is>
          <t>R/R Ratio</t>
        </is>
      </c>
      <c r="L2" s="40" t="inlineStr">
        <is>
          <t>6M Headroom %</t>
        </is>
      </c>
      <c r="M2" s="40" t="inlineStr">
        <is>
          <t>TSL (−5%)</t>
        </is>
      </c>
      <c r="N2" s="40" t="inlineStr">
        <is>
          <t>Target (+10%)</t>
        </is>
      </c>
      <c r="O2" s="42" t="inlineStr">
        <is>
          <t>F1 Trend</t>
        </is>
      </c>
      <c r="P2" s="42" t="inlineStr">
        <is>
          <t>F2 52W</t>
        </is>
      </c>
      <c r="Q2" s="42" t="inlineStr">
        <is>
          <t>F3 &gt;=3MH</t>
        </is>
      </c>
      <c r="R2" s="42" t="inlineStr">
        <is>
          <t>F4 &lt;6MH</t>
        </is>
      </c>
      <c r="S2" s="42" t="inlineStr">
        <is>
          <t>F5 Vol</t>
        </is>
      </c>
      <c r="T2" s="42" t="inlineStr">
        <is>
          <t>F6 R/R</t>
        </is>
      </c>
    </row>
    <row r="24">
      <c r="A24" s="43" t="inlineStr">
        <is>
          <t>Risk = Price × 5% (TSL)  |  Reward = 6M High − Price  |  R/R = Reward ÷ Risk  |  Min R/R = 1.5x  |  🟢 ≥2.0x  🟡 1.5–1.99x  ·  F1:Trend  F2:52WH  F3:3MBO  F4:&lt;6MH  F5:VolSurge  F6:R/R</t>
        </is>
      </c>
    </row>
  </sheetData>
  <mergeCells count="2">
    <mergeCell ref="A1:T1"/>
    <mergeCell ref="A24:T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2026-04-22T09:43:58Z</dcterms:created>
  <dcterms:modified xmlns:dcterms="http://purl.org/dc/terms/" xmlns:xsi="http://www.w3.org/2001/XMLSchema-instance" xsi:type="dcterms:W3CDTF">2026-04-22T10:22:30Z</dcterms:modified>
  <cp:lastModifiedBy>Ameet Talwadker</cp:lastModifiedBy>
  <cp:revision>0</cp:revision>
</cp:coreProperties>
</file>