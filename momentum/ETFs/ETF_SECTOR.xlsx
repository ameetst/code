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meet\Documents\Github\code\momentum\ETFs\"/>
    </mc:Choice>
  </mc:AlternateContent>
  <xr:revisionPtr revIDLastSave="0" documentId="13_ncr:1_{C7C6B9A2-E326-4587-B3C0-3492D44A266B}" xr6:coauthVersionLast="47" xr6:coauthVersionMax="47" xr10:uidLastSave="{00000000-0000-0000-0000-000000000000}"/>
  <bookViews>
    <workbookView xWindow="-120" yWindow="-120" windowWidth="29040" windowHeight="15720" xr2:uid="{994DB42A-7DB1-4C47-B69A-1B2BF8D5E07E}"/>
  </bookViews>
  <sheets>
    <sheet name="ETF_SECTOR" sheetId="15" r:id="rId1"/>
    <sheet name="1M_TEST" sheetId="5" state="hidden" r:id="rId2"/>
    <sheet name="3M_TEST" sheetId="3" state="hidden" r:id="rId3"/>
    <sheet name="12M_TEST" sheetId="4" state="hidden" r:id="rId4"/>
  </sheets>
  <definedNames>
    <definedName name="_xlnm._FilterDatabase" localSheetId="0" hidden="1">ETF_SECTOR!$A$1:$A$330</definedName>
  </definedNames>
  <calcPr calcId="191028"/>
  <customWorkbookViews>
    <customWorkbookView name="FILTER_BY_COLOR" guid="{FF05580A-A727-4092-B60E-2BB176745255}" maximized="1" xWindow="-8" yWindow="-8" windowWidth="1376" windowHeight="736" activeSheetId="6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3" i="3" l="1"/>
  <c r="A121" i="3"/>
  <c r="A111" i="3"/>
  <c r="A177" i="5"/>
  <c r="A144" i="5"/>
  <c r="A123" i="5"/>
  <c r="A112" i="5"/>
  <c r="A106" i="5"/>
  <c r="A98" i="5"/>
  <c r="A94" i="5"/>
  <c r="A92" i="5"/>
  <c r="A89" i="5"/>
  <c r="A90" i="5" s="1"/>
  <c r="A91" i="5" s="1"/>
  <c r="A93" i="5" s="1"/>
  <c r="A84" i="4"/>
  <c r="A72" i="4"/>
  <c r="A50" i="4"/>
  <c r="A49" i="4"/>
  <c r="A39" i="4"/>
  <c r="A29" i="4"/>
  <c r="A23" i="4"/>
  <c r="A20" i="4"/>
  <c r="A17" i="4"/>
  <c r="A13" i="4"/>
  <c r="A14" i="4" s="1"/>
  <c r="A15" i="4" s="1"/>
  <c r="A16" i="4" s="1"/>
  <c r="A3" i="4"/>
  <c r="A4" i="4" s="1"/>
  <c r="A5" i="4" s="1"/>
  <c r="A6" i="4" s="1"/>
  <c r="A7" i="4" s="1"/>
  <c r="A8" i="4" s="1"/>
  <c r="A9" i="4" s="1"/>
  <c r="A10" i="4" s="1"/>
  <c r="A11" i="4" s="1"/>
  <c r="A12" i="4" s="1"/>
  <c r="A74" i="5"/>
  <c r="A73" i="5"/>
  <c r="A68" i="5"/>
  <c r="A63" i="5"/>
  <c r="A60" i="5"/>
  <c r="A54" i="5"/>
  <c r="A53" i="5"/>
  <c r="A46" i="5"/>
  <c r="A39" i="5"/>
  <c r="A6" i="5"/>
  <c r="A3" i="5"/>
  <c r="A4" i="5" s="1"/>
  <c r="K139" i="4" l="1"/>
  <c r="K137" i="3"/>
  <c r="K177" i="5"/>
  <c r="A95" i="5"/>
  <c r="A96" i="5" s="1"/>
  <c r="A97" i="5" s="1"/>
  <c r="A99" i="5" s="1"/>
  <c r="A100" i="5" s="1"/>
  <c r="A101" i="5" s="1"/>
  <c r="A102" i="5" s="1"/>
  <c r="A103" i="5" s="1"/>
  <c r="A104" i="5" s="1"/>
  <c r="A105" i="5" s="1"/>
  <c r="A107" i="5" s="1"/>
  <c r="A108" i="5" s="1"/>
  <c r="A109" i="5" s="1"/>
  <c r="A110" i="5" s="1"/>
  <c r="A111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8" i="4"/>
  <c r="A5" i="5"/>
  <c r="A3" i="3"/>
  <c r="A19" i="4" l="1"/>
  <c r="A7" i="5" l="1"/>
  <c r="A4" i="3"/>
  <c r="A14" i="3"/>
  <c r="A21" i="4" l="1"/>
  <c r="A8" i="5"/>
  <c r="A5" i="3"/>
  <c r="A15" i="3"/>
  <c r="A22" i="4" l="1"/>
  <c r="A9" i="5"/>
  <c r="A6" i="3"/>
  <c r="A16" i="3"/>
  <c r="A10" i="5" l="1"/>
  <c r="A7" i="3"/>
  <c r="A17" i="3"/>
  <c r="A24" i="4" l="1"/>
  <c r="A11" i="5"/>
  <c r="A8" i="3"/>
  <c r="A18" i="3"/>
  <c r="A25" i="4" l="1"/>
  <c r="A12" i="5"/>
  <c r="A9" i="3"/>
  <c r="A19" i="3"/>
  <c r="A26" i="4" l="1"/>
  <c r="A13" i="5"/>
  <c r="A10" i="3"/>
  <c r="A20" i="3"/>
  <c r="A27" i="4" l="1"/>
  <c r="A14" i="5"/>
  <c r="A11" i="3"/>
  <c r="A21" i="3"/>
  <c r="A28" i="4" l="1"/>
  <c r="A15" i="5"/>
  <c r="A12" i="3"/>
  <c r="A22" i="3"/>
  <c r="A16" i="5" l="1"/>
  <c r="A23" i="3"/>
  <c r="A30" i="4" l="1"/>
  <c r="A17" i="5"/>
  <c r="A24" i="3"/>
  <c r="A31" i="4" l="1"/>
  <c r="A18" i="5"/>
  <c r="A25" i="3"/>
  <c r="A32" i="4" l="1"/>
  <c r="A19" i="5"/>
  <c r="A26" i="3"/>
  <c r="A33" i="4" l="1"/>
  <c r="A20" i="5"/>
  <c r="A27" i="3"/>
  <c r="A34" i="4" l="1"/>
  <c r="A21" i="5"/>
  <c r="A28" i="3"/>
  <c r="A35" i="4" l="1"/>
  <c r="A22" i="5"/>
  <c r="A29" i="3"/>
  <c r="A36" i="4" l="1"/>
  <c r="A23" i="5"/>
  <c r="A30" i="3"/>
  <c r="A37" i="4" l="1"/>
  <c r="A24" i="5"/>
  <c r="A31" i="3"/>
  <c r="A38" i="4" l="1"/>
  <c r="A25" i="5"/>
  <c r="A32" i="3"/>
  <c r="A26" i="5" l="1"/>
  <c r="A33" i="3"/>
  <c r="A40" i="4" l="1"/>
  <c r="A27" i="5"/>
  <c r="A34" i="3"/>
  <c r="A41" i="4" l="1"/>
  <c r="A28" i="5"/>
  <c r="A35" i="3"/>
  <c r="A42" i="4" l="1"/>
  <c r="A29" i="5"/>
  <c r="A36" i="3"/>
  <c r="A43" i="4" l="1"/>
  <c r="A30" i="5"/>
  <c r="A37" i="3"/>
  <c r="A44" i="4" l="1"/>
  <c r="A31" i="5"/>
  <c r="A38" i="3"/>
  <c r="A45" i="4" l="1"/>
  <c r="A32" i="5"/>
  <c r="A39" i="3"/>
  <c r="A46" i="4" l="1"/>
  <c r="A33" i="5"/>
  <c r="A40" i="3"/>
  <c r="A47" i="4" l="1"/>
  <c r="A34" i="5"/>
  <c r="A41" i="3"/>
  <c r="A48" i="4" l="1"/>
  <c r="A35" i="5"/>
  <c r="A42" i="3"/>
  <c r="A36" i="5" l="1"/>
  <c r="A43" i="3"/>
  <c r="A37" i="5" l="1"/>
  <c r="A44" i="3"/>
  <c r="A51" i="4" l="1"/>
  <c r="A38" i="5"/>
  <c r="A45" i="3"/>
  <c r="A52" i="4" l="1"/>
  <c r="A46" i="3"/>
  <c r="A53" i="4" l="1"/>
  <c r="A40" i="5"/>
  <c r="A47" i="3"/>
  <c r="A54" i="4" l="1"/>
  <c r="A41" i="5"/>
  <c r="A48" i="3"/>
  <c r="A55" i="4" l="1"/>
  <c r="A42" i="5"/>
  <c r="A49" i="3"/>
  <c r="A56" i="4" l="1"/>
  <c r="A43" i="5"/>
  <c r="A50" i="3"/>
  <c r="A57" i="4" l="1"/>
  <c r="A44" i="5"/>
  <c r="A51" i="3"/>
  <c r="A58" i="4" l="1"/>
  <c r="A45" i="5"/>
  <c r="A52" i="3"/>
  <c r="A59" i="4" l="1"/>
  <c r="A53" i="3"/>
  <c r="A60" i="4" l="1"/>
  <c r="A47" i="5"/>
  <c r="A54" i="3"/>
  <c r="A61" i="4" l="1"/>
  <c r="A48" i="5"/>
  <c r="A55" i="3"/>
  <c r="A62" i="4" l="1"/>
  <c r="A49" i="5"/>
  <c r="A56" i="3"/>
  <c r="A63" i="4" l="1"/>
  <c r="A50" i="5"/>
  <c r="A57" i="3"/>
  <c r="A64" i="4" l="1"/>
  <c r="A51" i="5"/>
  <c r="A58" i="3"/>
  <c r="A65" i="4" l="1"/>
  <c r="A52" i="5"/>
  <c r="A59" i="3"/>
  <c r="A66" i="4" l="1"/>
  <c r="A60" i="3"/>
  <c r="A67" i="4" l="1"/>
  <c r="A61" i="3"/>
  <c r="A68" i="4" l="1"/>
  <c r="A55" i="5"/>
  <c r="A62" i="3"/>
  <c r="A69" i="4" l="1"/>
  <c r="A56" i="5"/>
  <c r="A63" i="3"/>
  <c r="A70" i="4" l="1"/>
  <c r="A57" i="5"/>
  <c r="A64" i="3"/>
  <c r="A71" i="4" l="1"/>
  <c r="A58" i="5"/>
  <c r="A65" i="3"/>
  <c r="A59" i="5" l="1"/>
  <c r="A66" i="3"/>
  <c r="A73" i="4" l="1"/>
  <c r="A67" i="3"/>
  <c r="A74" i="4" l="1"/>
  <c r="A61" i="5"/>
  <c r="A68" i="3"/>
  <c r="A75" i="4" l="1"/>
  <c r="A62" i="5"/>
  <c r="A69" i="3"/>
  <c r="A76" i="4" l="1"/>
  <c r="A70" i="3"/>
  <c r="A77" i="4" l="1"/>
  <c r="A64" i="5"/>
  <c r="A71" i="3"/>
  <c r="A78" i="4" l="1"/>
  <c r="A65" i="5"/>
  <c r="A72" i="3"/>
  <c r="A79" i="4" l="1"/>
  <c r="A66" i="5"/>
  <c r="A73" i="3"/>
  <c r="A80" i="4" l="1"/>
  <c r="A67" i="5"/>
  <c r="A74" i="3"/>
  <c r="A81" i="4" l="1"/>
  <c r="A75" i="3"/>
  <c r="A82" i="4" l="1"/>
  <c r="A69" i="5"/>
  <c r="A76" i="3"/>
  <c r="A83" i="4" l="1"/>
  <c r="A70" i="5"/>
  <c r="A77" i="3"/>
  <c r="A71" i="5" l="1"/>
  <c r="A78" i="3"/>
  <c r="A85" i="4" l="1"/>
  <c r="A72" i="5"/>
  <c r="A79" i="3"/>
  <c r="A86" i="4" l="1"/>
  <c r="A80" i="3"/>
  <c r="A87" i="4" l="1"/>
  <c r="A81" i="3"/>
  <c r="A88" i="4" l="1"/>
  <c r="A75" i="5"/>
  <c r="A82" i="3"/>
  <c r="A76" i="5" l="1"/>
  <c r="A83" i="3"/>
  <c r="A77" i="5" l="1"/>
  <c r="A84" i="3"/>
  <c r="A78" i="5" l="1"/>
  <c r="A85" i="3"/>
  <c r="A79" i="5" l="1"/>
  <c r="A86" i="3"/>
  <c r="A80" i="5" l="1"/>
  <c r="A87" i="3"/>
  <c r="A81" i="5" l="1"/>
  <c r="A88" i="3"/>
  <c r="A82" i="5" l="1"/>
  <c r="A89" i="3"/>
  <c r="A83" i="5" l="1"/>
  <c r="A90" i="3"/>
  <c r="A91" i="3" s="1"/>
  <c r="A92" i="3" l="1"/>
  <c r="A84" i="5"/>
  <c r="A93" i="3" l="1"/>
  <c r="A85" i="5"/>
  <c r="A94" i="3" l="1"/>
  <c r="A86" i="5"/>
  <c r="A95" i="3" l="1"/>
  <c r="A87" i="5"/>
  <c r="A96" i="3" l="1"/>
  <c r="A88" i="5"/>
  <c r="A97" i="3" l="1"/>
  <c r="A98" i="3" l="1"/>
  <c r="A99" i="3" l="1"/>
  <c r="A100" i="3" l="1"/>
  <c r="A101" i="3" l="1"/>
  <c r="A102" i="3" l="1"/>
  <c r="A103" i="3" l="1"/>
  <c r="A104" i="3" l="1"/>
  <c r="A105" i="3" l="1"/>
  <c r="A106" i="3" l="1"/>
  <c r="A107" i="3" l="1"/>
  <c r="A108" i="3" l="1"/>
  <c r="A109" i="3" l="1"/>
  <c r="A110" i="3" l="1"/>
  <c r="A112" i="3" l="1"/>
  <c r="A113" i="3" l="1"/>
  <c r="A114" i="3" l="1"/>
  <c r="A115" i="3" l="1"/>
  <c r="A116" i="3" l="1"/>
  <c r="A117" i="3" l="1"/>
  <c r="A118" i="3" l="1"/>
  <c r="A119" i="3" l="1"/>
  <c r="A120" i="3" l="1"/>
  <c r="A122" i="3" l="1"/>
  <c r="A123" i="3" l="1"/>
  <c r="A124" i="3" l="1"/>
  <c r="A125" i="3" l="1"/>
  <c r="A126" i="3" l="1"/>
  <c r="A127" i="3" l="1"/>
  <c r="A128" i="3" l="1"/>
  <c r="A129" i="3" l="1"/>
  <c r="A130" i="3" l="1"/>
  <c r="A131" i="3" l="1"/>
  <c r="A132" i="3" l="1"/>
  <c r="A134" i="3" l="1"/>
  <c r="A135" i="3" l="1"/>
  <c r="A136" i="3" l="1"/>
  <c r="A137" i="3" l="1"/>
  <c r="D2" i="3" l="1"/>
  <c r="E40" i="3"/>
  <c r="C86" i="3"/>
  <c r="G39" i="4"/>
  <c r="D128" i="4"/>
  <c r="C20" i="4"/>
  <c r="C53" i="5"/>
  <c r="F91" i="3"/>
  <c r="C113" i="3"/>
  <c r="G88" i="5"/>
  <c r="C52" i="4"/>
  <c r="E112" i="5"/>
  <c r="E118" i="4"/>
  <c r="E110" i="5"/>
  <c r="F69" i="3"/>
  <c r="F72" i="3"/>
  <c r="D70" i="5"/>
  <c r="G67" i="5"/>
  <c r="E124" i="3"/>
  <c r="E113" i="3"/>
  <c r="D147" i="5"/>
  <c r="C60" i="4"/>
  <c r="C110" i="3"/>
  <c r="C156" i="5"/>
  <c r="C2" i="3"/>
  <c r="F45" i="5"/>
  <c r="E84" i="4"/>
  <c r="F87" i="4"/>
  <c r="C14" i="3"/>
  <c r="F128" i="5"/>
  <c r="G31" i="4"/>
  <c r="E81" i="4"/>
  <c r="D124" i="5"/>
  <c r="C90" i="4"/>
  <c r="D61" i="4"/>
  <c r="G95" i="5"/>
  <c r="F14" i="5"/>
  <c r="G70" i="5"/>
  <c r="C36" i="4"/>
  <c r="D49" i="5"/>
  <c r="C136" i="3"/>
  <c r="G32" i="5"/>
  <c r="G12" i="4"/>
  <c r="F33" i="4"/>
  <c r="F72" i="4"/>
  <c r="C64" i="3"/>
  <c r="C87" i="5"/>
  <c r="D139" i="4"/>
  <c r="E105" i="3"/>
  <c r="C25" i="5"/>
  <c r="C23" i="5"/>
  <c r="E119" i="5"/>
  <c r="E28" i="5"/>
  <c r="D90" i="4"/>
  <c r="D47" i="4"/>
  <c r="E47" i="5"/>
  <c r="E127" i="3"/>
  <c r="E62" i="3"/>
  <c r="E64" i="4"/>
  <c r="E88" i="4"/>
  <c r="D92" i="4"/>
  <c r="C166" i="5"/>
  <c r="C141" i="5"/>
  <c r="C121" i="4"/>
  <c r="C134" i="3"/>
  <c r="F70" i="3"/>
  <c r="C5" i="4"/>
  <c r="G51" i="5"/>
  <c r="E168" i="5"/>
  <c r="C19" i="3"/>
  <c r="F117" i="3"/>
  <c r="C174" i="5"/>
  <c r="D43" i="3"/>
  <c r="F116" i="5"/>
  <c r="G26" i="5"/>
  <c r="E161" i="5"/>
  <c r="C130" i="5"/>
  <c r="C59" i="3"/>
  <c r="G9" i="5"/>
  <c r="C77" i="5"/>
  <c r="G72" i="3"/>
  <c r="E12" i="4"/>
  <c r="E164" i="5"/>
  <c r="G34" i="4"/>
  <c r="E113" i="5"/>
  <c r="F52" i="5"/>
  <c r="E63" i="5"/>
  <c r="D27" i="4"/>
  <c r="E99" i="4"/>
  <c r="D108" i="3"/>
  <c r="C87" i="4"/>
  <c r="E90" i="4"/>
  <c r="G72" i="5"/>
  <c r="E94" i="5"/>
  <c r="E67" i="4"/>
  <c r="D90" i="5"/>
  <c r="E68" i="5"/>
  <c r="C21" i="5"/>
  <c r="C96" i="4"/>
  <c r="E74" i="5"/>
  <c r="E51" i="3"/>
  <c r="E48" i="5"/>
  <c r="D75" i="3"/>
  <c r="C154" i="5"/>
  <c r="C20" i="3"/>
  <c r="C118" i="3"/>
  <c r="D127" i="5"/>
  <c r="E40" i="5"/>
  <c r="D51" i="5"/>
  <c r="D134" i="3"/>
  <c r="E92" i="4"/>
  <c r="G39" i="5"/>
  <c r="F22" i="3"/>
  <c r="D120" i="5"/>
  <c r="D55" i="3"/>
  <c r="D57" i="5"/>
  <c r="C9" i="4"/>
  <c r="F7" i="4"/>
  <c r="D67" i="4"/>
  <c r="E123" i="4"/>
  <c r="F25" i="3"/>
  <c r="D14" i="3"/>
  <c r="G14" i="5"/>
  <c r="F81" i="3"/>
  <c r="E9" i="3"/>
  <c r="D131" i="4"/>
  <c r="C56" i="5"/>
  <c r="G54" i="4"/>
  <c r="E51" i="5"/>
  <c r="E76" i="3"/>
  <c r="G25" i="4"/>
  <c r="F26" i="4"/>
  <c r="E10" i="5"/>
  <c r="G25" i="5"/>
  <c r="F110" i="3"/>
  <c r="E48" i="3"/>
  <c r="C45" i="5"/>
  <c r="G48" i="3"/>
  <c r="D89" i="5"/>
  <c r="C58" i="3"/>
  <c r="E61" i="3"/>
  <c r="C89" i="3"/>
  <c r="F56" i="4"/>
  <c r="F61" i="3"/>
  <c r="D100" i="5"/>
  <c r="E138" i="5"/>
  <c r="D26" i="4"/>
  <c r="G52" i="5"/>
  <c r="D18" i="3"/>
  <c r="D49" i="3"/>
  <c r="G26" i="3"/>
  <c r="F118" i="3"/>
  <c r="C87" i="3"/>
  <c r="D93" i="4"/>
  <c r="F66" i="4"/>
  <c r="D8" i="5"/>
  <c r="E132" i="5"/>
  <c r="D60" i="3"/>
  <c r="D144" i="5"/>
  <c r="C16" i="4"/>
  <c r="E128" i="5"/>
  <c r="G21" i="5"/>
  <c r="E53" i="5"/>
  <c r="C62" i="4"/>
  <c r="C120" i="5"/>
  <c r="G60" i="5"/>
  <c r="E30" i="3"/>
  <c r="G11" i="5"/>
  <c r="G11" i="3"/>
  <c r="E44" i="4"/>
  <c r="F6" i="3"/>
  <c r="E48" i="4"/>
  <c r="D88" i="3"/>
  <c r="D84" i="4"/>
  <c r="E141" i="5"/>
  <c r="G34" i="3"/>
  <c r="C57" i="5"/>
  <c r="F89" i="5"/>
  <c r="D68" i="4"/>
  <c r="G78" i="5"/>
  <c r="F110" i="5"/>
  <c r="D125" i="5"/>
  <c r="E134" i="4"/>
  <c r="E146" i="5"/>
  <c r="E114" i="4"/>
  <c r="C17" i="4"/>
  <c r="F31" i="5"/>
  <c r="D64" i="4"/>
  <c r="E100" i="5"/>
  <c r="G61" i="3"/>
  <c r="D104" i="3"/>
  <c r="C57" i="4"/>
  <c r="F9" i="3"/>
  <c r="G27" i="3"/>
  <c r="C146" i="5"/>
  <c r="C132" i="3"/>
  <c r="E9" i="4"/>
  <c r="C161" i="5"/>
  <c r="D61" i="5"/>
  <c r="G20" i="3"/>
  <c r="C66" i="3"/>
  <c r="E77" i="4"/>
  <c r="C26" i="3"/>
  <c r="E27" i="5"/>
  <c r="C153" i="5"/>
  <c r="C132" i="4"/>
  <c r="C101" i="4"/>
  <c r="E35" i="3"/>
  <c r="C143" i="5"/>
  <c r="C41" i="3"/>
  <c r="C119" i="3"/>
  <c r="D44" i="4"/>
  <c r="F49" i="4"/>
  <c r="F73" i="5"/>
  <c r="D14" i="5"/>
  <c r="E24" i="4"/>
  <c r="D171" i="5"/>
  <c r="D174" i="5"/>
  <c r="D119" i="5"/>
  <c r="C46" i="3"/>
  <c r="C126" i="5"/>
  <c r="F33" i="3"/>
  <c r="F8" i="4"/>
  <c r="C82" i="4"/>
  <c r="D72" i="5"/>
  <c r="D95" i="3"/>
  <c r="F22" i="4"/>
  <c r="D58" i="3"/>
  <c r="F68" i="4"/>
  <c r="D78" i="5"/>
  <c r="E94" i="4"/>
  <c r="D4" i="3"/>
  <c r="C28" i="4"/>
  <c r="C119" i="4"/>
  <c r="C46" i="5"/>
  <c r="D28" i="3"/>
  <c r="F32" i="5"/>
  <c r="E70" i="4"/>
  <c r="E3" i="4"/>
  <c r="C63" i="5"/>
  <c r="D45" i="5"/>
  <c r="F109" i="3"/>
  <c r="E52" i="4"/>
  <c r="F86" i="4"/>
  <c r="E43" i="5"/>
  <c r="E27" i="4"/>
  <c r="C172" i="5"/>
  <c r="E79" i="5"/>
  <c r="C127" i="4"/>
  <c r="F76" i="4"/>
  <c r="G30" i="4"/>
  <c r="G75" i="5"/>
  <c r="E102" i="3"/>
  <c r="C81" i="4"/>
  <c r="E14" i="3"/>
  <c r="F17" i="5"/>
  <c r="E158" i="5"/>
  <c r="F82" i="4"/>
  <c r="E126" i="4"/>
  <c r="E108" i="5"/>
  <c r="E39" i="4"/>
  <c r="E57" i="3"/>
  <c r="E21" i="5"/>
  <c r="F3" i="4"/>
  <c r="E76" i="5"/>
  <c r="G9" i="4"/>
  <c r="G20" i="5"/>
  <c r="G63" i="5"/>
  <c r="C144" i="5"/>
  <c r="G43" i="5"/>
  <c r="D85" i="4"/>
  <c r="E38" i="4"/>
  <c r="E132" i="4"/>
  <c r="C24" i="3"/>
  <c r="F73" i="3"/>
  <c r="F5" i="5"/>
  <c r="D111" i="4"/>
  <c r="E95" i="3"/>
  <c r="D81" i="3"/>
  <c r="C128" i="4"/>
  <c r="C15" i="4"/>
  <c r="C54" i="5"/>
  <c r="F65" i="4"/>
  <c r="F46" i="3"/>
  <c r="G69" i="3"/>
  <c r="F27" i="5"/>
  <c r="D43" i="4"/>
  <c r="C44" i="5"/>
  <c r="D77" i="4"/>
  <c r="C160" i="5"/>
  <c r="C173" i="5"/>
  <c r="D114" i="5"/>
  <c r="C81" i="3"/>
  <c r="C159" i="5"/>
  <c r="G38" i="3"/>
  <c r="G35" i="3"/>
  <c r="D112" i="4"/>
  <c r="F54" i="4"/>
  <c r="C128" i="5"/>
  <c r="C107" i="5"/>
  <c r="E85" i="5"/>
  <c r="F107" i="5"/>
  <c r="E91" i="4"/>
  <c r="E30" i="4"/>
  <c r="E40" i="4"/>
  <c r="D146" i="5"/>
  <c r="D132" i="3"/>
  <c r="F51" i="5"/>
  <c r="E29" i="5"/>
  <c r="F4" i="3"/>
  <c r="E65" i="5"/>
  <c r="G3" i="3"/>
  <c r="C26" i="5"/>
  <c r="D20" i="5"/>
  <c r="C112" i="5"/>
  <c r="F98" i="3"/>
  <c r="F19" i="5"/>
  <c r="G33" i="5"/>
  <c r="C55" i="4"/>
  <c r="D118" i="5"/>
  <c r="F37" i="3"/>
  <c r="D149" i="5"/>
  <c r="C123" i="5"/>
  <c r="E44" i="5"/>
  <c r="C94" i="4"/>
  <c r="C42" i="5"/>
  <c r="G32" i="3"/>
  <c r="C100" i="5"/>
  <c r="G64" i="5"/>
  <c r="C106" i="5"/>
  <c r="E125" i="4"/>
  <c r="E117" i="3"/>
  <c r="E54" i="3"/>
  <c r="E100" i="4"/>
  <c r="F48" i="3"/>
  <c r="F20" i="4"/>
  <c r="C72" i="5"/>
  <c r="E115" i="4"/>
  <c r="D57" i="4"/>
  <c r="D9" i="4"/>
  <c r="C76" i="5"/>
  <c r="C67" i="5"/>
  <c r="F58" i="5"/>
  <c r="D94" i="4"/>
  <c r="D63" i="5"/>
  <c r="E64" i="3"/>
  <c r="D46" i="3"/>
  <c r="C83" i="4"/>
  <c r="C48" i="3"/>
  <c r="C21" i="3"/>
  <c r="E36" i="3"/>
  <c r="E53" i="4"/>
  <c r="D117" i="4"/>
  <c r="E134" i="3"/>
  <c r="E17" i="5"/>
  <c r="E87" i="3"/>
  <c r="E55" i="5"/>
  <c r="F112" i="5"/>
  <c r="G36" i="3"/>
  <c r="F28" i="4"/>
  <c r="C28" i="3"/>
  <c r="E73" i="5"/>
  <c r="F113" i="3"/>
  <c r="C110" i="4"/>
  <c r="C49" i="5"/>
  <c r="D37" i="3"/>
  <c r="G55" i="5"/>
  <c r="C6" i="3"/>
  <c r="C132" i="5"/>
  <c r="F17" i="3"/>
  <c r="C52" i="3"/>
  <c r="G24" i="4"/>
  <c r="C131" i="4"/>
  <c r="E109" i="4"/>
  <c r="G52" i="4"/>
  <c r="E2" i="4"/>
  <c r="E96" i="3"/>
  <c r="D101" i="3"/>
  <c r="E55" i="4"/>
  <c r="F36" i="5"/>
  <c r="G87" i="5"/>
  <c r="C97" i="4"/>
  <c r="F100" i="5"/>
  <c r="D21" i="5"/>
  <c r="F72" i="5"/>
  <c r="E101" i="4"/>
  <c r="F28" i="3"/>
  <c r="D161" i="5"/>
  <c r="D163" i="5"/>
  <c r="G37" i="4"/>
  <c r="C61" i="4"/>
  <c r="F44" i="5"/>
  <c r="D67" i="3"/>
  <c r="D46" i="4"/>
  <c r="D118" i="3"/>
  <c r="E15" i="5"/>
  <c r="D67" i="5"/>
  <c r="F90" i="5"/>
  <c r="D111" i="3"/>
  <c r="F130" i="5"/>
  <c r="C95" i="3"/>
  <c r="F34" i="3"/>
  <c r="F88" i="3"/>
  <c r="G84" i="3"/>
  <c r="D124" i="3"/>
  <c r="F119" i="3"/>
  <c r="F123" i="3"/>
  <c r="F27" i="4"/>
  <c r="C127" i="5"/>
  <c r="C26" i="4"/>
  <c r="E107" i="3"/>
  <c r="E65" i="4"/>
  <c r="C106" i="3"/>
  <c r="G31" i="5"/>
  <c r="D78" i="3"/>
  <c r="D19" i="3"/>
  <c r="G46" i="4"/>
  <c r="D122" i="3"/>
  <c r="F99" i="4"/>
  <c r="D91" i="5"/>
  <c r="C96" i="5"/>
  <c r="D117" i="3"/>
  <c r="D13" i="3"/>
  <c r="D23" i="3"/>
  <c r="F86" i="3"/>
  <c r="G2" i="3"/>
  <c r="D58" i="4"/>
  <c r="C62" i="3"/>
  <c r="E13" i="5"/>
  <c r="D143" i="5"/>
  <c r="E20" i="3"/>
  <c r="E5" i="3"/>
  <c r="F97" i="4"/>
  <c r="D47" i="3"/>
  <c r="C117" i="3"/>
  <c r="E142" i="5"/>
  <c r="D94" i="5"/>
  <c r="F92" i="3"/>
  <c r="G40" i="5"/>
  <c r="E60" i="4"/>
  <c r="E93" i="3"/>
  <c r="D5" i="4"/>
  <c r="C99" i="3"/>
  <c r="F45" i="4"/>
  <c r="G15" i="4"/>
  <c r="D114" i="3"/>
  <c r="C57" i="3"/>
  <c r="C73" i="5"/>
  <c r="D44" i="5"/>
  <c r="E53" i="3"/>
  <c r="C67" i="3"/>
  <c r="F124" i="5"/>
  <c r="E45" i="4"/>
  <c r="G42" i="4"/>
  <c r="D34" i="5"/>
  <c r="E130" i="5"/>
  <c r="D8" i="4"/>
  <c r="G56" i="5"/>
  <c r="D69" i="5"/>
  <c r="G56" i="3"/>
  <c r="D25" i="4"/>
  <c r="E60" i="5"/>
  <c r="C117" i="4"/>
  <c r="E15" i="3"/>
  <c r="E39" i="3"/>
  <c r="F48" i="5"/>
  <c r="F69" i="5"/>
  <c r="G10" i="3"/>
  <c r="D152" i="5"/>
  <c r="F132" i="5"/>
  <c r="D123" i="5"/>
  <c r="F46" i="5"/>
  <c r="C75" i="4"/>
  <c r="C98" i="4"/>
  <c r="C74" i="4"/>
  <c r="F111" i="3"/>
  <c r="C44" i="3"/>
  <c r="E82" i="3"/>
  <c r="D97" i="4"/>
  <c r="D122" i="5"/>
  <c r="D72" i="3"/>
  <c r="G82" i="3"/>
  <c r="F103" i="5"/>
  <c r="D56" i="3"/>
  <c r="C33" i="3"/>
  <c r="C54" i="4"/>
  <c r="G85" i="5"/>
  <c r="D95" i="4"/>
  <c r="C15" i="5"/>
  <c r="D76" i="5"/>
  <c r="D127" i="3"/>
  <c r="D99" i="3"/>
  <c r="C10" i="3"/>
  <c r="C3" i="5"/>
  <c r="E96" i="5"/>
  <c r="F43" i="4"/>
  <c r="E19" i="4"/>
  <c r="F74" i="4"/>
  <c r="F48" i="4"/>
  <c r="G17" i="5"/>
  <c r="C28" i="5"/>
  <c r="C129" i="5"/>
  <c r="D98" i="3"/>
  <c r="F83" i="3"/>
  <c r="E24" i="3"/>
  <c r="D97" i="3"/>
  <c r="C11" i="4"/>
  <c r="F42" i="5"/>
  <c r="F141" i="5"/>
  <c r="G27" i="5"/>
  <c r="C105" i="5"/>
  <c r="D81" i="4"/>
  <c r="C133" i="4"/>
  <c r="G45" i="5"/>
  <c r="E7" i="4"/>
  <c r="C18" i="5"/>
  <c r="C162" i="5"/>
  <c r="D159" i="5"/>
  <c r="F93" i="4"/>
  <c r="F58" i="3"/>
  <c r="C35" i="4"/>
  <c r="E50" i="3"/>
  <c r="F33" i="5"/>
  <c r="E149" i="5"/>
  <c r="F41" i="5"/>
  <c r="F31" i="3"/>
  <c r="D62" i="3"/>
  <c r="C61" i="3"/>
  <c r="E62" i="5"/>
  <c r="F3" i="3"/>
  <c r="D150" i="5"/>
  <c r="E18" i="3"/>
  <c r="D27" i="3"/>
  <c r="F63" i="4"/>
  <c r="G47" i="5"/>
  <c r="G45" i="3"/>
  <c r="G64" i="3"/>
  <c r="E116" i="5"/>
  <c r="C60" i="3"/>
  <c r="F16" i="5"/>
  <c r="D92" i="5"/>
  <c r="F71" i="5"/>
  <c r="F94" i="3"/>
  <c r="C128" i="3"/>
  <c r="D65" i="3"/>
  <c r="G55" i="4"/>
  <c r="G21" i="3"/>
  <c r="G10" i="4"/>
  <c r="E47" i="4"/>
  <c r="F65" i="5"/>
  <c r="F136" i="5"/>
  <c r="D50" i="5"/>
  <c r="C122" i="4"/>
  <c r="C36" i="5"/>
  <c r="C3" i="3"/>
  <c r="F66" i="5"/>
  <c r="C23" i="3"/>
  <c r="E139" i="4"/>
  <c r="E20" i="5"/>
  <c r="F53" i="5"/>
  <c r="D53" i="3"/>
  <c r="F88" i="4"/>
  <c r="G17" i="4"/>
  <c r="D155" i="5"/>
  <c r="F14" i="3"/>
  <c r="E34" i="3"/>
  <c r="C43" i="5"/>
  <c r="F91" i="5"/>
  <c r="C65" i="5"/>
  <c r="E106" i="3"/>
  <c r="C6" i="5"/>
  <c r="F39" i="3"/>
  <c r="D119" i="4"/>
  <c r="C33" i="4"/>
  <c r="G46" i="3"/>
  <c r="E18" i="5"/>
  <c r="C42" i="4"/>
  <c r="F77" i="3"/>
  <c r="D102" i="3"/>
  <c r="F10" i="5"/>
  <c r="C8" i="4"/>
  <c r="D97" i="5"/>
  <c r="G36" i="5"/>
  <c r="C169" i="5"/>
  <c r="C170" i="5"/>
  <c r="D116" i="4"/>
  <c r="D39" i="4"/>
  <c r="E91" i="3"/>
  <c r="G43" i="4"/>
  <c r="D86" i="3"/>
  <c r="E170" i="5"/>
  <c r="G35" i="5"/>
  <c r="E73" i="3"/>
  <c r="C114" i="3"/>
  <c r="G82" i="5"/>
  <c r="C171" i="5"/>
  <c r="C15" i="3"/>
  <c r="E133" i="5"/>
  <c r="C25" i="3"/>
  <c r="D134" i="5"/>
  <c r="E67" i="3"/>
  <c r="G61" i="5"/>
  <c r="F7" i="3"/>
  <c r="E129" i="4"/>
  <c r="D29" i="4"/>
  <c r="G13" i="4"/>
  <c r="D123" i="4"/>
  <c r="F74" i="5"/>
  <c r="C86" i="5"/>
  <c r="E109" i="3"/>
  <c r="G8" i="5"/>
  <c r="D20" i="3"/>
  <c r="E120" i="5"/>
  <c r="D113" i="4"/>
  <c r="F124" i="3"/>
  <c r="E80" i="5"/>
  <c r="E33" i="4"/>
  <c r="C103" i="3"/>
  <c r="F93" i="3"/>
  <c r="F47" i="4"/>
  <c r="F140" i="5"/>
  <c r="G86" i="5"/>
  <c r="C55" i="5"/>
  <c r="F120" i="5"/>
  <c r="G81" i="5"/>
  <c r="C164" i="5"/>
  <c r="E137" i="3"/>
  <c r="E21" i="3"/>
  <c r="D133" i="5"/>
  <c r="D7" i="3"/>
  <c r="C147" i="5"/>
  <c r="C158" i="5"/>
  <c r="E35" i="5"/>
  <c r="E56" i="3"/>
  <c r="C99" i="4"/>
  <c r="C63" i="3"/>
  <c r="C5" i="5"/>
  <c r="D23" i="5"/>
  <c r="E171" i="5"/>
  <c r="E97" i="5"/>
  <c r="E109" i="5"/>
  <c r="D79" i="4"/>
  <c r="E56" i="5"/>
  <c r="D93" i="3"/>
  <c r="D36" i="3"/>
  <c r="D121" i="5"/>
  <c r="D24" i="4"/>
  <c r="F106" i="3"/>
  <c r="D17" i="5"/>
  <c r="C66" i="5"/>
  <c r="G44" i="4"/>
  <c r="G90" i="3"/>
  <c r="D28" i="5"/>
  <c r="D121" i="3"/>
  <c r="D139" i="5"/>
  <c r="G32" i="4"/>
  <c r="E52" i="3"/>
  <c r="C64" i="5"/>
  <c r="C51" i="3"/>
  <c r="C70" i="4"/>
  <c r="F34" i="4"/>
  <c r="C45" i="3"/>
  <c r="E136" i="4"/>
  <c r="E69" i="3"/>
  <c r="D64" i="5"/>
  <c r="D38" i="4"/>
  <c r="F78" i="4"/>
  <c r="D172" i="5"/>
  <c r="C108" i="3"/>
  <c r="G20" i="4"/>
  <c r="C61" i="5"/>
  <c r="E71" i="5"/>
  <c r="F11" i="5"/>
  <c r="C106" i="4"/>
  <c r="E74" i="4"/>
  <c r="C113" i="4"/>
  <c r="E96" i="4"/>
  <c r="D4" i="4"/>
  <c r="E135" i="4"/>
  <c r="F74" i="3"/>
  <c r="G53" i="4"/>
  <c r="E4" i="3"/>
  <c r="D74" i="3"/>
  <c r="F70" i="4"/>
  <c r="D7" i="5"/>
  <c r="C10" i="5"/>
  <c r="C122" i="5"/>
  <c r="E106" i="4"/>
  <c r="F108" i="5"/>
  <c r="F75" i="3"/>
  <c r="C69" i="4"/>
  <c r="E58" i="3"/>
  <c r="D119" i="3"/>
  <c r="E80" i="4"/>
  <c r="D69" i="3"/>
  <c r="D74" i="5"/>
  <c r="D55" i="4"/>
  <c r="C20" i="5"/>
  <c r="E118" i="5"/>
  <c r="F80" i="3"/>
  <c r="E66" i="3"/>
  <c r="E42" i="3"/>
  <c r="F55" i="3"/>
  <c r="C42" i="3"/>
  <c r="C77" i="4"/>
  <c r="G24" i="5"/>
  <c r="C100" i="3"/>
  <c r="C137" i="3"/>
  <c r="F120" i="3"/>
  <c r="D50" i="3"/>
  <c r="G81" i="3"/>
  <c r="D136" i="5"/>
  <c r="C145" i="5"/>
  <c r="D98" i="5"/>
  <c r="F15" i="5"/>
  <c r="D18" i="5"/>
  <c r="D62" i="5"/>
  <c r="E84" i="3"/>
  <c r="E102" i="4"/>
  <c r="E23" i="5"/>
  <c r="F97" i="3"/>
  <c r="E85" i="3"/>
  <c r="D4" i="5"/>
  <c r="D84" i="3"/>
  <c r="D25" i="3"/>
  <c r="C14" i="4"/>
  <c r="G71" i="5"/>
  <c r="E16" i="4"/>
  <c r="E46" i="3"/>
  <c r="F32" i="4"/>
  <c r="C38" i="3"/>
  <c r="F14" i="4"/>
  <c r="C88" i="4"/>
  <c r="F61" i="5"/>
  <c r="F56" i="3"/>
  <c r="E165" i="5"/>
  <c r="G68" i="3"/>
  <c r="E59" i="4"/>
  <c r="E112" i="3"/>
  <c r="G48" i="4"/>
  <c r="F16" i="3"/>
  <c r="F84" i="4"/>
  <c r="C86" i="4"/>
  <c r="D151" i="5"/>
  <c r="G19" i="4"/>
  <c r="F81" i="4"/>
  <c r="E33" i="3"/>
  <c r="E17" i="3"/>
  <c r="E137" i="4"/>
  <c r="C37" i="4"/>
  <c r="C94" i="3"/>
  <c r="C83" i="5"/>
  <c r="E6" i="3"/>
  <c r="E121" i="3"/>
  <c r="E129" i="5"/>
  <c r="D101" i="5"/>
  <c r="G78" i="3"/>
  <c r="E80" i="3"/>
  <c r="D153" i="5"/>
  <c r="D87" i="3"/>
  <c r="E160" i="5"/>
  <c r="E127" i="4"/>
  <c r="E36" i="5"/>
  <c r="E65" i="3"/>
  <c r="E61" i="5"/>
  <c r="G87" i="3"/>
  <c r="E51" i="4"/>
  <c r="C69" i="3"/>
  <c r="E145" i="5"/>
  <c r="C93" i="4"/>
  <c r="D11" i="4"/>
  <c r="C29" i="4"/>
  <c r="E156" i="5"/>
  <c r="D31" i="5"/>
  <c r="D40" i="4"/>
  <c r="G51" i="3"/>
  <c r="C91" i="5"/>
  <c r="C56" i="4"/>
  <c r="C12" i="4"/>
  <c r="D58" i="5"/>
  <c r="D105" i="4"/>
  <c r="E107" i="5"/>
  <c r="E27" i="3"/>
  <c r="D110" i="3"/>
  <c r="D16" i="5"/>
  <c r="F41" i="3"/>
  <c r="D41" i="3"/>
  <c r="C76" i="4"/>
  <c r="F113" i="5"/>
  <c r="C33" i="5"/>
  <c r="C3" i="4"/>
  <c r="C92" i="5"/>
  <c r="F30" i="5"/>
  <c r="F69" i="4"/>
  <c r="G40" i="4"/>
  <c r="C142" i="5"/>
  <c r="G30" i="3"/>
  <c r="C27" i="5"/>
  <c r="E117" i="5"/>
  <c r="D177" i="5"/>
  <c r="C43" i="4"/>
  <c r="C111" i="3"/>
  <c r="F84" i="5"/>
  <c r="E23" i="4"/>
  <c r="D115" i="4"/>
  <c r="D50" i="4"/>
  <c r="G15" i="5"/>
  <c r="G77" i="3"/>
  <c r="E25" i="4"/>
  <c r="D96" i="4"/>
  <c r="E133" i="4"/>
  <c r="D93" i="5"/>
  <c r="D164" i="5"/>
  <c r="E75" i="4"/>
  <c r="C34" i="4"/>
  <c r="F65" i="3"/>
  <c r="D41" i="5"/>
  <c r="D80" i="5"/>
  <c r="G6" i="4"/>
  <c r="F62" i="3"/>
  <c r="F114" i="3"/>
  <c r="E55" i="3"/>
  <c r="C88" i="5"/>
  <c r="E125" i="5"/>
  <c r="D20" i="4"/>
  <c r="C22" i="3"/>
  <c r="E6" i="4"/>
  <c r="E34" i="4"/>
  <c r="D107" i="4"/>
  <c r="E69" i="5"/>
  <c r="D95" i="5"/>
  <c r="D115" i="3"/>
  <c r="E108" i="4"/>
  <c r="E104" i="5"/>
  <c r="E126" i="3"/>
  <c r="C177" i="5"/>
  <c r="F92" i="4"/>
  <c r="E121" i="4"/>
  <c r="E49" i="5"/>
  <c r="D32" i="4"/>
  <c r="F82" i="3"/>
  <c r="D79" i="5"/>
  <c r="F40" i="5"/>
  <c r="F62" i="4"/>
  <c r="G5" i="5"/>
  <c r="F85" i="4"/>
  <c r="C138" i="4"/>
  <c r="F12" i="4"/>
  <c r="F20" i="5"/>
  <c r="C7" i="3"/>
  <c r="F13" i="3"/>
  <c r="E71" i="3"/>
  <c r="E92" i="3"/>
  <c r="C59" i="4"/>
  <c r="E17" i="4"/>
  <c r="C126" i="3"/>
  <c r="D33" i="3"/>
  <c r="F47" i="5"/>
  <c r="D100" i="3"/>
  <c r="D109" i="4"/>
  <c r="D73" i="4"/>
  <c r="D107" i="3"/>
  <c r="F68" i="5"/>
  <c r="C21" i="4"/>
  <c r="D103" i="3"/>
  <c r="D167" i="5"/>
  <c r="D37" i="4"/>
  <c r="F126" i="3"/>
  <c r="E175" i="5"/>
  <c r="C130" i="3"/>
  <c r="E50" i="5"/>
  <c r="E130" i="4"/>
  <c r="E159" i="5"/>
  <c r="D49" i="4"/>
  <c r="F56" i="5"/>
  <c r="G50" i="3"/>
  <c r="E172" i="5"/>
  <c r="F39" i="5"/>
  <c r="F95" i="4"/>
  <c r="F18" i="5"/>
  <c r="C78" i="3"/>
  <c r="G48" i="5"/>
  <c r="F79" i="5"/>
  <c r="C91" i="3"/>
  <c r="E67" i="5"/>
  <c r="F87" i="3"/>
  <c r="C46" i="4"/>
  <c r="C32" i="3"/>
  <c r="E127" i="5"/>
  <c r="D133" i="4"/>
  <c r="C80" i="4"/>
  <c r="D27" i="5"/>
  <c r="F75" i="5"/>
  <c r="C37" i="3"/>
  <c r="F85" i="3"/>
  <c r="C68" i="5"/>
  <c r="F25" i="4"/>
  <c r="E103" i="3"/>
  <c r="F129" i="5"/>
  <c r="C114" i="5"/>
  <c r="E93" i="5"/>
  <c r="E36" i="4"/>
  <c r="F60" i="4"/>
  <c r="F15" i="3"/>
  <c r="C55" i="3"/>
  <c r="C70" i="5"/>
  <c r="C130" i="4"/>
  <c r="C135" i="5"/>
  <c r="E163" i="5"/>
  <c r="D3" i="4"/>
  <c r="F73" i="4"/>
  <c r="F60" i="3"/>
  <c r="G23" i="5"/>
  <c r="G12" i="5"/>
  <c r="F5" i="3"/>
  <c r="F97" i="5"/>
  <c r="G63" i="3"/>
  <c r="C16" i="5"/>
  <c r="C40" i="5"/>
  <c r="G23" i="4"/>
  <c r="E28" i="3"/>
  <c r="C76" i="3"/>
  <c r="F19" i="3"/>
  <c r="F101" i="3"/>
  <c r="D122" i="4"/>
  <c r="C103" i="5"/>
  <c r="G40" i="3"/>
  <c r="C6" i="4"/>
  <c r="E119" i="3"/>
  <c r="E4" i="5"/>
  <c r="G44" i="3"/>
  <c r="F35" i="3"/>
  <c r="D34" i="3"/>
  <c r="E73" i="4"/>
  <c r="F64" i="4"/>
  <c r="D120" i="3"/>
  <c r="F139" i="5"/>
  <c r="E10" i="3"/>
  <c r="D91" i="3"/>
  <c r="C97" i="5"/>
  <c r="E152" i="5"/>
  <c r="E122" i="3"/>
  <c r="E104" i="4"/>
  <c r="F52" i="4"/>
  <c r="E150" i="5"/>
  <c r="C62" i="5"/>
  <c r="D66" i="3"/>
  <c r="D66" i="5"/>
  <c r="E176" i="5"/>
  <c r="C107" i="3"/>
  <c r="D85" i="3"/>
  <c r="D14" i="4"/>
  <c r="E3" i="5"/>
  <c r="F2" i="5"/>
  <c r="D175" i="5"/>
  <c r="E13" i="4"/>
  <c r="D51" i="4"/>
  <c r="G62" i="3"/>
  <c r="F112" i="3"/>
  <c r="C138" i="5"/>
  <c r="C17" i="5"/>
  <c r="G12" i="3"/>
  <c r="F76" i="3"/>
  <c r="C66" i="4"/>
  <c r="E106" i="5"/>
  <c r="D173" i="5"/>
  <c r="D130" i="3"/>
  <c r="E58" i="4"/>
  <c r="C107" i="4"/>
  <c r="F103" i="3"/>
  <c r="F26" i="3"/>
  <c r="E66" i="5"/>
  <c r="G28" i="5"/>
  <c r="D79" i="3"/>
  <c r="E140" i="5"/>
  <c r="D75" i="5"/>
  <c r="D89" i="4"/>
  <c r="C17" i="3"/>
  <c r="D128" i="5"/>
  <c r="E113" i="4"/>
  <c r="F17" i="4"/>
  <c r="E78" i="3"/>
  <c r="D131" i="5"/>
  <c r="E86" i="4"/>
  <c r="F104" i="3"/>
  <c r="D2" i="5"/>
  <c r="D114" i="4"/>
  <c r="C80" i="3"/>
  <c r="E173" i="5"/>
  <c r="E14" i="5"/>
  <c r="E99" i="5"/>
  <c r="C123" i="3"/>
  <c r="F127" i="5"/>
  <c r="E78" i="5"/>
  <c r="G47" i="3"/>
  <c r="E122" i="5"/>
  <c r="C75" i="5"/>
  <c r="G44" i="5"/>
  <c r="D66" i="4"/>
  <c r="E162" i="5"/>
  <c r="E90" i="3"/>
  <c r="E122" i="4"/>
  <c r="F75" i="4"/>
  <c r="C14" i="5"/>
  <c r="C51" i="5"/>
  <c r="G58" i="3"/>
  <c r="E16" i="3"/>
  <c r="D176" i="5"/>
  <c r="D141" i="5"/>
  <c r="E39" i="5"/>
  <c r="E25" i="3"/>
  <c r="D6" i="3"/>
  <c r="E57" i="4"/>
  <c r="D21" i="3"/>
  <c r="C35" i="5"/>
  <c r="C84" i="4"/>
  <c r="D47" i="5"/>
  <c r="E10" i="4"/>
  <c r="C67" i="4"/>
  <c r="D12" i="5"/>
  <c r="E105" i="4"/>
  <c r="G69" i="5"/>
  <c r="E8" i="3"/>
  <c r="D5" i="5"/>
  <c r="E135" i="3"/>
  <c r="C30" i="3"/>
  <c r="D85" i="5"/>
  <c r="C135" i="3"/>
  <c r="C167" i="5"/>
  <c r="C95" i="5"/>
  <c r="F50" i="3"/>
  <c r="F102" i="3"/>
  <c r="D110" i="5"/>
  <c r="D7" i="4"/>
  <c r="F126" i="5"/>
  <c r="D36" i="4"/>
  <c r="F116" i="3"/>
  <c r="E94" i="3"/>
  <c r="C72" i="4"/>
  <c r="F20" i="3"/>
  <c r="C72" i="3"/>
  <c r="C97" i="3"/>
  <c r="C11" i="5"/>
  <c r="C45" i="4"/>
  <c r="E107" i="4"/>
  <c r="D106" i="5"/>
  <c r="G37" i="3"/>
  <c r="F8" i="3"/>
  <c r="E7" i="5"/>
  <c r="C111" i="5"/>
  <c r="D63" i="4"/>
  <c r="D61" i="3"/>
  <c r="D83" i="5"/>
  <c r="D54" i="3"/>
  <c r="D22" i="4"/>
  <c r="E5" i="5"/>
  <c r="G29" i="3"/>
  <c r="C41" i="5"/>
  <c r="F89" i="3"/>
  <c r="D22" i="5"/>
  <c r="C127" i="3"/>
  <c r="C48" i="5"/>
  <c r="G5" i="4"/>
  <c r="G18" i="4"/>
  <c r="F37" i="4"/>
  <c r="G54" i="3"/>
  <c r="C11" i="3"/>
  <c r="F43" i="3"/>
  <c r="F12" i="3"/>
  <c r="E124" i="4"/>
  <c r="C176" i="5"/>
  <c r="E11" i="5"/>
  <c r="C140" i="5"/>
  <c r="F60" i="5"/>
  <c r="F107" i="3"/>
  <c r="D48" i="4"/>
  <c r="C112" i="4"/>
  <c r="D12" i="3"/>
  <c r="G83" i="3"/>
  <c r="F30" i="4"/>
  <c r="D78" i="4"/>
  <c r="C93" i="5"/>
  <c r="G36" i="4"/>
  <c r="G3" i="5"/>
  <c r="C73" i="3"/>
  <c r="D103" i="5"/>
  <c r="D11" i="5"/>
  <c r="C168" i="5"/>
  <c r="F47" i="3"/>
  <c r="C47" i="4"/>
  <c r="D75" i="4"/>
  <c r="C12" i="5"/>
  <c r="D111" i="5"/>
  <c r="D31" i="3"/>
  <c r="G31" i="3"/>
  <c r="E16" i="5"/>
  <c r="C175" i="5"/>
  <c r="D3" i="5"/>
  <c r="C81" i="5"/>
  <c r="F99" i="5"/>
  <c r="C5" i="3"/>
  <c r="D115" i="5"/>
  <c r="F30" i="3"/>
  <c r="E131" i="4"/>
  <c r="D26" i="3"/>
  <c r="D165" i="5"/>
  <c r="E8" i="4"/>
  <c r="C58" i="4"/>
  <c r="F94" i="5"/>
  <c r="G93" i="5"/>
  <c r="G50" i="5"/>
  <c r="D39" i="5"/>
  <c r="F77" i="4"/>
  <c r="C101" i="3"/>
  <c r="D99" i="4"/>
  <c r="C139" i="5"/>
  <c r="D102" i="5"/>
  <c r="G50" i="4"/>
  <c r="G16" i="3"/>
  <c r="D73" i="3"/>
  <c r="G27" i="4"/>
  <c r="E2" i="5"/>
  <c r="C90" i="3"/>
  <c r="E82" i="4"/>
  <c r="E120" i="3"/>
  <c r="C92" i="4"/>
  <c r="E108" i="3"/>
  <c r="C118" i="4"/>
  <c r="D10" i="3"/>
  <c r="C84" i="3"/>
  <c r="G79" i="3"/>
  <c r="E44" i="3"/>
  <c r="F82" i="5"/>
  <c r="E20" i="4"/>
  <c r="D156" i="5"/>
  <c r="C65" i="4"/>
  <c r="C2" i="4"/>
  <c r="D46" i="5"/>
  <c r="D128" i="3"/>
  <c r="G28" i="4"/>
  <c r="C98" i="3"/>
  <c r="C40" i="3"/>
  <c r="C78" i="4"/>
  <c r="E79" i="4"/>
  <c r="C74" i="3"/>
  <c r="E49" i="4"/>
  <c r="F4" i="5"/>
  <c r="F3" i="5"/>
  <c r="C22" i="4"/>
  <c r="G46" i="5"/>
  <c r="G56" i="4"/>
  <c r="D30" i="3"/>
  <c r="D52" i="4"/>
  <c r="E19" i="5"/>
  <c r="C4" i="3"/>
  <c r="F134" i="5"/>
  <c r="D37" i="5"/>
  <c r="C134" i="5"/>
  <c r="F40" i="4"/>
  <c r="D13" i="4"/>
  <c r="D22" i="3"/>
  <c r="F54" i="5"/>
  <c r="D109" i="5"/>
  <c r="F25" i="5"/>
  <c r="C8" i="3"/>
  <c r="C98" i="5"/>
  <c r="D125" i="3"/>
  <c r="G92" i="5"/>
  <c r="E84" i="5"/>
  <c r="E95" i="4"/>
  <c r="G65" i="5"/>
  <c r="G49" i="4"/>
  <c r="F137" i="5"/>
  <c r="E98" i="5"/>
  <c r="G90" i="5"/>
  <c r="E31" i="4"/>
  <c r="G47" i="4"/>
  <c r="D9" i="3"/>
  <c r="E104" i="3"/>
  <c r="C101" i="5"/>
  <c r="E6" i="5"/>
  <c r="D96" i="3"/>
  <c r="E115" i="3"/>
  <c r="C148" i="5"/>
  <c r="F4" i="4"/>
  <c r="D135" i="4"/>
  <c r="C31" i="3"/>
  <c r="F77" i="5"/>
  <c r="E101" i="3"/>
  <c r="D42" i="3"/>
  <c r="C91" i="4"/>
  <c r="G7" i="3"/>
  <c r="C109" i="5"/>
  <c r="G28" i="3"/>
  <c r="F76" i="5"/>
  <c r="E157" i="5"/>
  <c r="E45" i="5"/>
  <c r="C39" i="4"/>
  <c r="C121" i="5"/>
  <c r="D48" i="3"/>
  <c r="F59" i="4"/>
  <c r="D102" i="4"/>
  <c r="D3" i="3"/>
  <c r="C30" i="4"/>
  <c r="F85" i="5"/>
  <c r="E126" i="5"/>
  <c r="E134" i="5"/>
  <c r="E76" i="4"/>
  <c r="D108" i="4"/>
  <c r="G18" i="3"/>
  <c r="F111" i="5"/>
  <c r="G60" i="3"/>
  <c r="E77" i="3"/>
  <c r="D136" i="4"/>
  <c r="D76" i="4"/>
  <c r="D126" i="5"/>
  <c r="C155" i="5"/>
  <c r="D71" i="3"/>
  <c r="C43" i="3"/>
  <c r="C83" i="3"/>
  <c r="G85" i="3"/>
  <c r="G75" i="3"/>
  <c r="E61" i="4"/>
  <c r="C114" i="4"/>
  <c r="D68" i="5"/>
  <c r="G26" i="4"/>
  <c r="G17" i="3"/>
  <c r="D15" i="5"/>
  <c r="C13" i="5"/>
  <c r="G58" i="5"/>
  <c r="C120" i="4"/>
  <c r="D104" i="5"/>
  <c r="F18" i="3"/>
  <c r="F105" i="3"/>
  <c r="F131" i="5"/>
  <c r="C32" i="5"/>
  <c r="C151" i="5"/>
  <c r="E177" i="5"/>
  <c r="E63" i="3"/>
  <c r="E114" i="3"/>
  <c r="F21" i="5"/>
  <c r="G4" i="4"/>
  <c r="F23" i="5"/>
  <c r="F92" i="5"/>
  <c r="F81" i="5"/>
  <c r="E148" i="5"/>
  <c r="G4" i="5"/>
  <c r="D40" i="5"/>
  <c r="F96" i="4"/>
  <c r="D142" i="5"/>
  <c r="F24" i="5"/>
  <c r="D84" i="5"/>
  <c r="D48" i="5"/>
  <c r="C96" i="3"/>
  <c r="D34" i="4"/>
  <c r="C4" i="4"/>
  <c r="F58" i="4"/>
  <c r="G51" i="4"/>
  <c r="G35" i="4"/>
  <c r="E24" i="5"/>
  <c r="D2" i="4"/>
  <c r="C112" i="3"/>
  <c r="D121" i="4"/>
  <c r="C29" i="3"/>
  <c r="G84" i="5"/>
  <c r="E139" i="5"/>
  <c r="G7" i="4"/>
  <c r="E111" i="4"/>
  <c r="G80" i="3"/>
  <c r="D60" i="4"/>
  <c r="F7" i="5"/>
  <c r="E37" i="5"/>
  <c r="E128" i="4"/>
  <c r="E72" i="5"/>
  <c r="D106" i="3"/>
  <c r="F83" i="4"/>
  <c r="C129" i="4"/>
  <c r="E41" i="5"/>
  <c r="D129" i="4"/>
  <c r="G4" i="3"/>
  <c r="D112" i="5"/>
  <c r="G62" i="5"/>
  <c r="E87" i="5"/>
  <c r="C58" i="5"/>
  <c r="E83" i="5"/>
  <c r="E37" i="4"/>
  <c r="D41" i="4"/>
  <c r="G34" i="5"/>
  <c r="C92" i="3"/>
  <c r="D55" i="5"/>
  <c r="E35" i="4"/>
  <c r="E101" i="5"/>
  <c r="D87" i="5"/>
  <c r="F80" i="4"/>
  <c r="G2" i="4"/>
  <c r="D56" i="5"/>
  <c r="C125" i="5"/>
  <c r="C18" i="4"/>
  <c r="G13" i="5"/>
  <c r="E59" i="3"/>
  <c r="E60" i="3"/>
  <c r="F108" i="3"/>
  <c r="F13" i="5"/>
  <c r="D9" i="5"/>
  <c r="D92" i="3"/>
  <c r="G79" i="5"/>
  <c r="C78" i="5"/>
  <c r="D138" i="4"/>
  <c r="D77" i="5"/>
  <c r="D99" i="5"/>
  <c r="E31" i="3"/>
  <c r="F133" i="5"/>
  <c r="D59" i="3"/>
  <c r="D157" i="5"/>
  <c r="G5" i="3"/>
  <c r="F70" i="5"/>
  <c r="D38" i="5"/>
  <c r="C115" i="4"/>
  <c r="D6" i="4"/>
  <c r="D98" i="4"/>
  <c r="C90" i="5"/>
  <c r="E136" i="5"/>
  <c r="F78" i="5"/>
  <c r="E49" i="3"/>
  <c r="F67" i="4"/>
  <c r="E15" i="4"/>
  <c r="E28" i="4"/>
  <c r="F119" i="5"/>
  <c r="E115" i="5"/>
  <c r="F31" i="4"/>
  <c r="E62" i="4"/>
  <c r="F64" i="3"/>
  <c r="C25" i="4"/>
  <c r="C16" i="3"/>
  <c r="C7" i="4"/>
  <c r="C136" i="4"/>
  <c r="C24" i="5"/>
  <c r="D81" i="5"/>
  <c r="F63" i="5"/>
  <c r="F53" i="3"/>
  <c r="G73" i="3"/>
  <c r="G8" i="3"/>
  <c r="E103" i="5"/>
  <c r="D80" i="4"/>
  <c r="F10" i="3"/>
  <c r="C119" i="5"/>
  <c r="E99" i="3"/>
  <c r="D148" i="5"/>
  <c r="E112" i="4"/>
  <c r="D15" i="3"/>
  <c r="E75" i="5"/>
  <c r="E81" i="3"/>
  <c r="E147" i="5"/>
  <c r="E56" i="4"/>
  <c r="C149" i="5"/>
  <c r="C51" i="4"/>
  <c r="D16" i="3"/>
  <c r="C133" i="5"/>
  <c r="E34" i="5"/>
  <c r="E22" i="5"/>
  <c r="G89" i="3"/>
  <c r="E4" i="4"/>
  <c r="F49" i="5"/>
  <c r="C73" i="4"/>
  <c r="D137" i="5"/>
  <c r="C65" i="3"/>
  <c r="E111" i="5"/>
  <c r="F79" i="4"/>
  <c r="E97" i="4"/>
  <c r="G41" i="3"/>
  <c r="D103" i="4"/>
  <c r="D129" i="5"/>
  <c r="F36" i="3"/>
  <c r="D168" i="5"/>
  <c r="F24" i="4"/>
  <c r="C116" i="5"/>
  <c r="C152" i="5"/>
  <c r="D136" i="3"/>
  <c r="C122" i="3"/>
  <c r="F51" i="3"/>
  <c r="E169" i="5"/>
  <c r="E70" i="5"/>
  <c r="D15" i="4"/>
  <c r="F114" i="5"/>
  <c r="E12" i="5"/>
  <c r="D132" i="5"/>
  <c r="D96" i="5"/>
  <c r="D21" i="4"/>
  <c r="E70" i="3"/>
  <c r="C71" i="3"/>
  <c r="F90" i="4"/>
  <c r="D140" i="5"/>
  <c r="E42" i="4"/>
  <c r="E89" i="4"/>
  <c r="D83" i="3"/>
  <c r="F38" i="3"/>
  <c r="E89" i="5"/>
  <c r="F32" i="3"/>
  <c r="C49" i="4"/>
  <c r="E119" i="4"/>
  <c r="E98" i="4"/>
  <c r="D158" i="5"/>
  <c r="D19" i="5"/>
  <c r="G6" i="3"/>
  <c r="E103" i="4"/>
  <c r="E38" i="5"/>
  <c r="C116" i="3"/>
  <c r="D106" i="4"/>
  <c r="E57" i="5"/>
  <c r="G18" i="5"/>
  <c r="C93" i="3"/>
  <c r="F19" i="4"/>
  <c r="G43" i="3"/>
  <c r="E72" i="3"/>
  <c r="C48" i="4"/>
  <c r="E72" i="4"/>
  <c r="G49" i="5"/>
  <c r="C89" i="4"/>
  <c r="D105" i="3"/>
  <c r="F71" i="4"/>
  <c r="C27" i="4"/>
  <c r="G91" i="5"/>
  <c r="E98" i="3"/>
  <c r="G33" i="3"/>
  <c r="E14" i="4"/>
  <c r="F125" i="5"/>
  <c r="D57" i="3"/>
  <c r="F115" i="5"/>
  <c r="D88" i="4"/>
  <c r="F59" i="5"/>
  <c r="D166" i="5"/>
  <c r="D145" i="5"/>
  <c r="F79" i="3"/>
  <c r="E135" i="5"/>
  <c r="E69" i="4"/>
  <c r="C75" i="3"/>
  <c r="C117" i="5"/>
  <c r="C102" i="3"/>
  <c r="E86" i="3"/>
  <c r="E32" i="4"/>
  <c r="C23" i="4"/>
  <c r="C77" i="3"/>
  <c r="G57" i="3"/>
  <c r="C9" i="3"/>
  <c r="F78" i="3"/>
  <c r="E46" i="5"/>
  <c r="E41" i="3"/>
  <c r="G22" i="5"/>
  <c r="D62" i="4"/>
  <c r="C85" i="3"/>
  <c r="C32" i="4"/>
  <c r="D110" i="4"/>
  <c r="D13" i="5"/>
  <c r="G11" i="4"/>
  <c r="C116" i="4"/>
  <c r="E38" i="3"/>
  <c r="G30" i="5"/>
  <c r="G33" i="4"/>
  <c r="E22" i="4"/>
  <c r="E91" i="5"/>
  <c r="D82" i="4"/>
  <c r="D69" i="4"/>
  <c r="F11" i="3"/>
  <c r="D125" i="4"/>
  <c r="E97" i="3"/>
  <c r="F12" i="5"/>
  <c r="F28" i="5"/>
  <c r="F35" i="4"/>
  <c r="F122" i="5"/>
  <c r="C133" i="3"/>
  <c r="C131" i="3"/>
  <c r="C27" i="3"/>
  <c r="E75" i="3"/>
  <c r="E23" i="3"/>
  <c r="F89" i="4"/>
  <c r="C124" i="4"/>
  <c r="E41" i="4"/>
  <c r="F106" i="5"/>
  <c r="D51" i="3"/>
  <c r="C165" i="5"/>
  <c r="C100" i="4"/>
  <c r="C44" i="4"/>
  <c r="F54" i="3"/>
  <c r="G16" i="5"/>
  <c r="F83" i="5"/>
  <c r="E9" i="5"/>
  <c r="F57" i="3"/>
  <c r="C59" i="5"/>
  <c r="D82" i="5"/>
  <c r="C131" i="5"/>
  <c r="D123" i="3"/>
  <c r="G53" i="3"/>
  <c r="E154" i="5"/>
  <c r="D86" i="5"/>
  <c r="G2" i="5"/>
  <c r="C135" i="4"/>
  <c r="E2" i="3"/>
  <c r="E11" i="3"/>
  <c r="G37" i="5"/>
  <c r="D17" i="4"/>
  <c r="D82" i="3"/>
  <c r="G39" i="3"/>
  <c r="G19" i="5"/>
  <c r="E93" i="4"/>
  <c r="D8" i="3"/>
  <c r="E87" i="4"/>
  <c r="D12" i="4"/>
  <c r="G41" i="5"/>
  <c r="F27" i="3"/>
  <c r="C34" i="5"/>
  <c r="D160" i="5"/>
  <c r="E144" i="5"/>
  <c r="C163" i="5"/>
  <c r="C123" i="4"/>
  <c r="F117" i="5"/>
  <c r="D65" i="4"/>
  <c r="D116" i="5"/>
  <c r="F18" i="4"/>
  <c r="F50" i="4"/>
  <c r="E89" i="3"/>
  <c r="F96" i="5"/>
  <c r="D133" i="3"/>
  <c r="C18" i="3"/>
  <c r="E78" i="4"/>
  <c r="D154" i="5"/>
  <c r="C50" i="3"/>
  <c r="E42" i="5"/>
  <c r="E95" i="5"/>
  <c r="E5" i="4"/>
  <c r="F55" i="4"/>
  <c r="E130" i="3"/>
  <c r="C139" i="4"/>
  <c r="F41" i="4"/>
  <c r="G15" i="3"/>
  <c r="D52" i="5"/>
  <c r="G29" i="5"/>
  <c r="E85" i="4"/>
  <c r="E111" i="3"/>
  <c r="G52" i="3"/>
  <c r="D170" i="5"/>
  <c r="E68" i="4"/>
  <c r="D169" i="5"/>
  <c r="E102" i="5"/>
  <c r="E81" i="5"/>
  <c r="D131" i="3"/>
  <c r="E121" i="5"/>
  <c r="G57" i="4"/>
  <c r="D80" i="3"/>
  <c r="D113" i="3"/>
  <c r="G77" i="5"/>
  <c r="E12" i="3"/>
  <c r="F99" i="3"/>
  <c r="F43" i="5"/>
  <c r="F6" i="5"/>
  <c r="E110" i="3"/>
  <c r="F123" i="5"/>
  <c r="C22" i="5"/>
  <c r="D28" i="4"/>
  <c r="E100" i="3"/>
  <c r="G66" i="3"/>
  <c r="C88" i="3"/>
  <c r="F127" i="3"/>
  <c r="C121" i="3"/>
  <c r="D54" i="5"/>
  <c r="G73" i="5"/>
  <c r="D56" i="4"/>
  <c r="F26" i="5"/>
  <c r="E66" i="4"/>
  <c r="G59" i="3"/>
  <c r="D42" i="5"/>
  <c r="C82" i="3"/>
  <c r="C74" i="5"/>
  <c r="D64" i="3"/>
  <c r="D23" i="4"/>
  <c r="G42" i="5"/>
  <c r="E133" i="3"/>
  <c r="E31" i="5"/>
  <c r="C50" i="5"/>
  <c r="E30" i="5"/>
  <c r="C115" i="5"/>
  <c r="C129" i="3"/>
  <c r="F138" i="5"/>
  <c r="D137" i="4"/>
  <c r="F15" i="4"/>
  <c r="E138" i="4"/>
  <c r="D31" i="4"/>
  <c r="E131" i="5"/>
  <c r="E136" i="3"/>
  <c r="F34" i="5"/>
  <c r="D83" i="4"/>
  <c r="E29" i="3"/>
  <c r="G19" i="3"/>
  <c r="E120" i="4"/>
  <c r="E123" i="5"/>
  <c r="E166" i="5"/>
  <c r="D138" i="5"/>
  <c r="F88" i="5"/>
  <c r="C30" i="5"/>
  <c r="E82" i="5"/>
  <c r="C137" i="5"/>
  <c r="D63" i="3"/>
  <c r="D19" i="4"/>
  <c r="G22" i="4"/>
  <c r="E50" i="4"/>
  <c r="C41" i="4"/>
  <c r="F35" i="5"/>
  <c r="C69" i="5"/>
  <c r="F118" i="5"/>
  <c r="E29" i="4"/>
  <c r="D10" i="4"/>
  <c r="F66" i="3"/>
  <c r="D70" i="3"/>
  <c r="D89" i="3"/>
  <c r="D43" i="5"/>
  <c r="C124" i="3"/>
  <c r="E153" i="5"/>
  <c r="G49" i="3"/>
  <c r="C110" i="5"/>
  <c r="C104" i="5"/>
  <c r="C84" i="5"/>
  <c r="E88" i="5"/>
  <c r="D129" i="3"/>
  <c r="F122" i="3"/>
  <c r="F86" i="5"/>
  <c r="D11" i="3"/>
  <c r="F9" i="5"/>
  <c r="C102" i="4"/>
  <c r="C4" i="5"/>
  <c r="D53" i="5"/>
  <c r="F29" i="4"/>
  <c r="C53" i="4"/>
  <c r="C104" i="3"/>
  <c r="F105" i="5"/>
  <c r="D94" i="3"/>
  <c r="F11" i="4"/>
  <c r="D76" i="3"/>
  <c r="F9" i="4"/>
  <c r="D29" i="5"/>
  <c r="D127" i="4"/>
  <c r="E22" i="3"/>
  <c r="C150" i="5"/>
  <c r="E46" i="4"/>
  <c r="E63" i="4"/>
  <c r="C85" i="5"/>
  <c r="G3" i="4"/>
  <c r="G38" i="4"/>
  <c r="E105" i="5"/>
  <c r="E54" i="4"/>
  <c r="C19" i="4"/>
  <c r="D112" i="3"/>
  <c r="G59" i="5"/>
  <c r="D135" i="3"/>
  <c r="D59" i="4"/>
  <c r="E32" i="5"/>
  <c r="F44" i="4"/>
  <c r="G68" i="5"/>
  <c r="E74" i="3"/>
  <c r="D36" i="5"/>
  <c r="G53" i="5"/>
  <c r="E7" i="3"/>
  <c r="C31" i="4"/>
  <c r="D132" i="4"/>
  <c r="C52" i="5"/>
  <c r="C125" i="4"/>
  <c r="E155" i="5"/>
  <c r="C68" i="3"/>
  <c r="E116" i="3"/>
  <c r="E124" i="5"/>
  <c r="D120" i="4"/>
  <c r="D137" i="3"/>
  <c r="C118" i="5"/>
  <c r="D88" i="5"/>
  <c r="G42" i="3"/>
  <c r="F143" i="5"/>
  <c r="D126" i="4"/>
  <c r="D32" i="3"/>
  <c r="D45" i="3"/>
  <c r="D162" i="5"/>
  <c r="E128" i="3"/>
  <c r="C120" i="3"/>
  <c r="D105" i="5"/>
  <c r="C70" i="3"/>
  <c r="C13" i="3"/>
  <c r="D71" i="4"/>
  <c r="E52" i="5"/>
  <c r="G76" i="3"/>
  <c r="D45" i="4"/>
  <c r="F2" i="4"/>
  <c r="G86" i="3"/>
  <c r="F115" i="3"/>
  <c r="G66" i="5"/>
  <c r="F71" i="3"/>
  <c r="D29" i="3"/>
  <c r="G83" i="5"/>
  <c r="C111" i="4"/>
  <c r="E167" i="5"/>
  <c r="C113" i="5"/>
  <c r="G7" i="5"/>
  <c r="C31" i="5"/>
  <c r="F57" i="5"/>
  <c r="E19" i="3"/>
  <c r="D32" i="5"/>
  <c r="C105" i="3"/>
  <c r="F93" i="5"/>
  <c r="C71" i="4"/>
  <c r="D24" i="3"/>
  <c r="F67" i="3"/>
  <c r="C157" i="5"/>
  <c r="E118" i="3"/>
  <c r="D10" i="5"/>
  <c r="E13" i="3"/>
  <c r="C19" i="5"/>
  <c r="C2" i="5"/>
  <c r="D113" i="5"/>
  <c r="F95" i="3"/>
  <c r="E88" i="3"/>
  <c r="D116" i="3"/>
  <c r="D87" i="4"/>
  <c r="E114" i="5"/>
  <c r="D73" i="5"/>
  <c r="F8" i="5"/>
  <c r="C35" i="3"/>
  <c r="F42" i="3"/>
  <c r="G55" i="3"/>
  <c r="D16" i="4"/>
  <c r="F61" i="4"/>
  <c r="E25" i="5"/>
  <c r="D108" i="5"/>
  <c r="C80" i="5"/>
  <c r="F23" i="3"/>
  <c r="G67" i="3"/>
  <c r="E45" i="3"/>
  <c r="E58" i="5"/>
  <c r="C49" i="3"/>
  <c r="F39" i="4"/>
  <c r="G29" i="4"/>
  <c r="E26" i="4"/>
  <c r="F50" i="5"/>
  <c r="D33" i="5"/>
  <c r="C137" i="4"/>
  <c r="D54" i="4"/>
  <c r="C60" i="5"/>
  <c r="E143" i="5"/>
  <c r="C99" i="5"/>
  <c r="F42" i="4"/>
  <c r="C108" i="5"/>
  <c r="F52" i="3"/>
  <c r="F102" i="5"/>
  <c r="C68" i="4"/>
  <c r="F84" i="3"/>
  <c r="F90" i="3"/>
  <c r="C8" i="5"/>
  <c r="C126" i="4"/>
  <c r="C38" i="5"/>
  <c r="C95" i="4"/>
  <c r="C47" i="5"/>
  <c r="D77" i="3"/>
  <c r="F44" i="3"/>
  <c r="E21" i="4"/>
  <c r="G14" i="3"/>
  <c r="F13" i="4"/>
  <c r="D71" i="5"/>
  <c r="E59" i="5"/>
  <c r="F101" i="5"/>
  <c r="G54" i="5"/>
  <c r="F104" i="5"/>
  <c r="E68" i="3"/>
  <c r="D30" i="5"/>
  <c r="C36" i="3"/>
  <c r="D35" i="3"/>
  <c r="D74" i="4"/>
  <c r="C109" i="4"/>
  <c r="E92" i="5"/>
  <c r="G89" i="5"/>
  <c r="E131" i="3"/>
  <c r="E32" i="3"/>
  <c r="F63" i="3"/>
  <c r="G94" i="5"/>
  <c r="G23" i="3"/>
  <c r="D72" i="4"/>
  <c r="E116" i="4"/>
  <c r="D52" i="3"/>
  <c r="F37" i="5"/>
  <c r="D118" i="4"/>
  <c r="D65" i="5"/>
  <c r="G80" i="5"/>
  <c r="C40" i="4"/>
  <c r="E71" i="4"/>
  <c r="D134" i="4"/>
  <c r="F67" i="5"/>
  <c r="D38" i="3"/>
  <c r="F2" i="3"/>
  <c r="C82" i="5"/>
  <c r="C85" i="4"/>
  <c r="E11" i="4"/>
  <c r="E3" i="3"/>
  <c r="E174" i="5"/>
  <c r="C125" i="3"/>
  <c r="F45" i="3"/>
  <c r="E129" i="3"/>
  <c r="C56" i="3"/>
  <c r="E43" i="3"/>
  <c r="E151" i="5"/>
  <c r="E86" i="5"/>
  <c r="F21" i="3"/>
  <c r="D17" i="3"/>
  <c r="D53" i="4"/>
  <c r="F6" i="4"/>
  <c r="G6" i="5"/>
  <c r="F16" i="4"/>
  <c r="D104" i="4"/>
  <c r="E43" i="4"/>
  <c r="F95" i="5"/>
  <c r="G57" i="5"/>
  <c r="F22" i="5"/>
  <c r="G24" i="3"/>
  <c r="F38" i="4"/>
  <c r="G8" i="4"/>
  <c r="C79" i="3"/>
  <c r="C38" i="4"/>
  <c r="D44" i="3"/>
  <c r="E110" i="4"/>
  <c r="F91" i="4"/>
  <c r="G74" i="5"/>
  <c r="F5" i="4"/>
  <c r="E132" i="3"/>
  <c r="D101" i="4"/>
  <c r="F100" i="3"/>
  <c r="F98" i="4"/>
  <c r="F125" i="3"/>
  <c r="F23" i="4"/>
  <c r="D100" i="4"/>
  <c r="D42" i="4"/>
  <c r="C102" i="5"/>
  <c r="C7" i="5"/>
  <c r="G74" i="3"/>
  <c r="D130" i="5"/>
  <c r="G25" i="3"/>
  <c r="C10" i="4"/>
  <c r="F38" i="5"/>
  <c r="C47" i="3"/>
  <c r="F36" i="4"/>
  <c r="D40" i="3"/>
  <c r="F109" i="5"/>
  <c r="F55" i="5"/>
  <c r="C94" i="5"/>
  <c r="G14" i="4"/>
  <c r="D24" i="5"/>
  <c r="D68" i="3"/>
  <c r="F64" i="5"/>
  <c r="C89" i="5"/>
  <c r="F62" i="5"/>
  <c r="F135" i="5"/>
  <c r="D60" i="5"/>
  <c r="G10" i="5"/>
  <c r="E33" i="5"/>
  <c r="F59" i="3"/>
  <c r="C63" i="4"/>
  <c r="D35" i="5"/>
  <c r="G41" i="4"/>
  <c r="D90" i="3"/>
  <c r="G76" i="5"/>
  <c r="C79" i="4"/>
  <c r="G70" i="3"/>
  <c r="D33" i="4"/>
  <c r="E77" i="5"/>
  <c r="C136" i="5"/>
  <c r="G38" i="5"/>
  <c r="D5" i="3"/>
  <c r="G71" i="3"/>
  <c r="C124" i="5"/>
  <c r="D6" i="5"/>
  <c r="D39" i="3"/>
  <c r="F40" i="3"/>
  <c r="F53" i="4"/>
  <c r="D86" i="4"/>
  <c r="E26" i="5"/>
  <c r="D26" i="5"/>
  <c r="D35" i="4"/>
  <c r="F51" i="4"/>
  <c r="E47" i="3"/>
  <c r="F142" i="5"/>
  <c r="C53" i="3"/>
  <c r="F29" i="5"/>
  <c r="E64" i="5"/>
  <c r="D135" i="5"/>
  <c r="D91" i="4"/>
  <c r="F29" i="3"/>
  <c r="F21" i="4"/>
  <c r="C79" i="5"/>
  <c r="F24" i="3"/>
  <c r="G13" i="3"/>
  <c r="E117" i="4"/>
  <c r="C39" i="3"/>
  <c r="G88" i="3"/>
  <c r="E137" i="5"/>
  <c r="C64" i="4"/>
  <c r="E26" i="3"/>
  <c r="G21" i="4"/>
  <c r="G45" i="4"/>
  <c r="F10" i="4"/>
  <c r="C39" i="5"/>
  <c r="G16" i="4"/>
  <c r="C37" i="5"/>
  <c r="E90" i="5"/>
  <c r="C103" i="4"/>
  <c r="C50" i="4"/>
  <c r="D124" i="4"/>
  <c r="D126" i="3"/>
  <c r="E18" i="4"/>
  <c r="C71" i="5"/>
  <c r="C108" i="4"/>
  <c r="C13" i="4"/>
  <c r="F49" i="3"/>
  <c r="F121" i="5"/>
  <c r="C115" i="3"/>
  <c r="D70" i="4"/>
  <c r="F96" i="3"/>
  <c r="D109" i="3"/>
  <c r="D117" i="5"/>
  <c r="C29" i="5"/>
  <c r="G22" i="3"/>
  <c r="G9" i="3"/>
  <c r="F87" i="5"/>
  <c r="E83" i="4"/>
  <c r="D59" i="5"/>
  <c r="C34" i="3"/>
  <c r="E125" i="3"/>
  <c r="E123" i="3"/>
  <c r="G65" i="3"/>
  <c r="F68" i="3"/>
  <c r="C134" i="4"/>
  <c r="D30" i="4"/>
  <c r="C12" i="3"/>
  <c r="C105" i="4"/>
  <c r="D25" i="5"/>
  <c r="E54" i="5"/>
  <c r="C54" i="3"/>
  <c r="C104" i="4"/>
  <c r="E83" i="3"/>
  <c r="E8" i="5"/>
  <c r="D18" i="4"/>
  <c r="C9" i="5"/>
  <c r="C109" i="3"/>
  <c r="F80" i="5"/>
  <c r="E79" i="3"/>
  <c r="C24" i="4"/>
  <c r="D130" i="4"/>
  <c r="D107" i="5"/>
  <c r="F57" i="4"/>
  <c r="E37" i="3"/>
  <c r="F46" i="4"/>
  <c r="F121" i="3"/>
  <c r="F94" i="4"/>
  <c r="F98" i="5"/>
  <c r="B24" i="4" l="1"/>
  <c r="B109" i="3"/>
  <c r="B9" i="5"/>
  <c r="B104" i="4"/>
  <c r="B54" i="3"/>
  <c r="B105" i="4"/>
  <c r="B12" i="3"/>
  <c r="B134" i="4"/>
  <c r="B34" i="3"/>
  <c r="B29" i="5"/>
  <c r="B115" i="3"/>
  <c r="B13" i="4"/>
  <c r="B108" i="4"/>
  <c r="B71" i="5"/>
  <c r="B50" i="4"/>
  <c r="B103" i="4"/>
  <c r="J103" i="4" s="1"/>
  <c r="K103" i="4" s="1"/>
  <c r="B37" i="5"/>
  <c r="B39" i="5"/>
  <c r="B64" i="4"/>
  <c r="B39" i="3"/>
  <c r="B79" i="5"/>
  <c r="B53" i="3"/>
  <c r="B124" i="5"/>
  <c r="B136" i="5"/>
  <c r="B79" i="4"/>
  <c r="B63" i="4"/>
  <c r="B89" i="5"/>
  <c r="B94" i="5"/>
  <c r="B47" i="3"/>
  <c r="B10" i="4"/>
  <c r="B7" i="5"/>
  <c r="B102" i="5"/>
  <c r="B38" i="4"/>
  <c r="B79" i="3"/>
  <c r="B56" i="3"/>
  <c r="B125" i="3"/>
  <c r="B85" i="4"/>
  <c r="B82" i="5"/>
  <c r="B40" i="4"/>
  <c r="B109" i="4"/>
  <c r="B36" i="3"/>
  <c r="B47" i="5"/>
  <c r="B95" i="4"/>
  <c r="B38" i="5"/>
  <c r="B126" i="4"/>
  <c r="B8" i="5"/>
  <c r="B68" i="4"/>
  <c r="B108" i="5"/>
  <c r="B99" i="5"/>
  <c r="B60" i="5"/>
  <c r="B137" i="4"/>
  <c r="B49" i="3"/>
  <c r="B80" i="5"/>
  <c r="B35" i="3"/>
  <c r="B2" i="5"/>
  <c r="B19" i="5"/>
  <c r="B157" i="5"/>
  <c r="B71" i="4"/>
  <c r="B105" i="3"/>
  <c r="B31" i="5"/>
  <c r="B113" i="5"/>
  <c r="B111" i="4"/>
  <c r="B13" i="3"/>
  <c r="B70" i="3"/>
  <c r="B120" i="3"/>
  <c r="B118" i="5"/>
  <c r="B68" i="3"/>
  <c r="B125" i="4"/>
  <c r="B52" i="5"/>
  <c r="B31" i="4"/>
  <c r="B19" i="4"/>
  <c r="B85" i="5"/>
  <c r="B150" i="5"/>
  <c r="B104" i="3"/>
  <c r="B53" i="4"/>
  <c r="B4" i="5"/>
  <c r="B102" i="4"/>
  <c r="B84" i="5"/>
  <c r="B104" i="5"/>
  <c r="B110" i="5"/>
  <c r="B124" i="3"/>
  <c r="B69" i="5"/>
  <c r="B41" i="4"/>
  <c r="B137" i="5"/>
  <c r="B30" i="5"/>
  <c r="B129" i="3"/>
  <c r="B115" i="5"/>
  <c r="B50" i="5"/>
  <c r="B74" i="5"/>
  <c r="B82" i="3"/>
  <c r="B121" i="3"/>
  <c r="B88" i="3"/>
  <c r="B22" i="5"/>
  <c r="B139" i="4"/>
  <c r="B50" i="3"/>
  <c r="B18" i="3"/>
  <c r="B123" i="4"/>
  <c r="B163" i="5"/>
  <c r="B34" i="5"/>
  <c r="B135" i="4"/>
  <c r="B131" i="5"/>
  <c r="B59" i="5"/>
  <c r="B44" i="4"/>
  <c r="B100" i="4"/>
  <c r="B165" i="5"/>
  <c r="B124" i="4"/>
  <c r="B27" i="3"/>
  <c r="B131" i="3"/>
  <c r="B133" i="3"/>
  <c r="B116" i="4"/>
  <c r="B32" i="4"/>
  <c r="B85" i="3"/>
  <c r="B9" i="3"/>
  <c r="B77" i="3"/>
  <c r="B23" i="4"/>
  <c r="B102" i="3"/>
  <c r="B117" i="5"/>
  <c r="B75" i="3"/>
  <c r="B27" i="4"/>
  <c r="B89" i="4"/>
  <c r="B48" i="4"/>
  <c r="B93" i="3"/>
  <c r="B116" i="3"/>
  <c r="B49" i="4"/>
  <c r="J49" i="4" s="1"/>
  <c r="K49" i="4" s="1"/>
  <c r="B71" i="3"/>
  <c r="B122" i="3"/>
  <c r="B152" i="5"/>
  <c r="B116" i="5"/>
  <c r="B65" i="3"/>
  <c r="B73" i="4"/>
  <c r="B133" i="5"/>
  <c r="B51" i="4"/>
  <c r="B149" i="5"/>
  <c r="B119" i="5"/>
  <c r="B24" i="5"/>
  <c r="B136" i="4"/>
  <c r="B7" i="4"/>
  <c r="B16" i="3"/>
  <c r="B25" i="4"/>
  <c r="B90" i="5"/>
  <c r="B115" i="4"/>
  <c r="B78" i="5"/>
  <c r="J78" i="5" s="1"/>
  <c r="K78" i="5" s="1"/>
  <c r="B18" i="4"/>
  <c r="B125" i="5"/>
  <c r="B92" i="3"/>
  <c r="B58" i="5"/>
  <c r="B129" i="4"/>
  <c r="B29" i="3"/>
  <c r="B112" i="3"/>
  <c r="B4" i="4"/>
  <c r="B96" i="3"/>
  <c r="B151" i="5"/>
  <c r="B32" i="5"/>
  <c r="B120" i="4"/>
  <c r="B13" i="5"/>
  <c r="B114" i="4"/>
  <c r="B83" i="3"/>
  <c r="B43" i="3"/>
  <c r="B155" i="5"/>
  <c r="B30" i="4"/>
  <c r="B121" i="5"/>
  <c r="B39" i="4"/>
  <c r="B109" i="5"/>
  <c r="B91" i="4"/>
  <c r="B31" i="3"/>
  <c r="B148" i="5"/>
  <c r="B101" i="5"/>
  <c r="B98" i="5"/>
  <c r="B8" i="3"/>
  <c r="J8" i="3" s="1"/>
  <c r="K8" i="3" s="1"/>
  <c r="B134" i="5"/>
  <c r="B4" i="3"/>
  <c r="B22" i="4"/>
  <c r="B74" i="3"/>
  <c r="B78" i="4"/>
  <c r="B40" i="3"/>
  <c r="B98" i="3"/>
  <c r="B2" i="4"/>
  <c r="B65" i="4"/>
  <c r="B84" i="3"/>
  <c r="B118" i="4"/>
  <c r="B92" i="4"/>
  <c r="B90" i="3"/>
  <c r="B139" i="5"/>
  <c r="B101" i="3"/>
  <c r="J101" i="3" s="1"/>
  <c r="K101" i="3" s="1"/>
  <c r="B58" i="4"/>
  <c r="B5" i="3"/>
  <c r="B81" i="5"/>
  <c r="B175" i="5"/>
  <c r="B12" i="5"/>
  <c r="B47" i="4"/>
  <c r="B168" i="5"/>
  <c r="B73" i="3"/>
  <c r="B93" i="5"/>
  <c r="B112" i="4"/>
  <c r="B140" i="5"/>
  <c r="B176" i="5"/>
  <c r="B11" i="3"/>
  <c r="B48" i="5"/>
  <c r="B127" i="3"/>
  <c r="B41" i="5"/>
  <c r="B111" i="5"/>
  <c r="B45" i="4"/>
  <c r="B11" i="5"/>
  <c r="B97" i="3"/>
  <c r="B72" i="3"/>
  <c r="B72" i="4"/>
  <c r="B95" i="5"/>
  <c r="B167" i="5"/>
  <c r="B135" i="3"/>
  <c r="B30" i="3"/>
  <c r="B67" i="4"/>
  <c r="B84" i="4"/>
  <c r="B35" i="5"/>
  <c r="B51" i="5"/>
  <c r="B14" i="5"/>
  <c r="B75" i="5"/>
  <c r="B123" i="3"/>
  <c r="B80" i="3"/>
  <c r="B17" i="3"/>
  <c r="B107" i="4"/>
  <c r="B66" i="4"/>
  <c r="B17" i="5"/>
  <c r="B138" i="5"/>
  <c r="B107" i="3"/>
  <c r="B62" i="5"/>
  <c r="B97" i="5"/>
  <c r="B6" i="4"/>
  <c r="B103" i="5"/>
  <c r="B76" i="3"/>
  <c r="J76" i="3" s="1"/>
  <c r="K76" i="3" s="1"/>
  <c r="B40" i="5"/>
  <c r="B16" i="5"/>
  <c r="B135" i="5"/>
  <c r="B130" i="4"/>
  <c r="B70" i="5"/>
  <c r="B55" i="3"/>
  <c r="B114" i="5"/>
  <c r="B68" i="5"/>
  <c r="B37" i="3"/>
  <c r="B80" i="4"/>
  <c r="B32" i="3"/>
  <c r="B46" i="4"/>
  <c r="B91" i="3"/>
  <c r="B78" i="3"/>
  <c r="B130" i="3"/>
  <c r="B21" i="4"/>
  <c r="B126" i="3"/>
  <c r="B59" i="4"/>
  <c r="B7" i="3"/>
  <c r="J7" i="3" s="1"/>
  <c r="K7" i="3" s="1"/>
  <c r="B138" i="4"/>
  <c r="B177" i="5"/>
  <c r="B22" i="3"/>
  <c r="B88" i="5"/>
  <c r="B34" i="4"/>
  <c r="B111" i="3"/>
  <c r="J111" i="3" s="1"/>
  <c r="K111" i="3" s="1"/>
  <c r="B43" i="4"/>
  <c r="J43" i="4" s="1"/>
  <c r="K43" i="4" s="1"/>
  <c r="B27" i="5"/>
  <c r="B142" i="5"/>
  <c r="B92" i="5"/>
  <c r="B3" i="4"/>
  <c r="B33" i="5"/>
  <c r="B76" i="4"/>
  <c r="B12" i="4"/>
  <c r="J12" i="4" s="1"/>
  <c r="K12" i="4" s="1"/>
  <c r="B56" i="4"/>
  <c r="B91" i="5"/>
  <c r="B29" i="4"/>
  <c r="B93" i="4"/>
  <c r="B69" i="3"/>
  <c r="B83" i="5"/>
  <c r="B94" i="3"/>
  <c r="B37" i="4"/>
  <c r="B86" i="4"/>
  <c r="B88" i="4"/>
  <c r="B38" i="3"/>
  <c r="B14" i="4"/>
  <c r="B145" i="5"/>
  <c r="B137" i="3"/>
  <c r="B100" i="3"/>
  <c r="B77" i="4"/>
  <c r="J77" i="4" s="1"/>
  <c r="K77" i="4" s="1"/>
  <c r="B42" i="3"/>
  <c r="B20" i="5"/>
  <c r="B69" i="4"/>
  <c r="B122" i="5"/>
  <c r="B10" i="5"/>
  <c r="J10" i="5" s="1"/>
  <c r="K10" i="5" s="1"/>
  <c r="B113" i="4"/>
  <c r="J113" i="4" s="1"/>
  <c r="K113" i="4" s="1"/>
  <c r="B106" i="4"/>
  <c r="B61" i="5"/>
  <c r="B108" i="3"/>
  <c r="B45" i="3"/>
  <c r="B70" i="4"/>
  <c r="B51" i="3"/>
  <c r="B64" i="5"/>
  <c r="B66" i="5"/>
  <c r="B5" i="5"/>
  <c r="B63" i="3"/>
  <c r="B99" i="4"/>
  <c r="B158" i="5"/>
  <c r="B147" i="5"/>
  <c r="B164" i="5"/>
  <c r="B55" i="5"/>
  <c r="B103" i="3"/>
  <c r="B86" i="5"/>
  <c r="B25" i="3"/>
  <c r="B15" i="3"/>
  <c r="B171" i="5"/>
  <c r="B114" i="3"/>
  <c r="B170" i="5"/>
  <c r="B169" i="5"/>
  <c r="B8" i="4"/>
  <c r="B42" i="4"/>
  <c r="B33" i="4"/>
  <c r="J33" i="4" s="1"/>
  <c r="K33" i="4" s="1"/>
  <c r="B6" i="5"/>
  <c r="B65" i="5"/>
  <c r="B43" i="5"/>
  <c r="B23" i="3"/>
  <c r="B3" i="3"/>
  <c r="J3" i="3" s="1"/>
  <c r="K3" i="3" s="1"/>
  <c r="B36" i="5"/>
  <c r="B122" i="4"/>
  <c r="B128" i="3"/>
  <c r="B60" i="3"/>
  <c r="B61" i="3"/>
  <c r="B35" i="4"/>
  <c r="B162" i="5"/>
  <c r="B18" i="5"/>
  <c r="B133" i="4"/>
  <c r="B105" i="5"/>
  <c r="B11" i="4"/>
  <c r="B129" i="5"/>
  <c r="B28" i="5"/>
  <c r="J28" i="5" s="1"/>
  <c r="K28" i="5" s="1"/>
  <c r="B3" i="5"/>
  <c r="B10" i="3"/>
  <c r="B15" i="5"/>
  <c r="B54" i="4"/>
  <c r="B33" i="3"/>
  <c r="J33" i="3" s="1"/>
  <c r="K33" i="3" s="1"/>
  <c r="B44" i="3"/>
  <c r="B74" i="4"/>
  <c r="B98" i="4"/>
  <c r="B75" i="4"/>
  <c r="B117" i="4"/>
  <c r="B67" i="3"/>
  <c r="J67" i="3" s="1"/>
  <c r="K67" i="3" s="1"/>
  <c r="B73" i="5"/>
  <c r="B57" i="3"/>
  <c r="B99" i="3"/>
  <c r="B117" i="3"/>
  <c r="B62" i="3"/>
  <c r="B96" i="5"/>
  <c r="J96" i="5" s="1"/>
  <c r="K96" i="5" s="1"/>
  <c r="B106" i="3"/>
  <c r="B26" i="4"/>
  <c r="B127" i="5"/>
  <c r="B95" i="3"/>
  <c r="B61" i="4"/>
  <c r="B97" i="4"/>
  <c r="B131" i="4"/>
  <c r="B52" i="3"/>
  <c r="B132" i="5"/>
  <c r="B6" i="3"/>
  <c r="B49" i="5"/>
  <c r="B110" i="4"/>
  <c r="B28" i="3"/>
  <c r="J28" i="3" s="1"/>
  <c r="K28" i="3" s="1"/>
  <c r="B21" i="3"/>
  <c r="B48" i="3"/>
  <c r="B83" i="4"/>
  <c r="B67" i="5"/>
  <c r="B76" i="5"/>
  <c r="B72" i="5"/>
  <c r="B106" i="5"/>
  <c r="B100" i="5"/>
  <c r="B42" i="5"/>
  <c r="B94" i="4"/>
  <c r="J94" i="4" s="1"/>
  <c r="K94" i="4" s="1"/>
  <c r="B123" i="5"/>
  <c r="B55" i="4"/>
  <c r="B112" i="5"/>
  <c r="B26" i="5"/>
  <c r="B107" i="5"/>
  <c r="B128" i="5"/>
  <c r="B159" i="5"/>
  <c r="B81" i="3"/>
  <c r="J81" i="3" s="1"/>
  <c r="K81" i="3" s="1"/>
  <c r="B173" i="5"/>
  <c r="B160" i="5"/>
  <c r="B44" i="5"/>
  <c r="B54" i="5"/>
  <c r="J54" i="5" s="1"/>
  <c r="K54" i="5" s="1"/>
  <c r="B15" i="4"/>
  <c r="B128" i="4"/>
  <c r="B24" i="3"/>
  <c r="B144" i="5"/>
  <c r="B81" i="4"/>
  <c r="B127" i="4"/>
  <c r="B172" i="5"/>
  <c r="B63" i="5"/>
  <c r="B46" i="5"/>
  <c r="B119" i="4"/>
  <c r="B28" i="4"/>
  <c r="J28" i="4" s="1"/>
  <c r="K28" i="4" s="1"/>
  <c r="B82" i="4"/>
  <c r="B126" i="5"/>
  <c r="B46" i="3"/>
  <c r="B119" i="3"/>
  <c r="B41" i="3"/>
  <c r="B143" i="5"/>
  <c r="B101" i="4"/>
  <c r="J101" i="4" s="1"/>
  <c r="K101" i="4" s="1"/>
  <c r="B132" i="4"/>
  <c r="B153" i="5"/>
  <c r="B26" i="3"/>
  <c r="B66" i="3"/>
  <c r="B161" i="5"/>
  <c r="B132" i="3"/>
  <c r="J132" i="3" s="1"/>
  <c r="K132" i="3" s="1"/>
  <c r="B146" i="5"/>
  <c r="B57" i="4"/>
  <c r="B17" i="4"/>
  <c r="B57" i="5"/>
  <c r="B120" i="5"/>
  <c r="B62" i="4"/>
  <c r="J62" i="4" s="1"/>
  <c r="K62" i="4" s="1"/>
  <c r="B16" i="4"/>
  <c r="B87" i="3"/>
  <c r="B89" i="3"/>
  <c r="B58" i="3"/>
  <c r="B45" i="5"/>
  <c r="B56" i="5"/>
  <c r="B9" i="4"/>
  <c r="B118" i="3"/>
  <c r="B20" i="3"/>
  <c r="B154" i="5"/>
  <c r="B96" i="4"/>
  <c r="B21" i="5"/>
  <c r="B87" i="4"/>
  <c r="B77" i="5"/>
  <c r="B59" i="3"/>
  <c r="B130" i="5"/>
  <c r="J130" i="5" s="1"/>
  <c r="K130" i="5" s="1"/>
  <c r="B174" i="5"/>
  <c r="B19" i="3"/>
  <c r="B5" i="4"/>
  <c r="J5" i="4" s="1"/>
  <c r="K5" i="4" s="1"/>
  <c r="B134" i="3"/>
  <c r="B121" i="4"/>
  <c r="B141" i="5"/>
  <c r="B166" i="5"/>
  <c r="B23" i="5"/>
  <c r="B25" i="5"/>
  <c r="B87" i="5"/>
  <c r="B64" i="3"/>
  <c r="B136" i="3"/>
  <c r="B36" i="4"/>
  <c r="B90" i="4"/>
  <c r="J90" i="4" s="1"/>
  <c r="K90" i="4" s="1"/>
  <c r="B14" i="3"/>
  <c r="J14" i="3" s="1"/>
  <c r="K14" i="3" s="1"/>
  <c r="B2" i="3"/>
  <c r="B156" i="5"/>
  <c r="J156" i="5" s="1"/>
  <c r="K156" i="5" s="1"/>
  <c r="B110" i="3"/>
  <c r="B60" i="4"/>
  <c r="B52" i="4"/>
  <c r="B113" i="3"/>
  <c r="J113" i="3" s="1"/>
  <c r="K113" i="3" s="1"/>
  <c r="B53" i="5"/>
  <c r="B20" i="4"/>
  <c r="J20" i="4" s="1"/>
  <c r="K20" i="4" s="1"/>
  <c r="B86" i="3"/>
  <c r="I177" i="5"/>
  <c r="I139" i="4"/>
  <c r="I137" i="3"/>
  <c r="J53" i="5" l="1"/>
  <c r="K53" i="5" s="1"/>
  <c r="J134" i="3"/>
  <c r="K134" i="3" s="1"/>
  <c r="J37" i="4"/>
  <c r="K37" i="4" s="1"/>
  <c r="J61" i="4"/>
  <c r="K61" i="4" s="1"/>
  <c r="J88" i="4"/>
  <c r="K88" i="4" s="1"/>
  <c r="J78" i="3"/>
  <c r="K78" i="3" s="1"/>
  <c r="J64" i="3"/>
  <c r="K64" i="3" s="1"/>
  <c r="J18" i="4"/>
  <c r="K18" i="4" s="1"/>
  <c r="J37" i="3"/>
  <c r="K37" i="3" s="1"/>
  <c r="J148" i="5"/>
  <c r="K148" i="5" s="1"/>
  <c r="J23" i="4"/>
  <c r="K23" i="4" s="1"/>
  <c r="J58" i="3"/>
  <c r="K58" i="3" s="1"/>
  <c r="J128" i="4"/>
  <c r="K128" i="4" s="1"/>
  <c r="J66" i="4"/>
  <c r="K66" i="4" s="1"/>
  <c r="J78" i="4"/>
  <c r="K78" i="4" s="1"/>
  <c r="J164" i="5"/>
  <c r="K164" i="5" s="1"/>
  <c r="J70" i="4"/>
  <c r="K70" i="4" s="1"/>
  <c r="J15" i="3"/>
  <c r="K15" i="3" s="1"/>
  <c r="J138" i="5"/>
  <c r="K138" i="5" s="1"/>
  <c r="J119" i="3"/>
  <c r="K119" i="3" s="1"/>
  <c r="J99" i="3"/>
  <c r="K99" i="3" s="1"/>
  <c r="J72" i="4"/>
  <c r="K72" i="4" s="1"/>
  <c r="J132" i="4"/>
  <c r="K132" i="4" s="1"/>
  <c r="J21" i="3"/>
  <c r="K21" i="3" s="1"/>
  <c r="J22" i="4"/>
  <c r="K22" i="4" s="1"/>
  <c r="J15" i="4"/>
  <c r="K15" i="4" s="1"/>
  <c r="J97" i="5"/>
  <c r="K97" i="5" s="1"/>
  <c r="J31" i="4"/>
  <c r="K31" i="4" s="1"/>
  <c r="J11" i="3"/>
  <c r="K11" i="3" s="1"/>
  <c r="J75" i="3"/>
  <c r="K75" i="3" s="1"/>
  <c r="J21" i="4"/>
  <c r="K21" i="4" s="1"/>
  <c r="J11" i="4"/>
  <c r="K11" i="4" s="1"/>
  <c r="J25" i="3"/>
  <c r="K25" i="3" s="1"/>
  <c r="J40" i="5"/>
  <c r="K40" i="5" s="1"/>
  <c r="J149" i="5"/>
  <c r="K149" i="5" s="1"/>
  <c r="J103" i="3"/>
  <c r="K103" i="3" s="1"/>
  <c r="J61" i="5"/>
  <c r="K61" i="5" s="1"/>
  <c r="J105" i="4"/>
  <c r="K105" i="4" s="1"/>
  <c r="J95" i="3"/>
  <c r="K95" i="3" s="1"/>
  <c r="J74" i="4"/>
  <c r="K74" i="4" s="1"/>
  <c r="J8" i="5"/>
  <c r="K8" i="5" s="1"/>
  <c r="J12" i="5"/>
  <c r="K12" i="5" s="1"/>
  <c r="J15" i="5"/>
  <c r="K15" i="5" s="1"/>
  <c r="J83" i="3"/>
  <c r="K83" i="3" s="1"/>
  <c r="J97" i="4"/>
  <c r="K97" i="4" s="1"/>
  <c r="J100" i="3"/>
  <c r="K100" i="3" s="1"/>
  <c r="J102" i="4"/>
  <c r="K102" i="4" s="1"/>
  <c r="J99" i="4"/>
  <c r="K99" i="4" s="1"/>
  <c r="J97" i="3"/>
  <c r="K97" i="3" s="1"/>
  <c r="J42" i="4"/>
  <c r="K42" i="4" s="1"/>
  <c r="J39" i="4"/>
  <c r="K39" i="4" s="1"/>
  <c r="J84" i="4"/>
  <c r="K84" i="4" s="1"/>
  <c r="J96" i="4"/>
  <c r="K96" i="4" s="1"/>
  <c r="J26" i="4"/>
  <c r="K26" i="4" s="1"/>
  <c r="J66" i="3"/>
  <c r="K66" i="3" s="1"/>
  <c r="J46" i="3"/>
  <c r="K46" i="3" s="1"/>
  <c r="J107" i="5"/>
  <c r="K107" i="5" s="1"/>
  <c r="J75" i="4"/>
  <c r="K75" i="4" s="1"/>
  <c r="J29" i="4"/>
  <c r="K29" i="4" s="1"/>
  <c r="J48" i="4"/>
  <c r="K48" i="4" s="1"/>
  <c r="J126" i="3"/>
  <c r="K126" i="3" s="1"/>
  <c r="J106" i="4"/>
  <c r="K106" i="4" s="1"/>
  <c r="J30" i="5"/>
  <c r="K30" i="5" s="1"/>
  <c r="J67" i="4"/>
  <c r="K67" i="4" s="1"/>
  <c r="J114" i="5"/>
  <c r="K114" i="5" s="1"/>
  <c r="J10" i="3"/>
  <c r="K10" i="3" s="1"/>
  <c r="J26" i="3"/>
  <c r="K26" i="3" s="1"/>
  <c r="J83" i="4"/>
  <c r="K83" i="4" s="1"/>
  <c r="J124" i="3"/>
  <c r="K124" i="3" s="1"/>
  <c r="J19" i="3"/>
  <c r="K19" i="3" s="1"/>
  <c r="J6" i="3"/>
  <c r="K6" i="3" s="1"/>
  <c r="J6" i="4"/>
  <c r="K6" i="4" s="1"/>
  <c r="J55" i="4"/>
  <c r="K55" i="4" s="1"/>
  <c r="J106" i="3"/>
  <c r="K106" i="3" s="1"/>
  <c r="J59" i="3"/>
  <c r="K59" i="3" s="1"/>
  <c r="J87" i="4"/>
  <c r="K87" i="4" s="1"/>
  <c r="J60" i="3"/>
  <c r="K60" i="3" s="1"/>
  <c r="J139" i="5"/>
  <c r="K139" i="5" s="1"/>
  <c r="J63" i="3"/>
  <c r="K63" i="3" s="1"/>
  <c r="J48" i="5"/>
  <c r="K48" i="5" s="1"/>
  <c r="J4" i="4"/>
  <c r="K4" i="4" s="1"/>
  <c r="J72" i="3"/>
  <c r="K72" i="3" s="1"/>
  <c r="J49" i="5"/>
  <c r="K49" i="5" s="1"/>
  <c r="J17" i="3"/>
  <c r="K17" i="3" s="1"/>
  <c r="J84" i="3"/>
  <c r="K84" i="3" s="1"/>
  <c r="J118" i="3"/>
  <c r="K118" i="3" s="1"/>
  <c r="J104" i="3"/>
  <c r="K104" i="3" s="1"/>
  <c r="J63" i="4"/>
  <c r="K63" i="4" s="1"/>
  <c r="J81" i="4"/>
  <c r="K81" i="4" s="1"/>
  <c r="J100" i="5"/>
  <c r="K100" i="5" s="1"/>
  <c r="J43" i="3"/>
  <c r="K43" i="3" s="1"/>
  <c r="J84" i="5"/>
  <c r="K84" i="5" s="1"/>
  <c r="J166" i="5"/>
  <c r="K166" i="5" s="1"/>
  <c r="J9" i="4"/>
  <c r="K9" i="4" s="1"/>
  <c r="J77" i="5"/>
  <c r="K77" i="5" s="1"/>
  <c r="J56" i="5"/>
  <c r="K56" i="5" s="1"/>
  <c r="J82" i="4"/>
  <c r="K82" i="4" s="1"/>
  <c r="J48" i="3"/>
  <c r="K48" i="3" s="1"/>
  <c r="J131" i="4"/>
  <c r="K131" i="4" s="1"/>
  <c r="J62" i="3"/>
  <c r="K62" i="3" s="1"/>
  <c r="J98" i="4"/>
  <c r="K98" i="4" s="1"/>
  <c r="J61" i="3"/>
  <c r="K61" i="3" s="1"/>
  <c r="J65" i="5"/>
  <c r="K65" i="5" s="1"/>
  <c r="J107" i="3"/>
  <c r="K107" i="3" s="1"/>
  <c r="J75" i="5"/>
  <c r="K75" i="5" s="1"/>
  <c r="J41" i="5"/>
  <c r="K41" i="5" s="1"/>
  <c r="J73" i="3"/>
  <c r="K73" i="3" s="1"/>
  <c r="J98" i="3"/>
  <c r="K98" i="3" s="1"/>
  <c r="J98" i="5"/>
  <c r="K98" i="5" s="1"/>
  <c r="J30" i="4"/>
  <c r="K30" i="4" s="1"/>
  <c r="J151" i="5"/>
  <c r="K151" i="5" s="1"/>
  <c r="J116" i="5"/>
  <c r="K116" i="5" s="1"/>
  <c r="J89" i="4"/>
  <c r="K89" i="4" s="1"/>
  <c r="J85" i="3"/>
  <c r="K85" i="3" s="1"/>
  <c r="J100" i="4"/>
  <c r="K100" i="4" s="1"/>
  <c r="J18" i="3"/>
  <c r="K18" i="3" s="1"/>
  <c r="J50" i="5"/>
  <c r="K50" i="5" s="1"/>
  <c r="J70" i="3"/>
  <c r="K70" i="3" s="1"/>
  <c r="J19" i="5"/>
  <c r="K19" i="5" s="1"/>
  <c r="J108" i="5"/>
  <c r="K108" i="5" s="1"/>
  <c r="J36" i="4"/>
  <c r="K36" i="4" s="1"/>
  <c r="J45" i="5"/>
  <c r="K45" i="5" s="1"/>
  <c r="J24" i="3"/>
  <c r="K24" i="3" s="1"/>
  <c r="J159" i="5"/>
  <c r="K159" i="5" s="1"/>
  <c r="J42" i="3"/>
  <c r="K42" i="3" s="1"/>
  <c r="J86" i="4"/>
  <c r="K86" i="4" s="1"/>
  <c r="J56" i="4"/>
  <c r="K56" i="4" s="1"/>
  <c r="J59" i="4"/>
  <c r="K59" i="4" s="1"/>
  <c r="J80" i="4"/>
  <c r="K80" i="4" s="1"/>
  <c r="J16" i="5"/>
  <c r="K16" i="5" s="1"/>
  <c r="J14" i="5"/>
  <c r="K14" i="5" s="1"/>
  <c r="J127" i="3"/>
  <c r="K127" i="3" s="1"/>
  <c r="J168" i="5"/>
  <c r="K168" i="5" s="1"/>
  <c r="J40" i="3"/>
  <c r="K40" i="3" s="1"/>
  <c r="J155" i="5"/>
  <c r="K155" i="5" s="1"/>
  <c r="J96" i="3"/>
  <c r="K96" i="3" s="1"/>
  <c r="J27" i="4"/>
  <c r="K27" i="4" s="1"/>
  <c r="J32" i="4"/>
  <c r="K32" i="4" s="1"/>
  <c r="J44" i="4"/>
  <c r="K44" i="4" s="1"/>
  <c r="J50" i="3"/>
  <c r="K50" i="3" s="1"/>
  <c r="J115" i="5"/>
  <c r="K115" i="5" s="1"/>
  <c r="J104" i="5"/>
  <c r="K104" i="5" s="1"/>
  <c r="J19" i="4"/>
  <c r="K19" i="4" s="1"/>
  <c r="J13" i="3"/>
  <c r="K13" i="3" s="1"/>
  <c r="J68" i="4"/>
  <c r="K68" i="4" s="1"/>
  <c r="J40" i="4"/>
  <c r="K40" i="4" s="1"/>
  <c r="J50" i="4"/>
  <c r="K50" i="4" s="1"/>
  <c r="J12" i="3"/>
  <c r="K12" i="3" s="1"/>
  <c r="J10" i="4"/>
  <c r="K10" i="4" s="1"/>
  <c r="J89" i="3"/>
  <c r="K89" i="3" s="1"/>
  <c r="J106" i="5"/>
  <c r="K106" i="5" s="1"/>
  <c r="J57" i="3"/>
  <c r="K57" i="3" s="1"/>
  <c r="J105" i="5"/>
  <c r="K105" i="5" s="1"/>
  <c r="J5" i="5"/>
  <c r="K5" i="5" s="1"/>
  <c r="J94" i="3"/>
  <c r="K94" i="3" s="1"/>
  <c r="J76" i="4"/>
  <c r="K76" i="4" s="1"/>
  <c r="J34" i="4"/>
  <c r="K34" i="4" s="1"/>
  <c r="J35" i="5"/>
  <c r="K35" i="5" s="1"/>
  <c r="J74" i="3"/>
  <c r="K74" i="3" s="1"/>
  <c r="J112" i="3"/>
  <c r="K112" i="3" s="1"/>
  <c r="J115" i="4"/>
  <c r="K115" i="4" s="1"/>
  <c r="J71" i="3"/>
  <c r="K71" i="3" s="1"/>
  <c r="J133" i="3"/>
  <c r="K133" i="3" s="1"/>
  <c r="J131" i="5"/>
  <c r="K131" i="5" s="1"/>
  <c r="J22" i="5"/>
  <c r="K22" i="5" s="1"/>
  <c r="J113" i="5"/>
  <c r="K113" i="5" s="1"/>
  <c r="J126" i="4"/>
  <c r="K126" i="4" s="1"/>
  <c r="J85" i="4"/>
  <c r="K85" i="4" s="1"/>
  <c r="J47" i="3"/>
  <c r="K47" i="3" s="1"/>
  <c r="J79" i="5"/>
  <c r="K79" i="5" s="1"/>
  <c r="J119" i="5"/>
  <c r="K119" i="5" s="1"/>
  <c r="J59" i="5"/>
  <c r="K59" i="5" s="1"/>
  <c r="J60" i="4"/>
  <c r="K60" i="4" s="1"/>
  <c r="J143" i="5"/>
  <c r="K143" i="5" s="1"/>
  <c r="J87" i="5"/>
  <c r="K87" i="5" s="1"/>
  <c r="J63" i="5"/>
  <c r="K63" i="5" s="1"/>
  <c r="J72" i="5"/>
  <c r="K72" i="5" s="1"/>
  <c r="J127" i="5"/>
  <c r="K127" i="5" s="1"/>
  <c r="J133" i="4"/>
  <c r="K133" i="4" s="1"/>
  <c r="J8" i="4"/>
  <c r="K8" i="4" s="1"/>
  <c r="J66" i="5"/>
  <c r="K66" i="5" s="1"/>
  <c r="J83" i="5"/>
  <c r="K83" i="5" s="1"/>
  <c r="J107" i="4"/>
  <c r="K107" i="4" s="1"/>
  <c r="J176" i="5"/>
  <c r="K176" i="5" s="1"/>
  <c r="L176" i="5" s="1"/>
  <c r="I176" i="5"/>
  <c r="I175" i="5" s="1"/>
  <c r="J175" i="5"/>
  <c r="K175" i="5" s="1"/>
  <c r="J118" i="4"/>
  <c r="K118" i="4" s="1"/>
  <c r="J91" i="4"/>
  <c r="K91" i="4" s="1"/>
  <c r="J114" i="4"/>
  <c r="K114" i="4" s="1"/>
  <c r="J29" i="3"/>
  <c r="K29" i="3" s="1"/>
  <c r="J51" i="4"/>
  <c r="K51" i="4" s="1"/>
  <c r="J102" i="3"/>
  <c r="K102" i="3" s="1"/>
  <c r="J131" i="3"/>
  <c r="K131" i="3" s="1"/>
  <c r="J135" i="4"/>
  <c r="K135" i="4" s="1"/>
  <c r="J137" i="5"/>
  <c r="K137" i="5" s="1"/>
  <c r="J31" i="5"/>
  <c r="K31" i="5" s="1"/>
  <c r="J125" i="3"/>
  <c r="K125" i="3" s="1"/>
  <c r="J13" i="4"/>
  <c r="K13" i="4" s="1"/>
  <c r="J104" i="4"/>
  <c r="K104" i="4" s="1"/>
  <c r="J52" i="4"/>
  <c r="K52" i="4" s="1"/>
  <c r="J128" i="5"/>
  <c r="K128" i="5" s="1"/>
  <c r="J17" i="5"/>
  <c r="K17" i="5" s="1"/>
  <c r="J25" i="5"/>
  <c r="K25" i="5" s="1"/>
  <c r="J20" i="3"/>
  <c r="K20" i="3" s="1"/>
  <c r="J16" i="4"/>
  <c r="K16" i="4" s="1"/>
  <c r="J172" i="5"/>
  <c r="K172" i="5" s="1"/>
  <c r="J76" i="5"/>
  <c r="K76" i="5" s="1"/>
  <c r="J169" i="5"/>
  <c r="K169" i="5" s="1"/>
  <c r="J55" i="5"/>
  <c r="K55" i="5" s="1"/>
  <c r="J3" i="4"/>
  <c r="K3" i="4" s="1"/>
  <c r="J22" i="3"/>
  <c r="K22" i="3" s="1"/>
  <c r="J11" i="5"/>
  <c r="K11" i="5" s="1"/>
  <c r="J140" i="5"/>
  <c r="K140" i="5" s="1"/>
  <c r="J81" i="5"/>
  <c r="K81" i="5" s="1"/>
  <c r="J4" i="3"/>
  <c r="K4" i="3" s="1"/>
  <c r="J109" i="5"/>
  <c r="K109" i="5" s="1"/>
  <c r="J13" i="5"/>
  <c r="K13" i="5" s="1"/>
  <c r="J129" i="4"/>
  <c r="K129" i="4" s="1"/>
  <c r="J25" i="4"/>
  <c r="K25" i="4" s="1"/>
  <c r="J133" i="5"/>
  <c r="K133" i="5" s="1"/>
  <c r="J116" i="3"/>
  <c r="K116" i="3" s="1"/>
  <c r="J27" i="3"/>
  <c r="K27" i="3" s="1"/>
  <c r="J34" i="5"/>
  <c r="K34" i="5" s="1"/>
  <c r="J41" i="4"/>
  <c r="K41" i="4" s="1"/>
  <c r="J68" i="3"/>
  <c r="K68" i="3" s="1"/>
  <c r="J105" i="3"/>
  <c r="K105" i="3" s="1"/>
  <c r="J95" i="4"/>
  <c r="K95" i="4" s="1"/>
  <c r="J56" i="3"/>
  <c r="K56" i="3" s="1"/>
  <c r="J89" i="5"/>
  <c r="K89" i="5" s="1"/>
  <c r="J64" i="4"/>
  <c r="K64" i="4" s="1"/>
  <c r="J9" i="5"/>
  <c r="K9" i="5" s="1"/>
  <c r="J136" i="3"/>
  <c r="K136" i="3" s="1"/>
  <c r="L136" i="3" s="1"/>
  <c r="I136" i="3"/>
  <c r="I135" i="3" s="1"/>
  <c r="I134" i="3" s="1"/>
  <c r="I133" i="3" s="1"/>
  <c r="I132" i="3" s="1"/>
  <c r="I131" i="3" s="1"/>
  <c r="J86" i="3"/>
  <c r="K86" i="3" s="1"/>
  <c r="J127" i="4"/>
  <c r="K127" i="4" s="1"/>
  <c r="J160" i="5"/>
  <c r="K160" i="5" s="1"/>
  <c r="J67" i="5"/>
  <c r="K67" i="5" s="1"/>
  <c r="J162" i="5"/>
  <c r="K162" i="5" s="1"/>
  <c r="J23" i="3"/>
  <c r="K23" i="3" s="1"/>
  <c r="J170" i="5"/>
  <c r="K170" i="5" s="1"/>
  <c r="J51" i="3"/>
  <c r="K51" i="3" s="1"/>
  <c r="J14" i="4"/>
  <c r="K14" i="4" s="1"/>
  <c r="J93" i="4"/>
  <c r="K93" i="4" s="1"/>
  <c r="J91" i="3"/>
  <c r="K91" i="3" s="1"/>
  <c r="J70" i="5"/>
  <c r="K70" i="5" s="1"/>
  <c r="J80" i="3"/>
  <c r="K80" i="3" s="1"/>
  <c r="J30" i="3"/>
  <c r="K30" i="3" s="1"/>
  <c r="J45" i="4"/>
  <c r="K45" i="4" s="1"/>
  <c r="J112" i="4"/>
  <c r="K112" i="4" s="1"/>
  <c r="J5" i="3"/>
  <c r="K5" i="3" s="1"/>
  <c r="J65" i="4"/>
  <c r="K65" i="4" s="1"/>
  <c r="J134" i="5"/>
  <c r="K134" i="5" s="1"/>
  <c r="J120" i="4"/>
  <c r="K120" i="4" s="1"/>
  <c r="J58" i="5"/>
  <c r="K58" i="5" s="1"/>
  <c r="J16" i="3"/>
  <c r="K16" i="3" s="1"/>
  <c r="J73" i="4"/>
  <c r="K73" i="4" s="1"/>
  <c r="J77" i="3"/>
  <c r="K77" i="3" s="1"/>
  <c r="J124" i="4"/>
  <c r="K124" i="4" s="1"/>
  <c r="J82" i="3"/>
  <c r="K82" i="3" s="1"/>
  <c r="J118" i="5"/>
  <c r="K118" i="5" s="1"/>
  <c r="J71" i="4"/>
  <c r="K71" i="4" s="1"/>
  <c r="J47" i="5"/>
  <c r="K47" i="5" s="1"/>
  <c r="J79" i="3"/>
  <c r="K79" i="3" s="1"/>
  <c r="J39" i="5"/>
  <c r="J29" i="5"/>
  <c r="K29" i="5" s="1"/>
  <c r="J109" i="3"/>
  <c r="K109" i="3" s="1"/>
  <c r="J53" i="3"/>
  <c r="K53" i="3" s="1"/>
  <c r="J173" i="5"/>
  <c r="K173" i="5" s="1"/>
  <c r="J123" i="5"/>
  <c r="K123" i="5" s="1"/>
  <c r="J3" i="5"/>
  <c r="K3" i="5" s="1"/>
  <c r="J35" i="4"/>
  <c r="K35" i="4" s="1"/>
  <c r="J114" i="3"/>
  <c r="K114" i="3" s="1"/>
  <c r="J147" i="5"/>
  <c r="K147" i="5" s="1"/>
  <c r="J69" i="4"/>
  <c r="K69" i="4" s="1"/>
  <c r="J38" i="3"/>
  <c r="K38" i="3" s="1"/>
  <c r="J142" i="5"/>
  <c r="K142" i="5" s="1"/>
  <c r="J46" i="4"/>
  <c r="K46" i="4" s="1"/>
  <c r="J62" i="5"/>
  <c r="K62" i="5" s="1"/>
  <c r="J135" i="3"/>
  <c r="K135" i="3" s="1"/>
  <c r="J93" i="5"/>
  <c r="K93" i="5" s="1"/>
  <c r="J58" i="4"/>
  <c r="K58" i="4" s="1"/>
  <c r="J2" i="4"/>
  <c r="K2" i="4" s="1"/>
  <c r="J121" i="5"/>
  <c r="K121" i="5" s="1"/>
  <c r="J32" i="5"/>
  <c r="K32" i="5" s="1"/>
  <c r="J7" i="4"/>
  <c r="K7" i="4" s="1"/>
  <c r="J65" i="3"/>
  <c r="K65" i="3" s="1"/>
  <c r="J9" i="3"/>
  <c r="K9" i="3" s="1"/>
  <c r="J165" i="5"/>
  <c r="K165" i="5" s="1"/>
  <c r="J123" i="4"/>
  <c r="K123" i="4" s="1"/>
  <c r="J74" i="5"/>
  <c r="K74" i="5" s="1"/>
  <c r="J150" i="5"/>
  <c r="K150" i="5" s="1"/>
  <c r="J120" i="3"/>
  <c r="K120" i="3" s="1"/>
  <c r="J157" i="5"/>
  <c r="K157" i="5" s="1"/>
  <c r="J36" i="3"/>
  <c r="K36" i="3" s="1"/>
  <c r="J38" i="4"/>
  <c r="K38" i="4" s="1"/>
  <c r="J79" i="4"/>
  <c r="K79" i="4" s="1"/>
  <c r="J34" i="3"/>
  <c r="K34" i="3" s="1"/>
  <c r="J24" i="4"/>
  <c r="K24" i="4" s="1"/>
  <c r="I71" i="5"/>
  <c r="J120" i="5"/>
  <c r="J57" i="5"/>
  <c r="I158" i="5"/>
  <c r="I27" i="5"/>
  <c r="J110" i="5"/>
  <c r="I109" i="4"/>
  <c r="J35" i="3"/>
  <c r="I6" i="5"/>
  <c r="J24" i="5"/>
  <c r="I7" i="5"/>
  <c r="I51" i="5"/>
  <c r="J122" i="4"/>
  <c r="I68" i="5"/>
  <c r="J31" i="3"/>
  <c r="J80" i="5"/>
  <c r="J54" i="3"/>
  <c r="I54" i="4"/>
  <c r="J103" i="5"/>
  <c r="J125" i="4"/>
  <c r="I94" i="5"/>
  <c r="J57" i="4"/>
  <c r="I46" i="5"/>
  <c r="I174" i="5"/>
  <c r="J44" i="5"/>
  <c r="I53" i="4"/>
  <c r="I60" i="5"/>
  <c r="J71" i="5"/>
  <c r="I126" i="5"/>
  <c r="I57" i="5"/>
  <c r="J158" i="5"/>
  <c r="J27" i="5"/>
  <c r="I167" i="5"/>
  <c r="I110" i="5"/>
  <c r="J109" i="4"/>
  <c r="J128" i="3"/>
  <c r="J6" i="5"/>
  <c r="J152" i="5"/>
  <c r="I124" i="5"/>
  <c r="J86" i="5"/>
  <c r="J68" i="5"/>
  <c r="I54" i="3"/>
  <c r="I154" i="5"/>
  <c r="J26" i="5"/>
  <c r="J54" i="4"/>
  <c r="I33" i="5"/>
  <c r="I125" i="4"/>
  <c r="J94" i="5"/>
  <c r="I57" i="4"/>
  <c r="J46" i="5"/>
  <c r="J174" i="5"/>
  <c r="I44" i="5"/>
  <c r="J64" i="5"/>
  <c r="J55" i="3"/>
  <c r="J132" i="5"/>
  <c r="I92" i="5"/>
  <c r="I163" i="5"/>
  <c r="J60" i="5"/>
  <c r="I21" i="5"/>
  <c r="I43" i="5"/>
  <c r="I123" i="3"/>
  <c r="J2" i="3"/>
  <c r="J126" i="5"/>
  <c r="J153" i="5"/>
  <c r="I45" i="3"/>
  <c r="J32" i="3"/>
  <c r="J167" i="5"/>
  <c r="I85" i="5"/>
  <c r="I102" i="5"/>
  <c r="I128" i="3"/>
  <c r="J121" i="4"/>
  <c r="I42" i="5"/>
  <c r="I108" i="3"/>
  <c r="I152" i="5"/>
  <c r="J124" i="5"/>
  <c r="I86" i="5"/>
  <c r="I119" i="4"/>
  <c r="I82" i="5"/>
  <c r="J154" i="5"/>
  <c r="I26" i="5"/>
  <c r="J33" i="5"/>
  <c r="J39" i="3"/>
  <c r="I110" i="4"/>
  <c r="I112" i="5"/>
  <c r="I64" i="5"/>
  <c r="I55" i="3"/>
  <c r="I23" i="5"/>
  <c r="I132" i="5"/>
  <c r="J163" i="5"/>
  <c r="I47" i="4"/>
  <c r="J43" i="5"/>
  <c r="J138" i="4"/>
  <c r="J123" i="3"/>
  <c r="I138" i="4"/>
  <c r="I2" i="3"/>
  <c r="J141" i="5"/>
  <c r="I153" i="5"/>
  <c r="J45" i="3"/>
  <c r="I32" i="3"/>
  <c r="J85" i="5"/>
  <c r="J102" i="5"/>
  <c r="I122" i="3"/>
  <c r="I121" i="4"/>
  <c r="J42" i="5"/>
  <c r="J108" i="3"/>
  <c r="I101" i="5"/>
  <c r="J2" i="5"/>
  <c r="J119" i="4"/>
  <c r="J82" i="5"/>
  <c r="J87" i="3"/>
  <c r="I88" i="5"/>
  <c r="I88" i="3"/>
  <c r="I49" i="3"/>
  <c r="I39" i="3"/>
  <c r="J110" i="4"/>
  <c r="J112" i="5"/>
  <c r="J145" i="5"/>
  <c r="J115" i="3"/>
  <c r="J23" i="5"/>
  <c r="I117" i="4"/>
  <c r="J47" i="4"/>
  <c r="I99" i="5"/>
  <c r="J116" i="4"/>
  <c r="I141" i="5"/>
  <c r="I20" i="5"/>
  <c r="I135" i="5"/>
  <c r="I125" i="5"/>
  <c r="I136" i="5"/>
  <c r="J122" i="3"/>
  <c r="J117" i="3"/>
  <c r="I95" i="5"/>
  <c r="J101" i="5"/>
  <c r="I2" i="5"/>
  <c r="J92" i="4"/>
  <c r="I52" i="5"/>
  <c r="J90" i="3"/>
  <c r="I87" i="3"/>
  <c r="J36" i="5"/>
  <c r="J88" i="5"/>
  <c r="I90" i="5"/>
  <c r="J88" i="3"/>
  <c r="J49" i="3"/>
  <c r="J110" i="3"/>
  <c r="I145" i="5"/>
  <c r="I121" i="3"/>
  <c r="I137" i="4"/>
  <c r="I115" i="3"/>
  <c r="J117" i="4"/>
  <c r="I122" i="5"/>
  <c r="J93" i="3"/>
  <c r="I69" i="5"/>
  <c r="J111" i="4"/>
  <c r="I52" i="3"/>
  <c r="I111" i="5"/>
  <c r="I116" i="4"/>
  <c r="I144" i="5"/>
  <c r="J20" i="5"/>
  <c r="J135" i="5"/>
  <c r="J125" i="5"/>
  <c r="J136" i="5"/>
  <c r="I129" i="3"/>
  <c r="I117" i="3"/>
  <c r="J95" i="5"/>
  <c r="J44" i="3"/>
  <c r="I92" i="4"/>
  <c r="I117" i="5"/>
  <c r="J52" i="5"/>
  <c r="I90" i="3"/>
  <c r="J41" i="3"/>
  <c r="I36" i="5"/>
  <c r="I130" i="3"/>
  <c r="J90" i="5"/>
  <c r="I38" i="5"/>
  <c r="I110" i="3"/>
  <c r="I161" i="5"/>
  <c r="I18" i="5"/>
  <c r="J69" i="3"/>
  <c r="J121" i="3"/>
  <c r="J137" i="4"/>
  <c r="J122" i="5"/>
  <c r="I93" i="3"/>
  <c r="J69" i="5"/>
  <c r="I111" i="4"/>
  <c r="J52" i="3"/>
  <c r="J111" i="5"/>
  <c r="J130" i="4"/>
  <c r="I92" i="3"/>
  <c r="I37" i="5"/>
  <c r="J99" i="5"/>
  <c r="J144" i="5"/>
  <c r="I171" i="5"/>
  <c r="J91" i="5"/>
  <c r="I136" i="4"/>
  <c r="J134" i="4"/>
  <c r="J129" i="3"/>
  <c r="J17" i="4"/>
  <c r="J129" i="5"/>
  <c r="I44" i="3"/>
  <c r="J117" i="5"/>
  <c r="J108" i="4"/>
  <c r="I41" i="3"/>
  <c r="J73" i="5"/>
  <c r="J130" i="3"/>
  <c r="J4" i="5"/>
  <c r="J38" i="5"/>
  <c r="I146" i="5"/>
  <c r="J161" i="5"/>
  <c r="J18" i="5"/>
  <c r="I69" i="3"/>
  <c r="J37" i="5"/>
  <c r="I120" i="5"/>
  <c r="J171" i="5"/>
  <c r="I91" i="5"/>
  <c r="J136" i="4"/>
  <c r="I134" i="4"/>
  <c r="I35" i="3"/>
  <c r="I17" i="4"/>
  <c r="I129" i="5"/>
  <c r="I24" i="5"/>
  <c r="J7" i="5"/>
  <c r="J51" i="5"/>
  <c r="I122" i="4"/>
  <c r="I31" i="3"/>
  <c r="I80" i="5"/>
  <c r="I108" i="4"/>
  <c r="I73" i="5"/>
  <c r="I103" i="5"/>
  <c r="I4" i="5"/>
  <c r="J146" i="5"/>
  <c r="J53" i="4"/>
  <c r="I130" i="4"/>
  <c r="J92" i="3"/>
  <c r="J92" i="5"/>
  <c r="J21" i="5"/>
  <c r="L175" i="5" l="1"/>
  <c r="K92" i="3"/>
  <c r="I129" i="4"/>
  <c r="I128" i="4" s="1"/>
  <c r="I127" i="4" s="1"/>
  <c r="I126" i="4" s="1"/>
  <c r="K125" i="4" s="1"/>
  <c r="K53" i="4"/>
  <c r="I3" i="5"/>
  <c r="K2" i="5" s="1"/>
  <c r="I72" i="5"/>
  <c r="K71" i="5" s="1"/>
  <c r="I107" i="4"/>
  <c r="I106" i="4" s="1"/>
  <c r="I105" i="4" s="1"/>
  <c r="I104" i="4" s="1"/>
  <c r="I103" i="4" s="1"/>
  <c r="I102" i="4" s="1"/>
  <c r="I101" i="4" s="1"/>
  <c r="I100" i="4" s="1"/>
  <c r="I99" i="4" s="1"/>
  <c r="I98" i="4" s="1"/>
  <c r="I97" i="4" s="1"/>
  <c r="I96" i="4" s="1"/>
  <c r="I95" i="4" s="1"/>
  <c r="I94" i="4" s="1"/>
  <c r="I93" i="4" s="1"/>
  <c r="K92" i="4" s="1"/>
  <c r="I79" i="5"/>
  <c r="I78" i="5" s="1"/>
  <c r="I77" i="5" s="1"/>
  <c r="I76" i="5" s="1"/>
  <c r="I75" i="5" s="1"/>
  <c r="I74" i="5" s="1"/>
  <c r="K73" i="5" s="1"/>
  <c r="I30" i="3"/>
  <c r="I29" i="3" s="1"/>
  <c r="I28" i="3" s="1"/>
  <c r="I27" i="3" s="1"/>
  <c r="I26" i="3" s="1"/>
  <c r="I25" i="3" s="1"/>
  <c r="I24" i="3" s="1"/>
  <c r="I23" i="3" s="1"/>
  <c r="I22" i="3" s="1"/>
  <c r="I21" i="3" s="1"/>
  <c r="I20" i="3" s="1"/>
  <c r="I19" i="3" s="1"/>
  <c r="I18" i="3" s="1"/>
  <c r="I17" i="3" s="1"/>
  <c r="I16" i="3" s="1"/>
  <c r="I15" i="3" s="1"/>
  <c r="I14" i="3" s="1"/>
  <c r="I13" i="3" s="1"/>
  <c r="I12" i="3" s="1"/>
  <c r="I11" i="3" s="1"/>
  <c r="I10" i="3" s="1"/>
  <c r="I9" i="3" s="1"/>
  <c r="I8" i="3" s="1"/>
  <c r="I7" i="3" s="1"/>
  <c r="I6" i="3" s="1"/>
  <c r="I5" i="3" s="1"/>
  <c r="I4" i="3" s="1"/>
  <c r="I3" i="3" s="1"/>
  <c r="K2" i="3" s="1"/>
  <c r="K51" i="5"/>
  <c r="I128" i="5"/>
  <c r="I127" i="5" s="1"/>
  <c r="K126" i="5" s="1"/>
  <c r="I16" i="4"/>
  <c r="I15" i="4" s="1"/>
  <c r="I14" i="4" s="1"/>
  <c r="I13" i="4" s="1"/>
  <c r="I12" i="4" s="1"/>
  <c r="I11" i="4" s="1"/>
  <c r="I10" i="4" s="1"/>
  <c r="I9" i="4" s="1"/>
  <c r="I8" i="4" s="1"/>
  <c r="I7" i="4" s="1"/>
  <c r="I6" i="4" s="1"/>
  <c r="I5" i="4" s="1"/>
  <c r="I4" i="4" s="1"/>
  <c r="I3" i="4" s="1"/>
  <c r="I2" i="4" s="1"/>
  <c r="I34" i="3"/>
  <c r="I33" i="3" s="1"/>
  <c r="K32" i="3" s="1"/>
  <c r="I133" i="4"/>
  <c r="I132" i="4" s="1"/>
  <c r="I131" i="4" s="1"/>
  <c r="K130" i="4" s="1"/>
  <c r="K136" i="4"/>
  <c r="I119" i="5"/>
  <c r="I118" i="5" s="1"/>
  <c r="K117" i="5" s="1"/>
  <c r="K37" i="5"/>
  <c r="I68" i="3"/>
  <c r="I67" i="3" s="1"/>
  <c r="I66" i="3" s="1"/>
  <c r="I65" i="3" s="1"/>
  <c r="I64" i="3" s="1"/>
  <c r="I63" i="3" s="1"/>
  <c r="I62" i="3" s="1"/>
  <c r="I61" i="3" s="1"/>
  <c r="I60" i="3" s="1"/>
  <c r="I59" i="3" s="1"/>
  <c r="I58" i="3" s="1"/>
  <c r="I57" i="3" s="1"/>
  <c r="I56" i="3" s="1"/>
  <c r="K55" i="3" s="1"/>
  <c r="I40" i="3"/>
  <c r="K39" i="3" s="1"/>
  <c r="K108" i="4"/>
  <c r="I43" i="3"/>
  <c r="I42" i="3" s="1"/>
  <c r="K41" i="3" s="1"/>
  <c r="K129" i="3"/>
  <c r="I135" i="4"/>
  <c r="K134" i="4" s="1"/>
  <c r="K91" i="5"/>
  <c r="I170" i="5"/>
  <c r="I169" i="5" s="1"/>
  <c r="I168" i="5" s="1"/>
  <c r="K167" i="5" s="1"/>
  <c r="K144" i="5"/>
  <c r="I91" i="3"/>
  <c r="K90" i="3" s="1"/>
  <c r="K111" i="5"/>
  <c r="K137" i="4"/>
  <c r="K121" i="3"/>
  <c r="I17" i="5"/>
  <c r="I16" i="5" s="1"/>
  <c r="I15" i="5" s="1"/>
  <c r="I14" i="5" s="1"/>
  <c r="I13" i="5" s="1"/>
  <c r="I12" i="5" s="1"/>
  <c r="I11" i="5" s="1"/>
  <c r="I10" i="5" s="1"/>
  <c r="I9" i="5" s="1"/>
  <c r="I8" i="5" s="1"/>
  <c r="K7" i="5" s="1"/>
  <c r="I160" i="5"/>
  <c r="I159" i="5" s="1"/>
  <c r="K158" i="5" s="1"/>
  <c r="I109" i="3"/>
  <c r="K108" i="3" s="1"/>
  <c r="K90" i="5"/>
  <c r="I35" i="5"/>
  <c r="I34" i="5" s="1"/>
  <c r="K33" i="5" s="1"/>
  <c r="I89" i="3"/>
  <c r="K88" i="3" s="1"/>
  <c r="I116" i="5"/>
  <c r="I115" i="5" s="1"/>
  <c r="I114" i="5" s="1"/>
  <c r="I113" i="5" s="1"/>
  <c r="K112" i="5" s="1"/>
  <c r="I91" i="4"/>
  <c r="I90" i="4" s="1"/>
  <c r="I89" i="4" s="1"/>
  <c r="I88" i="4" s="1"/>
  <c r="I87" i="4" s="1"/>
  <c r="I86" i="4" s="1"/>
  <c r="I85" i="4" s="1"/>
  <c r="I84" i="4" s="1"/>
  <c r="I83" i="4" s="1"/>
  <c r="I82" i="4" s="1"/>
  <c r="I81" i="4" s="1"/>
  <c r="I80" i="4" s="1"/>
  <c r="I79" i="4" s="1"/>
  <c r="I78" i="4" s="1"/>
  <c r="I77" i="4" s="1"/>
  <c r="I76" i="4" s="1"/>
  <c r="I75" i="4" s="1"/>
  <c r="I74" i="4" s="1"/>
  <c r="I73" i="4" s="1"/>
  <c r="I72" i="4" s="1"/>
  <c r="I71" i="4" s="1"/>
  <c r="I70" i="4" s="1"/>
  <c r="I69" i="4" s="1"/>
  <c r="I68" i="4" s="1"/>
  <c r="I67" i="4" s="1"/>
  <c r="I66" i="4" s="1"/>
  <c r="I65" i="4" s="1"/>
  <c r="I64" i="4" s="1"/>
  <c r="I63" i="4" s="1"/>
  <c r="I62" i="4" s="1"/>
  <c r="I61" i="4" s="1"/>
  <c r="I60" i="4" s="1"/>
  <c r="I59" i="4" s="1"/>
  <c r="I58" i="4" s="1"/>
  <c r="K57" i="4" s="1"/>
  <c r="K44" i="3"/>
  <c r="I116" i="3"/>
  <c r="K115" i="3" s="1"/>
  <c r="K125" i="5"/>
  <c r="K135" i="5"/>
  <c r="K20" i="5"/>
  <c r="I143" i="5"/>
  <c r="I142" i="5" s="1"/>
  <c r="K141" i="5" s="1"/>
  <c r="I115" i="4"/>
  <c r="I114" i="4" s="1"/>
  <c r="I113" i="4" s="1"/>
  <c r="I112" i="4" s="1"/>
  <c r="K111" i="4" s="1"/>
  <c r="I51" i="3"/>
  <c r="I50" i="3" s="1"/>
  <c r="K49" i="3" s="1"/>
  <c r="I121" i="5"/>
  <c r="K120" i="5" s="1"/>
  <c r="I114" i="3"/>
  <c r="I113" i="3" s="1"/>
  <c r="I112" i="3" s="1"/>
  <c r="I111" i="3" s="1"/>
  <c r="K110" i="3" s="1"/>
  <c r="I120" i="3"/>
  <c r="I119" i="3" s="1"/>
  <c r="I118" i="3" s="1"/>
  <c r="K117" i="3" s="1"/>
  <c r="I89" i="5"/>
  <c r="K88" i="5" s="1"/>
  <c r="K36" i="5"/>
  <c r="I86" i="3"/>
  <c r="I85" i="3" s="1"/>
  <c r="I84" i="3" s="1"/>
  <c r="I83" i="3" s="1"/>
  <c r="I82" i="3" s="1"/>
  <c r="I81" i="3" s="1"/>
  <c r="I80" i="3" s="1"/>
  <c r="I79" i="3" s="1"/>
  <c r="I78" i="3" s="1"/>
  <c r="I77" i="3" s="1"/>
  <c r="I76" i="3" s="1"/>
  <c r="I75" i="3" s="1"/>
  <c r="I74" i="3" s="1"/>
  <c r="I73" i="3" s="1"/>
  <c r="I72" i="3" s="1"/>
  <c r="I71" i="3" s="1"/>
  <c r="I70" i="3" s="1"/>
  <c r="K69" i="3" s="1"/>
  <c r="K101" i="5"/>
  <c r="K122" i="3"/>
  <c r="I134" i="5"/>
  <c r="I133" i="5" s="1"/>
  <c r="K132" i="5" s="1"/>
  <c r="I19" i="5"/>
  <c r="K18" i="5" s="1"/>
  <c r="I140" i="5"/>
  <c r="I139" i="5" s="1"/>
  <c r="I138" i="5" s="1"/>
  <c r="I137" i="5" s="1"/>
  <c r="K136" i="5" s="1"/>
  <c r="K116" i="4"/>
  <c r="I98" i="5"/>
  <c r="I97" i="5" s="1"/>
  <c r="I96" i="5" s="1"/>
  <c r="K95" i="5" s="1"/>
  <c r="K23" i="5"/>
  <c r="K145" i="5"/>
  <c r="K110" i="4"/>
  <c r="I38" i="3"/>
  <c r="I37" i="3" s="1"/>
  <c r="I36" i="3" s="1"/>
  <c r="K35" i="3" s="1"/>
  <c r="I48" i="3"/>
  <c r="I47" i="3" s="1"/>
  <c r="I46" i="3" s="1"/>
  <c r="K45" i="3" s="1"/>
  <c r="I87" i="5"/>
  <c r="K86" i="5" s="1"/>
  <c r="K87" i="3"/>
  <c r="I100" i="5"/>
  <c r="K99" i="5" s="1"/>
  <c r="K42" i="5"/>
  <c r="I120" i="4"/>
  <c r="K119" i="4" s="1"/>
  <c r="K102" i="5"/>
  <c r="K85" i="5"/>
  <c r="K138" i="4"/>
  <c r="L138" i="4" s="1"/>
  <c r="K43" i="5"/>
  <c r="I46" i="4"/>
  <c r="I45" i="4" s="1"/>
  <c r="I44" i="4" s="1"/>
  <c r="I43" i="4" s="1"/>
  <c r="I42" i="4" s="1"/>
  <c r="I41" i="4" s="1"/>
  <c r="I40" i="4" s="1"/>
  <c r="I39" i="4" s="1"/>
  <c r="I38" i="4" s="1"/>
  <c r="I37" i="4" s="1"/>
  <c r="I36" i="4" s="1"/>
  <c r="I35" i="4" s="1"/>
  <c r="I34" i="4" s="1"/>
  <c r="I33" i="4" s="1"/>
  <c r="I32" i="4" s="1"/>
  <c r="I31" i="4" s="1"/>
  <c r="I30" i="4" s="1"/>
  <c r="I29" i="4" s="1"/>
  <c r="I28" i="4" s="1"/>
  <c r="I27" i="4" s="1"/>
  <c r="I26" i="4" s="1"/>
  <c r="I25" i="4" s="1"/>
  <c r="I24" i="4" s="1"/>
  <c r="I23" i="4" s="1"/>
  <c r="I22" i="4" s="1"/>
  <c r="I21" i="4" s="1"/>
  <c r="I20" i="4" s="1"/>
  <c r="I19" i="4" s="1"/>
  <c r="I18" i="4" s="1"/>
  <c r="K17" i="4" s="1"/>
  <c r="I131" i="5"/>
  <c r="I130" i="5" s="1"/>
  <c r="K129" i="5" s="1"/>
  <c r="I22" i="5"/>
  <c r="K21" i="5" s="1"/>
  <c r="I63" i="5"/>
  <c r="I62" i="5" s="1"/>
  <c r="I61" i="5" s="1"/>
  <c r="K60" i="5" s="1"/>
  <c r="I25" i="5"/>
  <c r="K24" i="5" s="1"/>
  <c r="I81" i="5"/>
  <c r="K80" i="5" s="1"/>
  <c r="I118" i="4"/>
  <c r="K117" i="4" s="1"/>
  <c r="K124" i="5"/>
  <c r="I151" i="5"/>
  <c r="I150" i="5" s="1"/>
  <c r="I149" i="5" s="1"/>
  <c r="I148" i="5" s="1"/>
  <c r="I147" i="5" s="1"/>
  <c r="K146" i="5" s="1"/>
  <c r="I107" i="3"/>
  <c r="I106" i="3" s="1"/>
  <c r="I105" i="3" s="1"/>
  <c r="I104" i="3" s="1"/>
  <c r="I103" i="3" s="1"/>
  <c r="I102" i="3" s="1"/>
  <c r="I101" i="3" s="1"/>
  <c r="I100" i="3" s="1"/>
  <c r="I99" i="3" s="1"/>
  <c r="I98" i="3" s="1"/>
  <c r="I97" i="3" s="1"/>
  <c r="I96" i="3" s="1"/>
  <c r="I95" i="3" s="1"/>
  <c r="I94" i="3" s="1"/>
  <c r="K93" i="3" s="1"/>
  <c r="I41" i="5"/>
  <c r="I40" i="5" s="1"/>
  <c r="I39" i="5" s="1"/>
  <c r="K38" i="5" s="1"/>
  <c r="K121" i="4"/>
  <c r="I127" i="3"/>
  <c r="I126" i="3" s="1"/>
  <c r="I125" i="3" s="1"/>
  <c r="I124" i="3" s="1"/>
  <c r="K123" i="3" s="1"/>
  <c r="I84" i="5"/>
  <c r="I83" i="5" s="1"/>
  <c r="K82" i="5" s="1"/>
  <c r="K153" i="5"/>
  <c r="I162" i="5"/>
  <c r="K161" i="5" s="1"/>
  <c r="K174" i="5"/>
  <c r="L174" i="5" s="1"/>
  <c r="L173" i="5" s="1"/>
  <c r="L172" i="5" s="1"/>
  <c r="I56" i="4"/>
  <c r="I55" i="4" s="1"/>
  <c r="K54" i="4" s="1"/>
  <c r="K94" i="5"/>
  <c r="I124" i="4"/>
  <c r="I123" i="4" s="1"/>
  <c r="K122" i="4" s="1"/>
  <c r="I32" i="5"/>
  <c r="I31" i="5" s="1"/>
  <c r="I30" i="5" s="1"/>
  <c r="I29" i="5" s="1"/>
  <c r="I28" i="5" s="1"/>
  <c r="K27" i="5" s="1"/>
  <c r="K26" i="5"/>
  <c r="I53" i="3"/>
  <c r="K52" i="3" s="1"/>
  <c r="K68" i="5"/>
  <c r="I123" i="5"/>
  <c r="K122" i="5" s="1"/>
  <c r="K152" i="5"/>
  <c r="K6" i="5"/>
  <c r="K128" i="3"/>
  <c r="K109" i="4"/>
  <c r="I109" i="5"/>
  <c r="I108" i="5" s="1"/>
  <c r="I107" i="5" s="1"/>
  <c r="I106" i="5" s="1"/>
  <c r="I105" i="5" s="1"/>
  <c r="I104" i="5" s="1"/>
  <c r="K103" i="5" s="1"/>
  <c r="I166" i="5"/>
  <c r="I165" i="5" s="1"/>
  <c r="I164" i="5" s="1"/>
  <c r="K163" i="5" s="1"/>
  <c r="I56" i="5"/>
  <c r="I55" i="5" s="1"/>
  <c r="I54" i="5" s="1"/>
  <c r="I53" i="5" s="1"/>
  <c r="K52" i="5" s="1"/>
  <c r="I59" i="5"/>
  <c r="I58" i="5" s="1"/>
  <c r="K57" i="5" s="1"/>
  <c r="I52" i="4"/>
  <c r="I51" i="4" s="1"/>
  <c r="I50" i="4" s="1"/>
  <c r="I49" i="4" s="1"/>
  <c r="I48" i="4" s="1"/>
  <c r="K47" i="4" s="1"/>
  <c r="I173" i="5"/>
  <c r="I172" i="5" s="1"/>
  <c r="K171" i="5" s="1"/>
  <c r="I45" i="5"/>
  <c r="K44" i="5" s="1"/>
  <c r="I93" i="5"/>
  <c r="K92" i="5" s="1"/>
  <c r="K54" i="3"/>
  <c r="K31" i="3"/>
  <c r="I67" i="5"/>
  <c r="I66" i="5" s="1"/>
  <c r="I65" i="5" s="1"/>
  <c r="K64" i="5" s="1"/>
  <c r="I50" i="5"/>
  <c r="I49" i="5" s="1"/>
  <c r="I48" i="5" s="1"/>
  <c r="I47" i="5" s="1"/>
  <c r="K46" i="5" s="1"/>
  <c r="I5" i="5"/>
  <c r="K4" i="5" s="1"/>
  <c r="K110" i="5"/>
  <c r="I157" i="5"/>
  <c r="I156" i="5" s="1"/>
  <c r="I155" i="5" s="1"/>
  <c r="K154" i="5" s="1"/>
  <c r="I70" i="5"/>
  <c r="K69" i="5" s="1"/>
  <c r="K130" i="3"/>
  <c r="L135" i="3"/>
  <c r="L134" i="3" s="1"/>
  <c r="L133" i="3" s="1"/>
  <c r="L132" i="3" s="1"/>
  <c r="L131" i="3" s="1"/>
  <c r="K39" i="5"/>
  <c r="M42" i="5"/>
  <c r="N2" i="4" l="1"/>
  <c r="L130" i="3"/>
  <c r="L129" i="3" s="1"/>
  <c r="L128" i="3" s="1"/>
  <c r="L127" i="3" s="1"/>
  <c r="L126" i="3" s="1"/>
  <c r="L125" i="3" s="1"/>
  <c r="L124" i="3" s="1"/>
  <c r="L123" i="3" s="1"/>
  <c r="L122" i="3" s="1"/>
  <c r="L121" i="3" s="1"/>
  <c r="L120" i="3" s="1"/>
  <c r="L119" i="3" s="1"/>
  <c r="L118" i="3" s="1"/>
  <c r="L117" i="3" s="1"/>
  <c r="L116" i="3" s="1"/>
  <c r="L115" i="3" s="1"/>
  <c r="L114" i="3" s="1"/>
  <c r="L113" i="3" s="1"/>
  <c r="L112" i="3" s="1"/>
  <c r="L111" i="3" s="1"/>
  <c r="L110" i="3" s="1"/>
  <c r="L109" i="3" s="1"/>
  <c r="L108" i="3" s="1"/>
  <c r="L107" i="3" s="1"/>
  <c r="L106" i="3" s="1"/>
  <c r="L105" i="3" s="1"/>
  <c r="L104" i="3" s="1"/>
  <c r="L103" i="3" s="1"/>
  <c r="L102" i="3" s="1"/>
  <c r="L101" i="3" s="1"/>
  <c r="L100" i="3" s="1"/>
  <c r="L99" i="3" s="1"/>
  <c r="L98" i="3" s="1"/>
  <c r="L97" i="3" s="1"/>
  <c r="L96" i="3" s="1"/>
  <c r="L95" i="3" s="1"/>
  <c r="L94" i="3" s="1"/>
  <c r="L93" i="3" s="1"/>
  <c r="L92" i="3" s="1"/>
  <c r="L91" i="3" s="1"/>
  <c r="L90" i="3" s="1"/>
  <c r="L89" i="3" s="1"/>
  <c r="L88" i="3" s="1"/>
  <c r="L87" i="3" s="1"/>
  <c r="L86" i="3" s="1"/>
  <c r="L85" i="3" s="1"/>
  <c r="L84" i="3" s="1"/>
  <c r="L83" i="3" s="1"/>
  <c r="L82" i="3" s="1"/>
  <c r="L81" i="3" s="1"/>
  <c r="L80" i="3" s="1"/>
  <c r="L79" i="3" s="1"/>
  <c r="L78" i="3" s="1"/>
  <c r="L77" i="3" s="1"/>
  <c r="L76" i="3" s="1"/>
  <c r="L75" i="3" s="1"/>
  <c r="L74" i="3" s="1"/>
  <c r="L73" i="3" s="1"/>
  <c r="L72" i="3" s="1"/>
  <c r="L71" i="3" s="1"/>
  <c r="L70" i="3" s="1"/>
  <c r="L69" i="3" s="1"/>
  <c r="L68" i="3" s="1"/>
  <c r="L67" i="3" s="1"/>
  <c r="L66" i="3" s="1"/>
  <c r="L65" i="3" s="1"/>
  <c r="L64" i="3" s="1"/>
  <c r="L63" i="3" s="1"/>
  <c r="L62" i="3" s="1"/>
  <c r="L61" i="3" s="1"/>
  <c r="L60" i="3" s="1"/>
  <c r="L59" i="3" s="1"/>
  <c r="L58" i="3" s="1"/>
  <c r="L57" i="3" s="1"/>
  <c r="L56" i="3" s="1"/>
  <c r="L55" i="3" s="1"/>
  <c r="L54" i="3" s="1"/>
  <c r="L53" i="3" s="1"/>
  <c r="L52" i="3" s="1"/>
  <c r="L51" i="3" s="1"/>
  <c r="L50" i="3" s="1"/>
  <c r="L49" i="3" s="1"/>
  <c r="L48" i="3" s="1"/>
  <c r="L47" i="3" s="1"/>
  <c r="L46" i="3" s="1"/>
  <c r="L45" i="3" s="1"/>
  <c r="L44" i="3" s="1"/>
  <c r="L43" i="3" s="1"/>
  <c r="L42" i="3" s="1"/>
  <c r="L41" i="3" s="1"/>
  <c r="L40" i="3" s="1"/>
  <c r="L39" i="3" s="1"/>
  <c r="L38" i="3" s="1"/>
  <c r="L37" i="3" s="1"/>
  <c r="L36" i="3" s="1"/>
  <c r="L35" i="3" s="1"/>
  <c r="L34" i="3" s="1"/>
  <c r="L33" i="3" s="1"/>
  <c r="L32" i="3" s="1"/>
  <c r="L31" i="3" s="1"/>
  <c r="L30" i="3" s="1"/>
  <c r="L29" i="3" s="1"/>
  <c r="L28" i="3" s="1"/>
  <c r="L27" i="3" s="1"/>
  <c r="L26" i="3" s="1"/>
  <c r="L25" i="3" s="1"/>
  <c r="L24" i="3" s="1"/>
  <c r="L23" i="3" s="1"/>
  <c r="L22" i="3" s="1"/>
  <c r="L21" i="3" s="1"/>
  <c r="L20" i="3" s="1"/>
  <c r="L19" i="3" s="1"/>
  <c r="L18" i="3" s="1"/>
  <c r="L17" i="3" s="1"/>
  <c r="L16" i="3" s="1"/>
  <c r="L15" i="3" s="1"/>
  <c r="L14" i="3" s="1"/>
  <c r="L13" i="3" s="1"/>
  <c r="L12" i="3" s="1"/>
  <c r="L11" i="3" s="1"/>
  <c r="L10" i="3" s="1"/>
  <c r="L9" i="3" s="1"/>
  <c r="L8" i="3" s="1"/>
  <c r="L7" i="3" s="1"/>
  <c r="L6" i="3" s="1"/>
  <c r="L5" i="3" s="1"/>
  <c r="L4" i="3" s="1"/>
  <c r="L3" i="3" s="1"/>
  <c r="L2" i="3" s="1"/>
  <c r="L171" i="5"/>
  <c r="L170" i="5" s="1"/>
  <c r="L169" i="5" s="1"/>
  <c r="L168" i="5" s="1"/>
  <c r="L167" i="5" s="1"/>
  <c r="L166" i="5" s="1"/>
  <c r="L165" i="5" s="1"/>
  <c r="L164" i="5" s="1"/>
  <c r="L163" i="5" s="1"/>
  <c r="L162" i="5" s="1"/>
  <c r="L161" i="5" s="1"/>
  <c r="L160" i="5" s="1"/>
  <c r="L159" i="5" s="1"/>
  <c r="L158" i="5" s="1"/>
  <c r="L157" i="5" s="1"/>
  <c r="L156" i="5" s="1"/>
  <c r="L155" i="5" s="1"/>
  <c r="L154" i="5" s="1"/>
  <c r="L153" i="5" s="1"/>
  <c r="L152" i="5" s="1"/>
  <c r="L151" i="5" s="1"/>
  <c r="L150" i="5" s="1"/>
  <c r="L149" i="5" s="1"/>
  <c r="L148" i="5" s="1"/>
  <c r="L147" i="5" s="1"/>
  <c r="L146" i="5" s="1"/>
  <c r="L145" i="5" s="1"/>
  <c r="L144" i="5" s="1"/>
  <c r="L143" i="5" s="1"/>
  <c r="L142" i="5" s="1"/>
  <c r="L141" i="5" s="1"/>
  <c r="L140" i="5" s="1"/>
  <c r="L139" i="5" s="1"/>
  <c r="L138" i="5" s="1"/>
  <c r="L137" i="5" s="1"/>
  <c r="L136" i="5" s="1"/>
  <c r="L135" i="5" s="1"/>
  <c r="L134" i="5" s="1"/>
  <c r="L133" i="5" s="1"/>
  <c r="L132" i="5" s="1"/>
  <c r="L131" i="5" s="1"/>
  <c r="L130" i="5" s="1"/>
  <c r="L129" i="5" s="1"/>
  <c r="L128" i="5" s="1"/>
  <c r="L127" i="5" s="1"/>
  <c r="L126" i="5" s="1"/>
  <c r="L125" i="5" s="1"/>
  <c r="L124" i="5" s="1"/>
  <c r="L123" i="5" s="1"/>
  <c r="L122" i="5" s="1"/>
  <c r="L121" i="5" s="1"/>
  <c r="L120" i="5" s="1"/>
  <c r="L119" i="5" s="1"/>
  <c r="L118" i="5" s="1"/>
  <c r="L117" i="5" s="1"/>
  <c r="L116" i="5" s="1"/>
  <c r="L115" i="5" s="1"/>
  <c r="L114" i="5" s="1"/>
  <c r="L113" i="5" s="1"/>
  <c r="L112" i="5" s="1"/>
  <c r="L111" i="5" s="1"/>
  <c r="L110" i="5" s="1"/>
  <c r="L109" i="5" s="1"/>
  <c r="L108" i="5" s="1"/>
  <c r="L107" i="5" s="1"/>
  <c r="L106" i="5" s="1"/>
  <c r="L105" i="5" s="1"/>
  <c r="L104" i="5" s="1"/>
  <c r="L103" i="5" s="1"/>
  <c r="L102" i="5" s="1"/>
  <c r="L101" i="5" s="1"/>
  <c r="L100" i="5" s="1"/>
  <c r="L99" i="5" s="1"/>
  <c r="L98" i="5" s="1"/>
  <c r="L97" i="5" s="1"/>
  <c r="L96" i="5" s="1"/>
  <c r="L95" i="5" s="1"/>
  <c r="L94" i="5" s="1"/>
  <c r="L93" i="5" s="1"/>
  <c r="L92" i="5" s="1"/>
  <c r="L91" i="5" s="1"/>
  <c r="L90" i="5" s="1"/>
  <c r="L89" i="5" s="1"/>
  <c r="L88" i="5" s="1"/>
  <c r="L87" i="5" s="1"/>
  <c r="L86" i="5" s="1"/>
  <c r="L85" i="5" s="1"/>
  <c r="L84" i="5" s="1"/>
  <c r="L83" i="5" s="1"/>
  <c r="L82" i="5" s="1"/>
  <c r="L81" i="5" s="1"/>
  <c r="L80" i="5" s="1"/>
  <c r="L79" i="5" s="1"/>
  <c r="L78" i="5" s="1"/>
  <c r="L77" i="5" s="1"/>
  <c r="L76" i="5" s="1"/>
  <c r="L75" i="5" s="1"/>
  <c r="L74" i="5" s="1"/>
  <c r="L73" i="5" s="1"/>
  <c r="L72" i="5" s="1"/>
  <c r="L71" i="5" s="1"/>
  <c r="L70" i="5" s="1"/>
  <c r="L69" i="5" s="1"/>
  <c r="L68" i="5" s="1"/>
  <c r="L67" i="5" s="1"/>
  <c r="L66" i="5" s="1"/>
  <c r="L65" i="5" s="1"/>
  <c r="L64" i="5" s="1"/>
  <c r="L63" i="5" s="1"/>
  <c r="L62" i="5" s="1"/>
  <c r="L61" i="5" s="1"/>
  <c r="L60" i="5" s="1"/>
  <c r="L59" i="5" s="1"/>
  <c r="L58" i="5" s="1"/>
  <c r="L57" i="5" s="1"/>
  <c r="L56" i="5" s="1"/>
  <c r="L55" i="5" s="1"/>
  <c r="L54" i="5" s="1"/>
  <c r="L53" i="5" s="1"/>
  <c r="L52" i="5" s="1"/>
  <c r="L51" i="5" s="1"/>
  <c r="L50" i="5" s="1"/>
  <c r="L49" i="5" s="1"/>
  <c r="L48" i="5" s="1"/>
  <c r="L47" i="5" s="1"/>
  <c r="L46" i="5" s="1"/>
  <c r="L45" i="5" s="1"/>
  <c r="L44" i="5" s="1"/>
  <c r="L43" i="5" s="1"/>
  <c r="L42" i="5" s="1"/>
  <c r="L41" i="5" s="1"/>
  <c r="L40" i="5" s="1"/>
  <c r="L39" i="5" s="1"/>
  <c r="L38" i="5" s="1"/>
  <c r="L37" i="5" s="1"/>
  <c r="L36" i="5" s="1"/>
  <c r="L35" i="5" s="1"/>
  <c r="L34" i="5" s="1"/>
  <c r="L33" i="5" s="1"/>
  <c r="L32" i="5" s="1"/>
  <c r="L31" i="5" s="1"/>
  <c r="L30" i="5" s="1"/>
  <c r="L29" i="5" s="1"/>
  <c r="L28" i="5" s="1"/>
  <c r="L27" i="5" s="1"/>
  <c r="L26" i="5" s="1"/>
  <c r="L25" i="5" s="1"/>
  <c r="L24" i="5" s="1"/>
  <c r="L23" i="5" s="1"/>
  <c r="L22" i="5" s="1"/>
  <c r="L21" i="5" s="1"/>
  <c r="L20" i="5" s="1"/>
  <c r="L19" i="5" s="1"/>
  <c r="L18" i="5" s="1"/>
  <c r="L17" i="5" s="1"/>
  <c r="L16" i="5" s="1"/>
  <c r="L15" i="5" s="1"/>
  <c r="L14" i="5" s="1"/>
  <c r="L13" i="5" s="1"/>
  <c r="L12" i="5" s="1"/>
  <c r="L11" i="5" s="1"/>
  <c r="L10" i="5" s="1"/>
  <c r="L9" i="5" s="1"/>
  <c r="L8" i="5" s="1"/>
  <c r="L7" i="5" s="1"/>
  <c r="L6" i="5" s="1"/>
  <c r="L5" i="5" s="1"/>
  <c r="L4" i="5" s="1"/>
  <c r="L3" i="5" s="1"/>
  <c r="L2" i="5" s="1"/>
  <c r="N2" i="3"/>
  <c r="N69" i="3"/>
  <c r="L137" i="4"/>
  <c r="L136" i="4" s="1"/>
  <c r="L135" i="4" s="1"/>
  <c r="L134" i="4" s="1"/>
  <c r="L133" i="4" s="1"/>
  <c r="L132" i="4" s="1"/>
  <c r="L131" i="4" s="1"/>
  <c r="L130" i="4" s="1"/>
  <c r="L129" i="4" s="1"/>
  <c r="L128" i="4" s="1"/>
  <c r="L127" i="4" s="1"/>
  <c r="L126" i="4" s="1"/>
  <c r="L125" i="4" s="1"/>
  <c r="L124" i="4" s="1"/>
  <c r="L123" i="4" s="1"/>
  <c r="L122" i="4" s="1"/>
  <c r="L121" i="4" s="1"/>
  <c r="L120" i="4" s="1"/>
  <c r="L119" i="4" s="1"/>
  <c r="L118" i="4" s="1"/>
  <c r="L117" i="4" s="1"/>
  <c r="L116" i="4" s="1"/>
  <c r="L115" i="4" s="1"/>
  <c r="L114" i="4" s="1"/>
  <c r="L113" i="4" s="1"/>
  <c r="L112" i="4" s="1"/>
  <c r="L111" i="4" s="1"/>
  <c r="L110" i="4" s="1"/>
  <c r="L109" i="4" s="1"/>
  <c r="L108" i="4" s="1"/>
  <c r="L107" i="4" s="1"/>
  <c r="L106" i="4" s="1"/>
  <c r="L105" i="4" s="1"/>
  <c r="L104" i="4" s="1"/>
  <c r="L103" i="4" s="1"/>
  <c r="L102" i="4" s="1"/>
  <c r="L101" i="4" s="1"/>
  <c r="L100" i="4" s="1"/>
  <c r="L99" i="4" s="1"/>
  <c r="L98" i="4" s="1"/>
  <c r="L97" i="4" s="1"/>
  <c r="L96" i="4" s="1"/>
  <c r="L95" i="4" s="1"/>
  <c r="L94" i="4" s="1"/>
  <c r="L93" i="4" s="1"/>
  <c r="L92" i="4" s="1"/>
  <c r="L91" i="4" s="1"/>
  <c r="L90" i="4" s="1"/>
  <c r="L89" i="4" s="1"/>
  <c r="L88" i="4" s="1"/>
  <c r="L87" i="4" s="1"/>
  <c r="L86" i="4" s="1"/>
  <c r="L85" i="4" s="1"/>
  <c r="L84" i="4" s="1"/>
  <c r="L83" i="4" s="1"/>
  <c r="L82" i="4" s="1"/>
  <c r="L81" i="4" s="1"/>
  <c r="L80" i="4" s="1"/>
  <c r="L79" i="4" s="1"/>
  <c r="L78" i="4" s="1"/>
  <c r="L77" i="4" s="1"/>
  <c r="L76" i="4" s="1"/>
  <c r="L75" i="4" s="1"/>
  <c r="L74" i="4" s="1"/>
  <c r="L73" i="4" s="1"/>
  <c r="L72" i="4" s="1"/>
  <c r="L71" i="4" s="1"/>
  <c r="L70" i="4" s="1"/>
  <c r="L69" i="4" s="1"/>
  <c r="L68" i="4" s="1"/>
  <c r="L67" i="4" s="1"/>
  <c r="L66" i="4" s="1"/>
  <c r="L65" i="4" s="1"/>
  <c r="L64" i="4" s="1"/>
  <c r="L63" i="4" s="1"/>
  <c r="L62" i="4" s="1"/>
  <c r="L61" i="4" s="1"/>
  <c r="L60" i="4" s="1"/>
  <c r="L59" i="4" s="1"/>
  <c r="L58" i="4" s="1"/>
  <c r="L57" i="4" s="1"/>
  <c r="L56" i="4" s="1"/>
  <c r="L55" i="4" s="1"/>
  <c r="L54" i="4" s="1"/>
  <c r="L53" i="4" s="1"/>
  <c r="L52" i="4" s="1"/>
  <c r="L51" i="4" s="1"/>
  <c r="L50" i="4" s="1"/>
  <c r="L49" i="4" s="1"/>
  <c r="L48" i="4" s="1"/>
  <c r="L47" i="4" s="1"/>
  <c r="L46" i="4" s="1"/>
  <c r="L45" i="4" s="1"/>
  <c r="L44" i="4" s="1"/>
  <c r="L43" i="4" s="1"/>
  <c r="L42" i="4" s="1"/>
  <c r="L41" i="4" s="1"/>
  <c r="L40" i="4" s="1"/>
  <c r="L39" i="4" s="1"/>
  <c r="L38" i="4" s="1"/>
  <c r="L37" i="4" s="1"/>
  <c r="L36" i="4" s="1"/>
  <c r="L35" i="4" s="1"/>
  <c r="L34" i="4" s="1"/>
  <c r="L33" i="4" s="1"/>
  <c r="L32" i="4" s="1"/>
  <c r="L31" i="4" s="1"/>
  <c r="L30" i="4" s="1"/>
  <c r="L29" i="4" s="1"/>
  <c r="L28" i="4" s="1"/>
  <c r="L27" i="4" s="1"/>
  <c r="L26" i="4" s="1"/>
  <c r="L25" i="4" s="1"/>
  <c r="L24" i="4" s="1"/>
  <c r="L23" i="4" s="1"/>
  <c r="L22" i="4" s="1"/>
  <c r="L21" i="4" s="1"/>
  <c r="L20" i="4" s="1"/>
  <c r="L19" i="4" s="1"/>
  <c r="L18" i="4" s="1"/>
  <c r="L17" i="4" s="1"/>
  <c r="L16" i="4" s="1"/>
  <c r="L15" i="4" s="1"/>
  <c r="L14" i="4" s="1"/>
  <c r="L13" i="4" s="1"/>
  <c r="L12" i="4" s="1"/>
  <c r="L11" i="4" s="1"/>
  <c r="L10" i="4" s="1"/>
  <c r="L9" i="4" s="1"/>
  <c r="L8" i="4" s="1"/>
  <c r="L7" i="4" s="1"/>
  <c r="L6" i="4" s="1"/>
  <c r="L5" i="4" s="1"/>
  <c r="L4" i="4" s="1"/>
  <c r="L3" i="4" s="1"/>
  <c r="L2" i="4" s="1"/>
  <c r="N2" i="5"/>
  <c r="N42" i="5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2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</futureMetadata>
  <valueMetadata count="2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</valueMetadata>
</metadata>
</file>

<file path=xl/sharedStrings.xml><?xml version="1.0" encoding="utf-8"?>
<sst xmlns="http://schemas.openxmlformats.org/spreadsheetml/2006/main" count="688" uniqueCount="394">
  <si>
    <t>NAV</t>
  </si>
  <si>
    <t>GOLDBEES</t>
  </si>
  <si>
    <t>JUNIORBEES</t>
  </si>
  <si>
    <t>HDFCSML250</t>
  </si>
  <si>
    <t>MIDCAPETF</t>
  </si>
  <si>
    <t>NIFTYBEES</t>
  </si>
  <si>
    <t>BUY PRICE</t>
  </si>
  <si>
    <t>DATE</t>
  </si>
  <si>
    <t>RESULT</t>
  </si>
  <si>
    <t>SELL PRICE</t>
  </si>
  <si>
    <t>SYMBOL</t>
  </si>
  <si>
    <t>SILVERBEES</t>
  </si>
  <si>
    <t>LIQUIDBEES</t>
  </si>
  <si>
    <t>LIQUIDCASE</t>
  </si>
  <si>
    <t>SILVERIETF</t>
  </si>
  <si>
    <t>TATSILV</t>
  </si>
  <si>
    <t>ITBEES</t>
  </si>
  <si>
    <t>HDFCSILVER</t>
  </si>
  <si>
    <t>MOM30IETF</t>
  </si>
  <si>
    <t>TATAGOLD</t>
  </si>
  <si>
    <t>GOLDIETF</t>
  </si>
  <si>
    <t>BANKBEES</t>
  </si>
  <si>
    <t>HDFCGOLD</t>
  </si>
  <si>
    <t>PVTBANKADD</t>
  </si>
  <si>
    <t>LIQUIDADD</t>
  </si>
  <si>
    <t>SETFGOLD</t>
  </si>
  <si>
    <t>LIQUID1</t>
  </si>
  <si>
    <t>SILVER</t>
  </si>
  <si>
    <t>NIFTYETF</t>
  </si>
  <si>
    <t>GOLDCASE</t>
  </si>
  <si>
    <t>NIFTYIETF</t>
  </si>
  <si>
    <t>SETFNIF50</t>
  </si>
  <si>
    <t>SILVERCASE</t>
  </si>
  <si>
    <t>LIQUIDIETF</t>
  </si>
  <si>
    <t>NEXT50IETF</t>
  </si>
  <si>
    <t>SBISILVER</t>
  </si>
  <si>
    <t>PHARMABEES</t>
  </si>
  <si>
    <t>MID150BEES</t>
  </si>
  <si>
    <t>SILVERBETA</t>
  </si>
  <si>
    <t>MON100</t>
  </si>
  <si>
    <t>SILVERADD</t>
  </si>
  <si>
    <t>CASHIETF</t>
  </si>
  <si>
    <t>GOLDAXIS</t>
  </si>
  <si>
    <t>LIQGRWBEES</t>
  </si>
  <si>
    <t>SILVERAG</t>
  </si>
  <si>
    <t>GOLDETF</t>
  </si>
  <si>
    <t>HDFCLIQUID</t>
  </si>
  <si>
    <t>SMALLCAP</t>
  </si>
  <si>
    <t>UNIONGOLD</t>
  </si>
  <si>
    <t>PVTBANIETF</t>
  </si>
  <si>
    <t>LIQUIDBETF</t>
  </si>
  <si>
    <t>MODEFENCE</t>
  </si>
  <si>
    <t>MAFANG</t>
  </si>
  <si>
    <t>GOLD1</t>
  </si>
  <si>
    <t>SILVER1</t>
  </si>
  <si>
    <t>PSUBNKBEES</t>
  </si>
  <si>
    <t>LIQUIDETF</t>
  </si>
  <si>
    <t>METALIETF</t>
  </si>
  <si>
    <t>SILVERAXIS</t>
  </si>
  <si>
    <t>LIQUIDPLUS</t>
  </si>
  <si>
    <t>MOREALTY</t>
  </si>
  <si>
    <t>LIQUID</t>
  </si>
  <si>
    <t>ESILVER</t>
  </si>
  <si>
    <t>ALPHA</t>
  </si>
  <si>
    <t>AUTOBEES</t>
  </si>
  <si>
    <t>MOCAPITAL</t>
  </si>
  <si>
    <t>CPSEETF</t>
  </si>
  <si>
    <t>CPSE ETF</t>
  </si>
  <si>
    <t>HNGSNGBEES</t>
  </si>
  <si>
    <t>ELIQUID</t>
  </si>
  <si>
    <t>GOLDBETA</t>
  </si>
  <si>
    <t>GOLDADD</t>
  </si>
  <si>
    <t>HEALTHIETF</t>
  </si>
  <si>
    <t>LICMFGOLD</t>
  </si>
  <si>
    <t>ITIETF</t>
  </si>
  <si>
    <t>MOSMALL250</t>
  </si>
  <si>
    <t>OILIETF</t>
  </si>
  <si>
    <t>FMCGIETF</t>
  </si>
  <si>
    <t>MOMENTUM50</t>
  </si>
  <si>
    <t>ICICIB22</t>
  </si>
  <si>
    <t>BANKNIFTY1</t>
  </si>
  <si>
    <t>LTGILTBEES</t>
  </si>
  <si>
    <t>LOWVOL1</t>
  </si>
  <si>
    <t>GROWWSLVR</t>
  </si>
  <si>
    <t>MONIFTY500</t>
  </si>
  <si>
    <t>BANKIETF</t>
  </si>
  <si>
    <t>NIFTY1</t>
  </si>
  <si>
    <t>MOSILVER</t>
  </si>
  <si>
    <t>EBBETF0430</t>
  </si>
  <si>
    <t>MIDCAPIETF</t>
  </si>
  <si>
    <t>BSLGOLDETF</t>
  </si>
  <si>
    <t>IT</t>
  </si>
  <si>
    <t>METAL</t>
  </si>
  <si>
    <t>GROWWGOLD</t>
  </si>
  <si>
    <t>SBILIQETF</t>
  </si>
  <si>
    <t>ITETF</t>
  </si>
  <si>
    <t>LOWVOLIETF</t>
  </si>
  <si>
    <t>MOM100</t>
  </si>
  <si>
    <t>GROWWLIQID</t>
  </si>
  <si>
    <t>HDFCPVTBAN</t>
  </si>
  <si>
    <t>AONETMMQ50</t>
  </si>
  <si>
    <t>SETFNIFBK</t>
  </si>
  <si>
    <t>QGOLDHALF</t>
  </si>
  <si>
    <t>TOP10ADD</t>
  </si>
  <si>
    <t>SML100CASE</t>
  </si>
  <si>
    <t>NIFTYADD</t>
  </si>
  <si>
    <t>BSLNIFTY</t>
  </si>
  <si>
    <t>AUTOIETF</t>
  </si>
  <si>
    <t>FINIETF</t>
  </si>
  <si>
    <t>MOVALUE</t>
  </si>
  <si>
    <t>HDFCNEXT50</t>
  </si>
  <si>
    <t>GROWWPOWER</t>
  </si>
  <si>
    <t>SENSEXIETF</t>
  </si>
  <si>
    <t>SENSEX</t>
  </si>
  <si>
    <t>HDFCMID150</t>
  </si>
  <si>
    <t>CHEMICAL</t>
  </si>
  <si>
    <t>ABSL10BANK</t>
  </si>
  <si>
    <t>NEXT50BETA</t>
  </si>
  <si>
    <t>SILVERBND</t>
  </si>
  <si>
    <t>SETFNN50</t>
  </si>
  <si>
    <t>HDFCNIFTY</t>
  </si>
  <si>
    <t>SBIETFPB</t>
  </si>
  <si>
    <t>GROWWDEFNC</t>
  </si>
  <si>
    <t>NIF100BEES</t>
  </si>
  <si>
    <t>ELM250</t>
  </si>
  <si>
    <t>HDFCPSUBK</t>
  </si>
  <si>
    <t>CONSUMBEES</t>
  </si>
  <si>
    <t>GROWWHOSPI</t>
  </si>
  <si>
    <t>AONELIQUID</t>
  </si>
  <si>
    <t>MID150CASE</t>
  </si>
  <si>
    <t>EVINDIA</t>
  </si>
  <si>
    <t>MIDSMALL</t>
  </si>
  <si>
    <t>BANKETF</t>
  </si>
  <si>
    <t>ALPHAETF</t>
  </si>
  <si>
    <t>GROWWRAIL</t>
  </si>
  <si>
    <t>HDFCBSE500</t>
  </si>
  <si>
    <t>DEFENCE</t>
  </si>
  <si>
    <t>HDFCNIFBAN</t>
  </si>
  <si>
    <t>SENSEXBETA</t>
  </si>
  <si>
    <t>PSUBNKIETF</t>
  </si>
  <si>
    <t>NEXT50</t>
  </si>
  <si>
    <t>EGOLD</t>
  </si>
  <si>
    <t>HDFCSENSEX</t>
  </si>
  <si>
    <t>PSUBANKADD</t>
  </si>
  <si>
    <t>GROWWNIFTY</t>
  </si>
  <si>
    <t>SMALL250</t>
  </si>
  <si>
    <t>INFRABEES</t>
  </si>
  <si>
    <t>ALPL30IETF</t>
  </si>
  <si>
    <t>BFSI</t>
  </si>
  <si>
    <t>PSUBANK</t>
  </si>
  <si>
    <t>HDFCNIFIT</t>
  </si>
  <si>
    <t>BANKBETA</t>
  </si>
  <si>
    <t>AONESILVER</t>
  </si>
  <si>
    <t>MOMIDMTM</t>
  </si>
  <si>
    <t>LTGILTCASE</t>
  </si>
  <si>
    <t>NIFTYCASE</t>
  </si>
  <si>
    <t>HDFCGROWTH</t>
  </si>
  <si>
    <t>GROWWEV</t>
  </si>
  <si>
    <t>SELECTIPO</t>
  </si>
  <si>
    <t>MIDCAP</t>
  </si>
  <si>
    <t>MOENERGY</t>
  </si>
  <si>
    <t>GILT5YBEES</t>
  </si>
  <si>
    <t>COMMOIETF</t>
  </si>
  <si>
    <t>LIQUIDSHRI</t>
  </si>
  <si>
    <t>SENSEXETF</t>
  </si>
  <si>
    <t>TOP100CASE</t>
  </si>
  <si>
    <t>BSE500IETF</t>
  </si>
  <si>
    <t>GROWWMOM50</t>
  </si>
  <si>
    <t>HDFCMOMENT</t>
  </si>
  <si>
    <t>ENERGY</t>
  </si>
  <si>
    <t>GROWWMETAL</t>
  </si>
  <si>
    <t>HEALTHY</t>
  </si>
  <si>
    <t>TECH</t>
  </si>
  <si>
    <t>NIFTYBETA</t>
  </si>
  <si>
    <t>SBIMIDMOM</t>
  </si>
  <si>
    <t>TNIDETF</t>
  </si>
  <si>
    <t>EVIETF</t>
  </si>
  <si>
    <t>VALUEAXIS</t>
  </si>
  <si>
    <t>EBBETF0431</t>
  </si>
  <si>
    <t>SBIETFIT</t>
  </si>
  <si>
    <t>MULTICAP</t>
  </si>
  <si>
    <t>MOHEALTH</t>
  </si>
  <si>
    <t>NV20IETF</t>
  </si>
  <si>
    <t>GROWWCAPM</t>
  </si>
  <si>
    <t>VAL30IETF</t>
  </si>
  <si>
    <t>MONQ50</t>
  </si>
  <si>
    <t>MAKEINDIA</t>
  </si>
  <si>
    <t>MID150</t>
  </si>
  <si>
    <t>MOMENTUM30</t>
  </si>
  <si>
    <t>ABSLBANETF</t>
  </si>
  <si>
    <t>EQUAL50ADD</t>
  </si>
  <si>
    <t>INFRAIETF</t>
  </si>
  <si>
    <t>AONEGOLD</t>
  </si>
  <si>
    <t>ITADD</t>
  </si>
  <si>
    <t>MIDSELIETF</t>
  </si>
  <si>
    <t>MOGOLD</t>
  </si>
  <si>
    <t>GROWWRLTY</t>
  </si>
  <si>
    <t>HDFCNIF100</t>
  </si>
  <si>
    <t>ABSLLIQUID</t>
  </si>
  <si>
    <t>SHARIABEES</t>
  </si>
  <si>
    <t>SILVER360</t>
  </si>
  <si>
    <t>MOMOMENTUM</t>
  </si>
  <si>
    <t>GOLD360</t>
  </si>
  <si>
    <t>BANKADD</t>
  </si>
  <si>
    <t>GOLDBND</t>
  </si>
  <si>
    <t>AONETOTAL</t>
  </si>
  <si>
    <t>SMALLIETF</t>
  </si>
  <si>
    <t>AONENIFTY</t>
  </si>
  <si>
    <t>MOMENTUM</t>
  </si>
  <si>
    <t>MOALPHA50</t>
  </si>
  <si>
    <t>GROWWSC250</t>
  </si>
  <si>
    <t>MONIFTY100</t>
  </si>
  <si>
    <t>NV20BEES</t>
  </si>
  <si>
    <t>ITAXIS</t>
  </si>
  <si>
    <t>NIFTYAXIS</t>
  </si>
  <si>
    <t>DIVOPPBEES</t>
  </si>
  <si>
    <t>SBIBPB</t>
  </si>
  <si>
    <t>TOP15IETF</t>
  </si>
  <si>
    <t>NV20</t>
  </si>
  <si>
    <t>NIFTYQLITY</t>
  </si>
  <si>
    <t>NIF100IETF</t>
  </si>
  <si>
    <t>IVZINGOLD</t>
  </si>
  <si>
    <t>GROWWPSUBK</t>
  </si>
  <si>
    <t>VALUE</t>
  </si>
  <si>
    <t>MOM50</t>
  </si>
  <si>
    <t>GROWWNET</t>
  </si>
  <si>
    <t>PVTBKGROWW</t>
  </si>
  <si>
    <t>ITBETA</t>
  </si>
  <si>
    <t>MOTOUR</t>
  </si>
  <si>
    <t>EMULTIMQ</t>
  </si>
  <si>
    <t>BBNPPGOLD</t>
  </si>
  <si>
    <t>CONSUMER</t>
  </si>
  <si>
    <t>TWCGOLDETF</t>
  </si>
  <si>
    <t>CONSUMIETF</t>
  </si>
  <si>
    <t>FLEXIADD</t>
  </si>
  <si>
    <t>EBBETF0433</t>
  </si>
  <si>
    <t>QUAL30IETF</t>
  </si>
  <si>
    <t>SBINMID150</t>
  </si>
  <si>
    <t>MNC</t>
  </si>
  <si>
    <t>ESG</t>
  </si>
  <si>
    <t>BANK10ADD</t>
  </si>
  <si>
    <t>MSCIINDIA</t>
  </si>
  <si>
    <t>INTERNET</t>
  </si>
  <si>
    <t>HDFCQUAL</t>
  </si>
  <si>
    <t>GROWWCHEM</t>
  </si>
  <si>
    <t>BANKPSU</t>
  </si>
  <si>
    <t>HEALTHCARE</t>
  </si>
  <si>
    <t>MOBANK10</t>
  </si>
  <si>
    <t>MOQUALITY</t>
  </si>
  <si>
    <t>BBETF0432</t>
  </si>
  <si>
    <t>LIQUIDSBI</t>
  </si>
  <si>
    <t>SETF10GILT</t>
  </si>
  <si>
    <t>TOP20</t>
  </si>
  <si>
    <t>SNXT50BETA</t>
  </si>
  <si>
    <t>ABSLPSE</t>
  </si>
  <si>
    <t>BANKBETF</t>
  </si>
  <si>
    <t>HEALTHADD</t>
  </si>
  <si>
    <t>HSBCGOLD</t>
  </si>
  <si>
    <t>NIFTY100EW</t>
  </si>
  <si>
    <t>HEALTHAXIS</t>
  </si>
  <si>
    <t>MIDQ50ADD</t>
  </si>
  <si>
    <t>ECAPINSURE</t>
  </si>
  <si>
    <t>FMCGADD</t>
  </si>
  <si>
    <t>NIFTYBETF</t>
  </si>
  <si>
    <t>MIDCAPBETA</t>
  </si>
  <si>
    <t>QUALITY30</t>
  </si>
  <si>
    <t>IVZINNIFTY</t>
  </si>
  <si>
    <t>CHOICEGOLD</t>
  </si>
  <si>
    <t>GROWWLOVOL</t>
  </si>
  <si>
    <t>ABSLNN50ET</t>
  </si>
  <si>
    <t>LICNETFN50</t>
  </si>
  <si>
    <t>CONS</t>
  </si>
  <si>
    <t>QNIFTY</t>
  </si>
  <si>
    <t>BNKETFAXIS</t>
  </si>
  <si>
    <t>SBIETFQLTY</t>
  </si>
  <si>
    <t>NETF</t>
  </si>
  <si>
    <t>SMALLGROWW</t>
  </si>
  <si>
    <t>GROWWNXT50</t>
  </si>
  <si>
    <t>SBISMLETF</t>
  </si>
  <si>
    <t>MOLOWVOL</t>
  </si>
  <si>
    <t>HDFCVALUE</t>
  </si>
  <si>
    <t>GSEC5IETF</t>
  </si>
  <si>
    <t>MON50EQUAL</t>
  </si>
  <si>
    <t>BSLSENETFG</t>
  </si>
  <si>
    <t>SENSEXADD</t>
  </si>
  <si>
    <t>SBINEQWETF</t>
  </si>
  <si>
    <t>INFRA</t>
  </si>
  <si>
    <t>IDFNIFTYET</t>
  </si>
  <si>
    <t>EBANKNIFTY</t>
  </si>
  <si>
    <t>MOSERVICE</t>
  </si>
  <si>
    <t>GROWWN200</t>
  </si>
  <si>
    <t>NEXT50ETF</t>
  </si>
  <si>
    <t>EQUAL50</t>
  </si>
  <si>
    <t>SBIETFCON</t>
  </si>
  <si>
    <t>NPBET</t>
  </si>
  <si>
    <t>EQUAL200</t>
  </si>
  <si>
    <t>LICNETFGSC</t>
  </si>
  <si>
    <t>GROWWPSE</t>
  </si>
  <si>
    <t>SENSEXAXIS</t>
  </si>
  <si>
    <t>MONEXT50</t>
  </si>
  <si>
    <t>MSCIADD</t>
  </si>
  <si>
    <t>CONSUMAXIS</t>
  </si>
  <si>
    <t>SMALLADD</t>
  </si>
  <si>
    <t>MANUFGBEES</t>
  </si>
  <si>
    <t>SBIVALETF</t>
  </si>
  <si>
    <t>GROWWMC150</t>
  </si>
  <si>
    <t>SNXT30BEES</t>
  </si>
  <si>
    <t>MSCI360</t>
  </si>
  <si>
    <t>ENIFTY</t>
  </si>
  <si>
    <t>NEXT30ADD</t>
  </si>
  <si>
    <t>MOPSE</t>
  </si>
  <si>
    <t>LOWVOL</t>
  </si>
  <si>
    <t>LICNFNHGP</t>
  </si>
  <si>
    <t>HDFCLOWVOL</t>
  </si>
  <si>
    <t>MOINFRA</t>
  </si>
  <si>
    <t>MOIPO</t>
  </si>
  <si>
    <t>LICNMID100</t>
  </si>
  <si>
    <t>DIVIDEND</t>
  </si>
  <si>
    <t>ABSLMSCIN</t>
  </si>
  <si>
    <t>NEXT50ADD</t>
  </si>
  <si>
    <t>GILT5BETA</t>
  </si>
  <si>
    <t>MOMGF</t>
  </si>
  <si>
    <t>MOGSEC</t>
  </si>
  <si>
    <t>LICNETFSEN</t>
  </si>
  <si>
    <t>MIDCAPADD</t>
  </si>
  <si>
    <t>ENEXT50</t>
  </si>
  <si>
    <t>BBNPNBETF</t>
  </si>
  <si>
    <t>ESENSEX</t>
  </si>
  <si>
    <t>GSEC10YEAR</t>
  </si>
  <si>
    <t>GILT10BETA</t>
  </si>
  <si>
    <t>MOMNC</t>
  </si>
  <si>
    <t>ABGSEC</t>
  </si>
  <si>
    <t>GSEC10ABSL</t>
  </si>
  <si>
    <t>GSEC10IETF</t>
  </si>
  <si>
    <t>GOLD</t>
  </si>
  <si>
    <t>NIFTY IT TRI</t>
  </si>
  <si>
    <t>NIFTY BANK</t>
  </si>
  <si>
    <t>NIFTY 50</t>
  </si>
  <si>
    <t>NIFTY 500</t>
  </si>
  <si>
    <t>NIFTY NEXT 50</t>
  </si>
  <si>
    <t>NIFTY 200</t>
  </si>
  <si>
    <t>NIFTY PHARMA</t>
  </si>
  <si>
    <t>NIFTY DEFENCE</t>
  </si>
  <si>
    <t>NIFTY METAL</t>
  </si>
  <si>
    <t>NIFTY REALTY</t>
  </si>
  <si>
    <t>NIFTY AUTO</t>
  </si>
  <si>
    <t>NIFTY CAPITAL MARKET</t>
  </si>
  <si>
    <t>NIFTY ALPHA</t>
  </si>
  <si>
    <t>NIFTY GSEC</t>
  </si>
  <si>
    <t>NIFTY OIL&amp;GAS</t>
  </si>
  <si>
    <t>NIFTY FMCG</t>
  </si>
  <si>
    <t>NIFTY 100</t>
  </si>
  <si>
    <t>BHARATBOND</t>
  </si>
  <si>
    <t>FINANCIAL SERVICES</t>
  </si>
  <si>
    <t>AUTO</t>
  </si>
  <si>
    <t>POWER</t>
  </si>
  <si>
    <t>CHEMICALS</t>
  </si>
  <si>
    <t>BANK</t>
  </si>
  <si>
    <t>LARGEMIDCAP 250</t>
  </si>
  <si>
    <t>CONSUMPTION</t>
  </si>
  <si>
    <t>HOSPITALS</t>
  </si>
  <si>
    <t xml:space="preserve">EV </t>
  </si>
  <si>
    <t>RAILWAYS</t>
  </si>
  <si>
    <t>NIFTY500</t>
  </si>
  <si>
    <t>MANUFACTURING</t>
  </si>
  <si>
    <t>NIFTY 750</t>
  </si>
  <si>
    <t>SERVICES</t>
  </si>
  <si>
    <t>BSE</t>
  </si>
  <si>
    <t>COMMODITIES</t>
  </si>
  <si>
    <t>TOURISM</t>
  </si>
  <si>
    <t>EV</t>
  </si>
  <si>
    <t>PSE</t>
  </si>
  <si>
    <t>SELECT IPO</t>
  </si>
  <si>
    <t>NIFTY GROWTH</t>
  </si>
  <si>
    <t>DIGITAL</t>
  </si>
  <si>
    <t>NASDAQ Q-50</t>
  </si>
  <si>
    <t>NYSE FANG+</t>
  </si>
  <si>
    <t>NIFTY MNC</t>
  </si>
  <si>
    <t>SECTOR</t>
  </si>
  <si>
    <t>NIFTY TOP 20 EQUAL WEIGHT</t>
  </si>
  <si>
    <t>NIFTY TOTAL MARKET INDEX</t>
  </si>
  <si>
    <t>NIFTY PRIVATE BANK INDEX</t>
  </si>
  <si>
    <t>NIFTY FMCG INDEX</t>
  </si>
  <si>
    <t>NIFTY PSE INDEX</t>
  </si>
  <si>
    <t>NIFTY ENERGY INDEX</t>
  </si>
  <si>
    <t>MSCI INDIA INDEX</t>
  </si>
  <si>
    <t>GSEC10 NSE INDEX</t>
  </si>
  <si>
    <t>HANG SENG INDEX</t>
  </si>
  <si>
    <t>NIFTY PSU BANK</t>
  </si>
  <si>
    <t>NIFTY ENERGY</t>
  </si>
  <si>
    <t>NASDAQ100</t>
  </si>
  <si>
    <t>SHARIAH</t>
  </si>
  <si>
    <t>INDEX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</si>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</sst>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10" fontId="2" fillId="0" borderId="0" xfId="1" applyNumberFormat="1" applyFont="1" applyAlignment="1">
      <alignment horizontal="left"/>
    </xf>
    <xf numFmtId="10" fontId="2" fillId="0" borderId="0" xfId="1" applyNumberFormat="1" applyFont="1"/>
    <xf numFmtId="14" fontId="2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quotePrefix="1" applyFont="1" applyFill="1"/>
    <xf numFmtId="0" fontId="3" fillId="3" borderId="0" xfId="0" applyFont="1" applyFill="1"/>
    <xf numFmtId="164" fontId="3" fillId="3" borderId="0" xfId="0" applyNumberFormat="1" applyFont="1" applyFill="1" applyAlignment="1">
      <alignment horizontal="left"/>
    </xf>
    <xf numFmtId="164" fontId="2" fillId="0" borderId="0" xfId="0" applyNumberFormat="1" applyFont="1" applyAlignment="1">
      <alignment horizontal="left"/>
    </xf>
    <xf numFmtId="10" fontId="2" fillId="0" borderId="0" xfId="0" applyNumberFormat="1" applyFont="1"/>
    <xf numFmtId="164" fontId="2" fillId="0" borderId="0" xfId="0" applyNumberFormat="1" applyFont="1"/>
    <xf numFmtId="10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EC2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06/relationships/rdSupportingPropertyBagStructure" Target="richData/rdsupportingpropertybagstructure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ichStyles" Target="richData/rich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Array" Target="richData/rdarray.xml"/><Relationship Id="rId5" Type="http://schemas.openxmlformats.org/officeDocument/2006/relationships/theme" Target="theme/theme1.xml"/><Relationship Id="rId15" Type="http://schemas.microsoft.com/office/2017/06/relationships/rdRichValueTypes" Target="richData/rdRichValueTypes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Relationship Id="rId14" Type="http://schemas.microsoft.com/office/2017/06/relationships/rdSupportingPropertyBag" Target="richData/rdsupportingpropertybag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2368">
  <a r="1">
    <v t="i">0</v>
  </a>
  <a r="1">
    <v>186.91</v>
  </a>
  <a r="1">
    <v>275.92</v>
  </a>
  <a r="1">
    <v>231.15</v>
  </a>
  <a r="1">
    <v>197</v>
  </a>
  <a r="1">
    <v>265.16000000000003</v>
  </a>
  <a r="1">
    <v>259.26</v>
  </a>
  <a r="1">
    <v>259.51</v>
  </a>
  <a r="1">
    <v>171.3</v>
  </a>
  <a r="1">
    <v>237.78</v>
  </a>
  <a r="1">
    <v>272.64</v>
  </a>
  <a r="1">
    <v>261.56</v>
  </a>
  <a r="1">
    <v>188.62</v>
  </a>
  <a r="1">
    <v>278.33</v>
  </a>
  <a r="1">
    <v>237.74</v>
  </a>
  <a r="1">
    <v>274.10000000000002</v>
  </a>
  <a r="1">
    <v>176.16</v>
  </a>
  <a r="1">
    <v>217.97</v>
  </a>
  <a r="1">
    <v>247.42</v>
  </a>
  <a r="1">
    <v>273.58999999999997</v>
  </a>
  <a r="1">
    <v>279.39999999999998</v>
  </a>
  <a r="1">
    <v>273.08999999999997</v>
  </a>
  <a r="1">
    <v>251.03</v>
  </a>
  <a r="1">
    <v>240.03</v>
  </a>
  <a r="1">
    <v>178.56</v>
  </a>
  <a r="1">
    <v>273.91000000000003</v>
  </a>
  <a r="1">
    <v>187.99</v>
  </a>
  <a r="1">
    <v>250.74</v>
  </a>
  <a r="1">
    <v>198.78</v>
  </a>
  <a r="1">
    <v>268.39</v>
  </a>
  <a r="1">
    <v>200.2</v>
  </a>
  <a r="1">
    <v>251.57</v>
  </a>
  <a r="1">
    <v>175.54</v>
  </a>
  <a r="1">
    <v>192.92</v>
  </a>
  <a r="1">
    <v>277.54000000000002</v>
  </a>
  <a r="1">
    <v>222.13</v>
  </a>
  <a r="1">
    <v>276.57</v>
  </a>
  <a r="1">
    <v>280.17</v>
  </a>
  <a r="1">
    <v>266.54000000000002</v>
  </a>
  <a r="1">
    <v>217.13</v>
  </a>
  <a r="1">
    <v>175.1</v>
  </a>
  <a r="1">
    <v>195.71</v>
  </a>
  <a r="1">
    <v>246.42</v>
  </a>
  <a r="1">
    <v>271.82</v>
  </a>
  <a r="1">
    <v>238.87</v>
  </a>
  <a r="1">
    <v>259.58</v>
  </a>
  <a r="1">
    <v>218.39</v>
  </a>
  <a r="1">
    <v>186.14</v>
  </a>
  <a r="1">
    <v>257.33</v>
  </a>
  <a r="1">
    <v>246.96</v>
  </a>
  <a r="1">
    <v>183.68</v>
  </a>
  <a r="1">
    <v>189.93</v>
  </a>
  <a r="1">
    <v>191.78</v>
  </a>
  <a r="1">
    <v>192.64</v>
  </a>
  <a r="1">
    <v>198.55</v>
  </a>
  <a r="1">
    <v>237.29</v>
  </a>
  <a r="1">
    <v>270.95</v>
  </a>
  <a r="1">
    <v>170.26</v>
  </a>
  <a r="1">
    <v>233.25</v>
  </a>
  <a r="1">
    <v>215.77</v>
  </a>
  <a r="1">
    <v>186.62</v>
  </a>
  <a r="1">
    <v>230.83</v>
  </a>
  <a r="1">
    <v>216.22</v>
  </a>
  <a r="1">
    <v>189.7</v>
  </a>
  <a r="1">
    <v>238.91</v>
  </a>
  <a r="1">
    <v>175.57</v>
  </a>
  <a r="1">
    <v>197.98</v>
  </a>
  <a r="1">
    <v>272.79000000000002</v>
  </a>
  <a r="1">
    <v>197.35</v>
  </a>
  <a r="1">
    <v>187.34</v>
  </a>
  <a r="1">
    <v>199.7</v>
  </a>
  <a r="1">
    <v>243.07</v>
  </a>
  <a r="1">
    <v>197.07</v>
  </a>
  <a r="1">
    <v>283.92</v>
  </a>
  <a r="1">
    <v>209.99</v>
  </a>
  <a r="1">
    <v>269.89</v>
  </a>
  <a r="1">
    <v>278.94</v>
  </a>
  <a r="1">
    <v>270.7</v>
  </a>
  <a r="1">
    <v>186.09</v>
  </a>
  <a r="1">
    <v>196.86</v>
  </a>
  <a r="1">
    <v>250.36</v>
  </a>
  <a r="1">
    <v>251.3</v>
  </a>
  <a r="1">
    <v>257.91000000000003</v>
  </a>
  <a r="1">
    <v>167.56</v>
  </a>
  <a r="1">
    <v>261.64</v>
  </a>
  <a r="1">
    <v>240.16</v>
  </a>
  <a r="1">
    <v>272.22000000000003</v>
  </a>
  <a r="1">
    <v>271.99</v>
  </a>
  <a r="1">
    <v>199.23</v>
  </a>
  <a r="1">
    <v>184.1</v>
  </a>
  <a r="1">
    <v>192.91</v>
  </a>
  <a r="1">
    <v>262.89999999999998</v>
  </a>
  <a r="1">
    <v>212.92</v>
  </a>
  <a r="1">
    <v>238.13</v>
  </a>
  <a r="1">
    <v>248.18</v>
  </a>
  <a r="1">
    <v>187.46</v>
  </a>
  <a r="1">
    <v>279.2</v>
  </a>
  <a r="1">
    <v>196.13</v>
  </a>
  <a r="1">
    <v>245.39</v>
  </a>
  <a r="1">
    <v>241.55</v>
  </a>
  <a r="1">
    <v>221.66</v>
  </a>
  <a r="1">
    <v>267.61</v>
  </a>
  <a r="1">
    <v>271.10000000000002</v>
  </a>
  <a r="1">
    <v>189.17</v>
  </a>
  <a r="1">
    <v>188.1</v>
  </a>
  <a r="1">
    <v>264.37</v>
  </a>
  <a r="1">
    <v>192.48</v>
  </a>
  <a r="1">
    <v>185.33</v>
  </a>
  <a r="1">
    <v>281.27999999999997</v>
  </a>
  <a r="1">
    <v>252.37</v>
  </a>
  <a r="1">
    <v>186.41</v>
  </a>
  <a r="1">
    <v>270.75</v>
  </a>
  <a r="1">
    <v>203.77</v>
  </a>
  <a r="1">
    <v>283.36</v>
  </a>
  <a r="1">
    <v>274.68</v>
  </a>
  <a r="1">
    <v>270.52999999999997</v>
  </a>
  <a r="1">
    <v>267.18</v>
  </a>
  <a r="1">
    <v>194.77</v>
  </a>
  <a r="1">
    <v>256.89</v>
  </a>
  <a r="1">
    <v>271.04000000000002</v>
  </a>
  <a r="1">
    <v>277.75</v>
  </a>
  <a r="1">
    <v>247.24</v>
  </a>
  <a r="1">
    <v>254.29</v>
  </a>
  <a r="1">
    <v>281.72000000000003</v>
  </a>
  <a r="1">
    <v>205.54</v>
  </a>
  <a r="1">
    <v>278.5</v>
  </a>
  <a r="1">
    <v>193.59</v>
  </a>
  <a r="1">
    <v>250.84</v>
  </a>
  <a r="1">
    <v>270.54000000000002</v>
  </a>
  <a r="1">
    <v>263.14999999999998</v>
  </a>
  <a r="1">
    <v>176.44</v>
  </a>
  <a r="1">
    <v>218.16</v>
  </a>
  <a r="1">
    <v>240.26</v>
  </a>
  <a r="1">
    <v>184.07</v>
  </a>
  <a r="1">
    <v>186.71</v>
  </a>
  <a r="1">
    <v>289.3</v>
  </a>
  <a r="1">
    <v>198.43</v>
  </a>
  <a r="1">
    <v>258.27</v>
  </a>
  <a r="1">
    <v>217.56</v>
  </a>
  <a r="1">
    <v>213.25</v>
  </a>
  <a r="1">
    <v>186.23</v>
  </a>
  <a r="1">
    <v>181.01</v>
  </a>
  <a r="1">
    <v>191.92</v>
  </a>
  <a r="1">
    <v>259.39</v>
  </a>
  <a r="1">
    <v>218.6</v>
  </a>
  <a r="1">
    <v>195.61</v>
  </a>
  <a r="1">
    <v>242.72</v>
  </a>
  <a r="1">
    <v>193.44</v>
  </a>
  <a r="1">
    <v>273.55</v>
  </a>
  <a r="1">
    <v>213.43</v>
  </a>
  <a r="1">
    <v>243.49</v>
  </a>
  <a r="1">
    <v>239.3</v>
  </a>
  <a r="1">
    <v>245.52</v>
  </a>
  <a r="1">
    <v>171.6</v>
  </a>
  <a r="1">
    <v>269.52</v>
  </a>
  <a r="1">
    <v>208.74</v>
  </a>
  <a r="1">
    <v>214.57</v>
  </a>
  <a r="1">
    <v>215.1</v>
  </a>
  <a r="1">
    <v>216.57</v>
  </a>
  <a r="1">
    <v>270.64</v>
  </a>
  <a r="1">
    <v>177.88</v>
  </a>
  <a r="1">
    <v>195.93</v>
  </a>
  <a r="1">
    <v>213.54</v>
  </a>
  <a r="1">
    <v>192.18</v>
  </a>
  <a r="1">
    <v>214.4</v>
  </a>
  <a r="1">
    <v>291.55</v>
  </a>
  <a r="1">
    <v>220.19</v>
  </a>
  <a r="1">
    <v>256.85000000000002</v>
  </a>
  <a r="1">
    <v>236.93</v>
  </a>
  <a r="1">
    <v>173.93</v>
  </a>
  <a r="1">
    <v>194</v>
  </a>
  <a r="1">
    <v>265.67</v>
  </a>
  <a r="1">
    <v>245.37</v>
  </a>
  <a r="1">
    <v>260.72000000000003</v>
  </a>
  <a r="1">
    <v>250.48</v>
  </a>
  <a r="1">
    <v>241.58</v>
  </a>
  <a r="1">
    <v>270.79000000000002</v>
  </a>
  <a r="1">
    <v>193.92</v>
  </a>
  <a r="1">
    <v>266.95</v>
  </a>
  <a r="1">
    <v>190.01</v>
  </a>
  <a r="1">
    <v>214.49</v>
  </a>
  <a r="1">
    <v>250.06</v>
  </a>
  <a r="1">
    <v>270.92</v>
  </a>
  <a r="1">
    <v>217.72</v>
  </a>
  <a r="1">
    <v>248.62</v>
  </a>
  <a r="1">
    <v>192.99</v>
  </a>
  <a r="1">
    <v>241.6</v>
  </a>
  <a r="1">
    <v>260.3</v>
  </a>
  <a r="1">
    <v>270.23</v>
  </a>
  <a r="1">
    <v>280.10000000000002</v>
  </a>
  <a r="1">
    <v>260.22000000000003</v>
  </a>
  <a r="1">
    <v>247.94</v>
  </a>
  <a r="1">
    <v>180.54</v>
  </a>
  <a r="1">
    <v>243.99</v>
  </a>
  <a r="1">
    <v>252.75</v>
  </a>
  <a r="1">
    <v>205.31</v>
  </a>
  <a r="1">
    <v>221.43</v>
  </a>
  <a r="1">
    <v>192.01</v>
  </a>
  <a r="1">
    <v>200.7</v>
  </a>
  <a r="1">
    <v>194.09</v>
  </a>
  <a r="1">
    <v>267.68</v>
  </a>
  <a r="1">
    <v>238.76</v>
  </a>
  <a r="1">
    <v>192.49</v>
  </a>
  <a r="1">
    <v>282.70999999999998</v>
  </a>
  <a r="1">
    <v>193.68</v>
  </a>
  <a r="1">
    <v>217.29</v>
  </a>
  <a r="1">
    <v>213.45</v>
  </a>
  <a r="1">
    <v>210.98</v>
  </a>
  <a r="1">
    <v>240.59</v>
  </a>
  <a r="1">
    <v>218.55</v>
  </a>
  <a r="1">
    <v>252.98</v>
  </a>
  <a r="1">
    <v>190.11</v>
  </a>
  <a r="1">
    <v>274.97000000000003</v>
  </a>
  <a r="1">
    <v>264.92</v>
  </a>
  <a r="1">
    <v>184.18</v>
  </a>
  <a r="1">
    <v>249.23</v>
  </a>
  <a r="1">
    <v>258.8</v>
  </a>
  <a r="1">
    <v>259.38</v>
  </a>
  <a r="1">
    <v>271.92</v>
  </a>
  <a r="1">
    <v>282.69</v>
  </a>
  <a r="1">
    <v>193.76</v>
  </a>
  <a r="1">
    <v>198</v>
  </a>
  <a r="1">
    <v>219.6</v>
  </a>
  <a r="1">
    <v>234.6</v>
  </a>
  <a r="1">
    <v>180.6</v>
  </a>
  <a r="1">
    <v>251.74</v>
  </a>
  <a r="1">
    <v>261.29000000000002</v>
  </a>
  <a r="1">
    <v>193.45</v>
  </a>
  <a r="1">
    <v>219.56</v>
  </a>
  <a r="1">
    <v>243.94</v>
  </a>
  <a r="1">
    <v>275.51</v>
  </a>
  <a r="1">
    <v>237.51</v>
  </a>
  <a r="1">
    <v>191.26</v>
  </a>
  <a r="1">
    <v>269.33999999999997</v>
  </a>
  <a r="1">
    <v>178.86</v>
  </a>
  <a r="1">
    <v>261.91000000000003</v>
  </a>
  <a r="1">
    <v>263.73</v>
  </a>
  <a r="1">
    <v>172.65</v>
  </a>
  <a r="1">
    <v>192.19</v>
  </a>
  <a r="1">
    <v>216.97</v>
  </a>
  <a r="1">
    <v>273.56</v>
  </a>
  <a r="1">
    <v>246.61</v>
  </a>
  <a r="1">
    <v>271.38</v>
  </a>
  <a r="1">
    <v>214.3</v>
  </a>
  <a r="1">
    <v>269.33</v>
  </a>
  <a r="1">
    <v>242.01</v>
  </a>
  <a r="1">
    <v>206.46</v>
  </a>
  <a r="1">
    <v>171.7</v>
  </a>
  <a r="1">
    <v>265.25</v>
  </a>
  <a r="1">
    <v>247.34</v>
  </a>
  <a r="1">
    <v>276.12</v>
  </a>
  <a r="1">
    <v>179.4</v>
  </a>
  <a r="1">
    <v>265.58999999999997</v>
  </a>
  <a r="1">
    <v>189.51</v>
  </a>
  <a r="1">
    <v>248.59</v>
  </a>
  <a r="1">
    <v>263.07</v>
  </a>
  <a r="1">
    <v>248.65</v>
  </a>
  <a r="1">
    <v>272.12</v>
  </a>
  <a r="1">
    <v>218.76</v>
  </a>
  <a r="1">
    <v>218.53</v>
  </a>
  <a r="1">
    <v>259.32</v>
  </a>
  <a r="1">
    <v>243.24</v>
  </a>
  <a r="1">
    <v>269.02999999999997</v>
  </a>
  <a r="1">
    <v>265.49</v>
  </a>
  <a r="1">
    <v>280.43</v>
  </a>
  <a r="1">
    <v>201.21</v>
  </a>
  <a r="1">
    <v>258.17</v>
  </a>
  <a r="1">
    <v>265.01</v>
  </a>
  <a r="1">
    <v>194.44</v>
  </a>
  <a r="1">
    <v>211.48</v>
  </a>
  <a r="1">
    <v>279.83</v>
  </a>
  <a r="1">
    <v>250.35</v>
  </a>
  <a r="1">
    <v>195.26</v>
  </a>
  <a r="1">
    <v>216.64</v>
  </a>
  <a r="1">
    <v>190.64</v>
  </a>
  <a r="1">
    <v>201.58</v>
  </a>
  <a r="1">
    <v>240.28</v>
  </a>
  <a r="1">
    <v>179.91</v>
  </a>
  <a r="1">
    <v>205.45</v>
  </a>
  <a r="1">
    <v>214.37</v>
  </a>
  <a r="1">
    <v>278.7</v>
  </a>
  <a r="1">
    <v>263.57</v>
  </a>
  <a r="1">
    <v>230.06</v>
  </a>
  <a r="1">
    <v>204.51</v>
  </a>
  <a r="1">
    <v>188.87</v>
  </a>
  <a r="1">
    <v>230.94</v>
  </a>
  <a r="1">
    <v>230.96</v>
  </a>
  <a r="1">
    <v>197.39</v>
  </a>
  <a r="1">
    <v>196.95</v>
  </a>
  <a r="1">
    <v>192.34</v>
  </a>
  <a r="1">
    <v>218.56</v>
  </a>
  <a r="1">
    <v>169.71</v>
  </a>
  <a r="1">
    <v>215.53</v>
  </a>
  <a r="1">
    <v>243.87</v>
  </a>
  <a r="1">
    <v>243.25</v>
  </a>
  <a r="1">
    <v>175.09</v>
  </a>
  <a r="1">
    <v>178.36</v>
  </a>
  <a r="1">
    <v>217.63</v>
  </a>
  <a r="1">
    <v>271.89</v>
  </a>
  <a r="1">
    <v>171.72</v>
  </a>
  <a r="1">
    <v>276.48</v>
  </a>
  <a r="1">
    <v>278.72000000000003</v>
  </a>
  <a r="1">
    <v>247.11</v>
  </a>
  <a r="1">
    <v>193.24</v>
  </a>
  <a r="1">
    <v>221.53</v>
  </a>
  <a r="1">
    <v>247.82</v>
  </a>
  <a r="1">
    <v>201.72</v>
  </a>
  <a r="1">
    <v>261.38</v>
  </a>
  <a r="1">
    <v>192.94</v>
  </a>
  <a r="1">
    <v>215.84</v>
  </a>
  <a r="1">
    <v>200.35</v>
  </a>
  <a r="1">
    <v>217.2</v>
  </a>
  <a r="1">
    <v>217.02</v>
  </a>
  <a r="1">
    <v>191.44</v>
  </a>
  <a r="1">
    <v>265.05</v>
  </a>
  <a r="1">
    <v>272.16000000000003</v>
  </a>
  <a r="1">
    <v>256.83999999999997</v>
  </a>
  <a r="1">
    <v>258.55</v>
  </a>
  <a r="1">
    <v>256.7</v>
  </a>
  <a r="1">
    <v>188.29</v>
  </a>
  <a r="1">
    <v>251.06</v>
  </a>
  <a r="1">
    <v>180.68</v>
  </a>
  <a r="1">
    <v>199.68</v>
  </a>
  <a r="1">
    <v>215.57</v>
  </a>
  <a r="1">
    <v>234.87</v>
  </a>
  <a r="1">
    <v>198.42</v>
  </a>
  <a r="1">
    <v>242.35</v>
  </a>
  <a r="1">
    <v>249.74</v>
  </a>
  <a r="1">
    <v>179.65</v>
  </a>
  <a r="1">
    <v>173.4</v>
  </a>
  <a r="1">
    <v>254.2</v>
  </a>
  <a r="1">
    <v>252.56</v>
  </a>
  <a r="1">
    <v>194.55</v>
  </a>
  <a r="1">
    <v>194.04</v>
  </a>
  <a r="1">
    <v>204.36</v>
  </a>
  <a r="1">
    <v>193.25</v>
  </a>
  <a r="1">
    <v>188.94</v>
  </a>
  <a r="1">
    <v>200.51</v>
  </a>
  <a r="1">
    <v>185.71</v>
  </a>
  <a r="1">
    <v>203.43</v>
  </a>
  <a r="1">
    <v>195.89</v>
  </a>
  <a r="1">
    <v>243.71</v>
  </a>
  <a r="1">
    <v>244.96</v>
  </a>
  <a r="1">
    <v>172.04</v>
  </a>
  <a r="1">
    <v>243.79</v>
  </a>
  <a r="1">
    <v>288.27</v>
  </a>
  <a r="1">
    <v>215.79</v>
  </a>
  <a r="1">
    <v>186.93</v>
  </a>
  <a r="1">
    <v>290.08999999999997</v>
  </a>
  <a r="1">
    <v>248.67</v>
  </a>
  <a r="1">
    <v>273.43</v>
  </a>
  <a r="1">
    <v>201.02</v>
  </a>
  <a r="1">
    <v>264.47000000000003</v>
  </a>
  <a r="1">
    <v>198.39</v>
  </a>
  <a r="1">
    <v>279.3</v>
  </a>
  <a r="1">
    <v>191.82</v>
  </a>
  <a r="1">
    <v>189.14</v>
  </a>
  <a r="1">
    <v>260.45999999999998</v>
  </a>
  <a r="1">
    <v>192.14</v>
  </a>
  <a r="1">
    <v>212.77</v>
  </a>
  <a r="1">
    <v>196.08</v>
  </a>
  <a r="1">
    <v>197.11</v>
  </a>
  <a r="1">
    <v>213.77</v>
  </a>
  <a r="1">
    <v>213.7</v>
  </a>
  <a r="1">
    <v>215.33</v>
  </a>
  <a r="1">
    <v>213.56</v>
  </a>
  <a r="1">
    <v>192.29</v>
  </a>
  <a r="1">
    <v>190.22</v>
  </a>
  <a r="1">
    <v>216.63</v>
  </a>
  <a r="1">
    <v>187.42</v>
  </a>
  <a r="1">
    <v>219.51</v>
  </a>
  <a r="1">
    <v>185.96</v>
  </a>
  <a r="1">
    <v>213.69</v>
  </a>
  <a r="1">
    <v>213.96</v>
  </a>
  <a r="1">
    <v>179.52</v>
  </a>
  <a r="1">
    <v>206.24</v>
  </a>
  <a r="1">
    <v>176.17</v>
  </a>
  <a r="1">
    <v>182.61</v>
  </a>
  <a r="1">
    <v>187.9</v>
  </a>
  <a r="1">
    <v>278.01</v>
  </a>
  <a r="1">
    <v>280.76</v>
  </a>
  <a r="1">
    <v>265.66000000000003</v>
  </a>
  <a r="1">
    <v>169.56</v>
  </a>
  <a r="1">
    <v>215.48</v>
  </a>
  <a r="1">
    <v>243.98</v>
  </a>
  <a r="1">
    <v>171</v>
  </a>
  <a r="1">
    <v>268.3</v>
  </a>
  <a r="1">
    <v>159.69</v>
  </a>
  <a r="1">
    <v>188.83</v>
  </a>
  <a r="1">
    <v>190.95</v>
  </a>
  <a r="1">
    <v>220.38</v>
  </a>
  <a r="1">
    <v>211.52</v>
  </a>
  <a r="1">
    <v>260.87</v>
  </a>
  <a r="1">
    <v>252.18</v>
  </a>
  <a r="1">
    <v>256.95</v>
  </a>
  <a r="1">
    <v>204.35</v>
  </a>
  <a r="1">
    <v>185.12</v>
  </a>
  <a r="1">
    <v>240.35</v>
  </a>
  <a r="1">
    <v>168.63</v>
  </a>
  <a r="1">
    <v>214.56</v>
  </a>
  <a r="1">
    <v>193.1</v>
  </a>
  <a r="1">
    <v>172.33</v>
  </a>
  <a r="1">
    <v>276.68</v>
  </a>
  <a r="1">
    <v>270.04000000000002</v>
  </a>
  <a r="1">
    <v>213.17</v>
  </a>
  <a r="1">
    <v>212.64</v>
  </a>
  <a r="1">
    <v>169.04</v>
  </a>
  <a r="1">
    <v>190.42</v>
  </a>
  <a r="1">
    <v>271.97000000000003</v>
  </a>
  <a r="1">
    <v>231.79</v>
  </a>
  <a r="1">
    <v>244.07</v>
  </a>
  <a r="1">
    <v>213.5</v>
  </a>
  <a r="1">
    <v>183.7</v>
  </a>
  <a r="1">
    <v>177.39</v>
  </a>
  <a r="1">
    <v>201.34</v>
  </a>
  <a r="1">
    <v>154.09</v>
  </a>
  <a r="1">
    <v>181.46</v>
  </a>
  <a r="1">
    <v>264.89999999999998</v>
  </a>
  <a r="1">
    <v>169.07</v>
  </a>
  <a r="1">
    <v>212.87</v>
  </a>
  <a r="1">
    <v>194.47</v>
  </a>
  <a r="1">
    <v>181.84</v>
  </a>
  <a r="1">
    <v>186.11</v>
  </a>
  <a r="1">
    <v>193.84</v>
  </a>
  <a r="1">
    <v>263.75</v>
  </a>
  <a r="1">
    <v>196.06</v>
  </a>
  <a r="1">
    <v>157.33000000000001</v>
  </a>
  <a r="1">
    <v>176.95</v>
  </a>
  <a r="1">
    <v>204.44</v>
  </a>
  <a r="1">
    <v>274.43</v>
  </a>
  <a r="1">
    <v>188.75</v>
  </a>
  <a r="1">
    <v>200.74</v>
  </a>
  <a r="1">
    <v>204.28</v>
  </a>
  <a r="1">
    <v>283.89</v>
  </a>
  <a r="1">
    <v>188.53</v>
  </a>
  <a r="1">
    <v>248.37</v>
  </a>
  <a r="1">
    <v>215.95</v>
  </a>
  <a r="1">
    <v>172.63</v>
  </a>
  <a r="1">
    <v>203.04</v>
  </a>
  <a r="1">
    <v>188.63</v>
  </a>
  <a r="1">
    <v>185.38</v>
  </a>
  <a r="1">
    <v>194.18</v>
  </a>
  <a r="1">
    <v>183.33</v>
  </a>
  <a r="1">
    <v>276.47000000000003</v>
  </a>
  <a r="1">
    <v>172.13</v>
  </a>
  <a r="1">
    <v>189.4</v>
  </a>
  <a r="1">
    <v>199.34</v>
  </a>
  <a r="1">
    <v>257.94</v>
  </a>
  <a r="1">
    <v>194.35</v>
  </a>
  <a r="1">
    <v>195.98</v>
  </a>
  <a r="1">
    <v>264.48</v>
  </a>
  <a r="1">
    <v>187.55</v>
  </a>
  <a r="1">
    <v>184.55</v>
  </a>
  <a r="1">
    <v>215.59</v>
  </a>
  <a r="1">
    <v>204.14</v>
  </a>
  <a r="1">
    <v>199.4</v>
  </a>
  <a r="1">
    <v>180.15</v>
  </a>
  <a r="1">
    <v>217.58</v>
  </a>
  <a r="1">
    <v>199.71</v>
  </a>
  <a r="1">
    <v>186.32</v>
  </a>
  <a r="1">
    <v>271.44</v>
  </a>
  <a r="1">
    <v>188.12</v>
  </a>
  <a r="1">
    <v>221.92</v>
  </a>
  <a r="1">
    <v>245.04</v>
  </a>
  <a r="1">
    <v>252.72</v>
  </a>
  <a r="1">
    <v>258.14</v>
  </a>
  <a r="1">
    <v>217.9</v>
  </a>
  <a r="1">
    <v>191.03</v>
  </a>
  <a r="1">
    <v>278.83999999999997</v>
  </a>
  <a r="1">
    <v>275.14</v>
  </a>
  <a r="1">
    <v>159.52000000000001</v>
  </a>
  <a r="1">
    <v>189.44</v>
  </a>
  <a r="1">
    <v>261.66000000000003</v>
  </a>
  <a r="1">
    <v>201.67</v>
  </a>
  <a r="1">
    <v>239.32</v>
  </a>
  <a r="1">
    <v>186.05</v>
  </a>
  <a r="1">
    <v>183.01</v>
  </a>
  <a r="1">
    <v>204.46</v>
  </a>
  <a r="1">
    <v>202.61</v>
  </a>
  <a r="1">
    <v>187.63</v>
  </a>
  <a r="1">
    <v>196.27</v>
  </a>
  <a r="1">
    <v>179.93</v>
  </a>
  <a r="1">
    <v>228.18</v>
  </a>
  <a r="1">
    <v>180.43</v>
  </a>
  <a r="1">
    <v>245.16</v>
  </a>
  <a r="1">
    <v>205.17</v>
  </a>
  <a r="1">
    <v>288.38</v>
  </a>
  <a r="1">
    <v>169.77</v>
  </a>
  <a r="1">
    <v>186.18</v>
  </a>
  <a r="1">
    <v>269.48</v>
  </a>
  <a r="1">
    <v>182.57</v>
  </a>
  <a r="1">
    <v>190.79</v>
  </a>
  <a r="1">
    <v>217.35</v>
  </a>
  <a r="1">
    <v>275.48</v>
  </a>
  <a r="1">
    <v>186.2</v>
  </a>
  <a r="1">
    <v>254.72</v>
  </a>
  <a r="1">
    <v>214.55</v>
  </a>
  <a r="1">
    <v>190.72</v>
  </a>
  <a r="1">
    <v>212.3</v>
  </a>
  <a r="1">
    <v>193.63</v>
  </a>
  <a r="1">
    <v>236.7</v>
  </a>
  <a r="1">
    <v>194.13</v>
  </a>
  <a r="1">
    <v>178.6</v>
  </a>
  <a r="1">
    <v>193.95</v>
  </a>
  <a r="1">
    <v>198.44</v>
  </a>
  <a r="1">
    <v>237.68</v>
  </a>
  <a r="1">
    <v>191.67</v>
  </a>
  <a r="1">
    <v>159.96</v>
  </a>
  <a r="1">
    <v>186.25</v>
  </a>
  <a r="1">
    <v>216.53</v>
  </a>
  <a r="1">
    <v>247.83</v>
  </a>
  <a r="1">
    <v>247.45</v>
  </a>
  <a r="1">
    <v>240.05</v>
  </a>
  <a r="1">
    <v>263.58999999999997</v>
  </a>
  <a r="1">
    <v>169.85</v>
  </a>
  <a r="1">
    <v>178.1</v>
  </a>
  <a r="1">
    <v>175.53</v>
  </a>
  <a r="1">
    <v>236.57</v>
  </a>
  <a r="1">
    <v>214.51</v>
  </a>
  <a r="1">
    <v>200.91</v>
  </a>
  <a r="1">
    <v>272.45</v>
  </a>
  <a r="1">
    <v>172.62</v>
  </a>
  <a r="1">
    <v>240.24</v>
  </a>
  <a r="1">
    <v>190.56</v>
  </a>
  <a r="1">
    <v>239.21</v>
  </a>
  <a r="1">
    <v>185.87</v>
  </a>
  <a r="1">
    <v>258.39999999999998</v>
  </a>
  <a r="1">
    <v>187.86</v>
  </a>
  <a r="1">
    <v>186.29</v>
  </a>
  <a r="1">
    <v>198.91</v>
  </a>
  <a r="1">
    <v>170.28</v>
  </a>
  <a r="1">
    <v>171.87</v>
  </a>
  <a r="1">
    <v>184.25</v>
  </a>
  <a r="1">
    <v>187.11</v>
  </a>
  <a r="1">
    <v>176.23</v>
  </a>
  <a r="1">
    <v>162.43</v>
  </a>
  <a r="1">
    <v>185.79</v>
  </a>
  <a r="1">
    <v>216.73</v>
  </a>
  <a r="1">
    <v>270.73</v>
  </a>
  <a r="1">
    <v>193.17</v>
  </a>
  <a r="1">
    <v>205.87</v>
  </a>
  <a r="1">
    <v>268.47000000000003</v>
  </a>
  <a r="1">
    <v>262.47000000000003</v>
  </a>
  <a r="1">
    <v>269.95999999999998</v>
  </a>
  <a r="1">
    <v>160.04</v>
  </a>
  <a r="1">
    <v>255.69</v>
  </a>
  <a r="1">
    <v>186.34</v>
  </a>
  <a r="1">
    <v>193.09</v>
  </a>
  <a r="1">
    <v>198.28</v>
  </a>
  <a r="1">
    <v>170.13</v>
  </a>
  <a r="1">
    <v>198.03</v>
  </a>
  <a r="1">
    <v>216.8</v>
  </a>
  <a r="1">
    <v>194.88</v>
  </a>
  <a r="1">
    <v>248.05</v>
  </a>
  <a r="1">
    <v>189.66</v>
  </a>
  <a r="1">
    <v>187.54</v>
  </a>
  <a r="1">
    <v>187.17</v>
  </a>
  <a r="1">
    <v>175.41</v>
  </a>
  <a r="1">
    <v>206.5</v>
  </a>
  <a r="1">
    <v>198.65</v>
  </a>
  <a r="1">
    <v>204.04</v>
  </a>
  <a r="1">
    <v>197.99</v>
  </a>
  <a r="1">
    <v>198.62</v>
  </a>
  <a r="1">
    <v>193.34</v>
  </a>
  <a r="1">
    <v>186.81</v>
  </a>
  <a r="1">
    <v>167.31</v>
  </a>
  <a r="1">
    <v>272.98</v>
  </a>
  <a r="1">
    <v>156.96</v>
  </a>
  <a r="1">
    <v>276.69</v>
  </a>
  <a r="1">
    <v>238.38</v>
  </a>
  <a r="1">
    <v>197.47</v>
  </a>
  <a r="1">
    <v>263.64</v>
  </a>
  <a r="1">
    <v>277.10000000000002</v>
  </a>
  <a r="1">
    <v>132.78</v>
  </a>
  <a r="1">
    <v>180.65</v>
  </a>
  <a r="1">
    <v>93.44</v>
  </a>
  <a r="1">
    <v>169.88</v>
  </a>
  <a r="1">
    <v>169.15</v>
  </a>
  <a r="1">
    <v>155.07</v>
  </a>
  <a r="1">
    <v>161.04</v>
  </a>
  <a r="1">
    <v>143.6</v>
  </a>
  <a r="1">
    <v>157.84</v>
  </a>
  <a r="1">
    <v>182.38</v>
  </a>
  <a r="1">
    <v>163.47</v>
  </a>
  <a r="1">
    <v>171.45</v>
  </a>
  <a r="1">
    <v>156.6</v>
  </a>
  <a r="1">
    <v>183.04</v>
  </a>
  <a r="1">
    <v>159.13</v>
  </a>
  <a r="1">
    <v>177.13</v>
  </a>
  <a r="1">
    <v>151.41</v>
  </a>
  <a r="1">
    <v>159.72</v>
  </a>
  <a r="1">
    <v>143.81</v>
  </a>
  <a r="1">
    <v>144.15</v>
  </a>
  <a r="1">
    <v>185.85</v>
  </a>
  <a r="1">
    <v>145.25</v>
  </a>
  <a r="1">
    <v>169.28</v>
  </a>
  <a r="1">
    <v>129.94999999999999</v>
  </a>
  <a r="1">
    <v>123.62</v>
  </a>
  <a r="1">
    <v>151.82</v>
  </a>
  <a r="1">
    <v>139.69</v>
  </a>
  <a r="1">
    <v>150.83000000000001</v>
  </a>
  <a r="1">
    <v>156.03</v>
  </a>
  <a r="1">
    <v>153.53</v>
  </a>
  <a r="1">
    <v>147.16999999999999</v>
  </a>
  <a r="1">
    <v>177.58</v>
  </a>
  <a r="1">
    <v>181.31</v>
  </a>
  <a r="1">
    <v>162.36000000000001</v>
  </a>
  <a r="1">
    <v>158.66999999999999</v>
  </a>
  <a r="1">
    <v>179.76</v>
  </a>
  <a r="1">
    <v>181.21</v>
  </a>
  <a r="1">
    <v>141.25</v>
  </a>
  <a r="1">
    <v>142.66</v>
  </a>
  <a r="1">
    <v>176.63</v>
  </a>
  <a r="1">
    <v>182.79</v>
  </a>
  <a r="1">
    <v>181.27</v>
  </a>
  <a r="1">
    <v>163.78</v>
  </a>
  <a r="1">
    <v>173.63</v>
  </a>
  <a r="1">
    <v>175.82</v>
  </a>
  <a r="1">
    <v>151.21</v>
  </a>
  <a r="1">
    <v>154.25</v>
  </a>
  <a r="1">
    <v>175.44</v>
  </a>
  <a r="1">
    <v>120.94</v>
  </a>
  <a r="1">
    <v>185.98</v>
  </a>
  <a r="1">
    <v>142.84</v>
  </a>
  <a r="1">
    <v>153.38999999999999</v>
  </a>
  <a r="1">
    <v>152.54</v>
  </a>
  <a r="1">
    <v>186.77</v>
  </a>
  <a r="1">
    <v>115.52</v>
  </a>
  <a r="1">
    <v>175.63</v>
  </a>
  <a r="1">
    <v>91.9</v>
  </a>
  <a r="1">
    <v>149.83000000000001</v>
  </a>
  <a r="1">
    <v>154.37</v>
  </a>
  <a r="1">
    <v>154.78</v>
  </a>
  <a r="1">
    <v>168.31</v>
  </a>
  <a r="1">
    <v>184.93</v>
  </a>
  <a r="1">
    <v>155.16</v>
  </a>
  <a r="1">
    <v>149.24</v>
  </a>
  <a r="1">
    <v>103.94</v>
  </a>
  <a r="1">
    <v>146.05000000000001</v>
  </a>
  <a r="1">
    <v>178.66</v>
  </a>
  <a r="1">
    <v>174.87</v>
  </a>
  <a r="1">
    <v>182.05</v>
  </a>
  <a r="1">
    <v>155.01</v>
  </a>
  <a r="1">
    <v>174.81</v>
  </a>
  <a r="1">
    <v>165.29</v>
  </a>
  <a r="1">
    <v>150.66999999999999</v>
  </a>
  <a r="1">
    <v>183.06</v>
  </a>
  <a r="1">
    <v>170.89</v>
  </a>
  <a r="1">
    <v>183.59</v>
  </a>
  <a r="1">
    <v>125.48</v>
  </a>
  <a r="1">
    <v>176.7</v>
  </a>
  <a r="1">
    <v>178.78</v>
  </a>
  <a r="1">
    <v>173.22</v>
  </a>
  <a r="1">
    <v>151.72</v>
  </a>
  <a r="1">
    <v>148.88</v>
  </a>
  <a r="1">
    <v>147.68</v>
  </a>
  <a r="1">
    <v>152.35</v>
  </a>
  <a r="1">
    <v>173.05</v>
  </a>
  <a r="1">
    <v>168.33</v>
  </a>
  <a r="1">
    <v>150.61000000000001</v>
  </a>
  <a r="1">
    <v>173.59</v>
  </a>
  <a r="1">
    <v>149.79</v>
  </a>
  <a r="1">
    <v>170.11</v>
  </a>
  <a r="1">
    <v>165.92</v>
  </a>
  <a r="1">
    <v>143.53</v>
  </a>
  <a r="1">
    <v>179.82</v>
  </a>
  <a r="1">
    <v>131.25</v>
  </a>
  <a r="1">
    <v>153.38</v>
  </a>
  <a r="1">
    <v>114.09</v>
  </a>
  <a r="1">
    <v>148.69</v>
  </a>
  <a r="1">
    <v>173.64</v>
  </a>
  <a r="1">
    <v>182.72</v>
  </a>
  <a r="1">
    <v>154.16999999999999</v>
  </a>
  <a r="1">
    <v>159.11000000000001</v>
  </a>
  <a r="1">
    <v>153.09</v>
  </a>
  <a r="1">
    <v>149.87</v>
  </a>
  <a r="1">
    <v>144.36000000000001</v>
  </a>
  <a r="1">
    <v>170.42</v>
  </a>
  <a r="1">
    <v>153.97</v>
  </a>
  <a r="1">
    <v>183.83</v>
  </a>
  <a r="1">
    <v>137.91999999999999</v>
  </a>
  <a r="1">
    <v>181.94</v>
  </a>
  <a r="1">
    <v>165.03</v>
  </a>
  <a r="1">
    <v>150.6</v>
  </a>
  <a r="1">
    <v>170.08</v>
  </a>
  <a r="1">
    <v>186.42</v>
  </a>
  <a r="1">
    <v>137.97999999999999</v>
  </a>
  <a r="1">
    <v>122.84</v>
  </a>
  <a r="1">
    <v>159.02000000000001</v>
  </a>
  <a r="1">
    <v>185.97</v>
  </a>
  <a r="1">
    <v>180.08</v>
  </a>
  <a r="1">
    <v>152.53</v>
  </a>
  <a r="1">
    <v>118.82</v>
  </a>
  <a r="1">
    <v>148.96</v>
  </a>
  <a r="1">
    <v>122.6</v>
  </a>
  <a r="1">
    <v>156.91</v>
  </a>
  <a r="1">
    <v>137.13999999999999</v>
  </a>
  <a r="1">
    <v>143.37</v>
  </a>
  <a r="1">
    <v>182.37</v>
  </a>
  <a r="1">
    <v>157.22999999999999</v>
  </a>
  <a r="1">
    <v>146.09</v>
  </a>
  <a r="1">
    <v>175.4</v>
  </a>
  <a r="1">
    <v>97.89</v>
  </a>
  <a r="1">
    <v>186.01</v>
  </a>
  <a r="1">
    <v>138.84</v>
  </a>
  <a r="1">
    <v>177.45</v>
  </a>
  <a r="1">
    <v>123.43</v>
  </a>
  <a r="1">
    <v>175.88</v>
  </a>
  <a r="1">
    <v>121.52</v>
  </a>
  <a r="1">
    <v>146.84</v>
  </a>
  <a r="1">
    <v>180.32</v>
  </a>
  <a r="1">
    <v>122.02</v>
  </a>
  <a r="1">
    <v>159.26</v>
  </a>
  <a r="1">
    <v>109.91</v>
  </a>
  <a r="1">
    <v>185.95</v>
  </a>
  <a r="1">
    <v>111.73</v>
  </a>
  <a r="1">
    <v>182.18</v>
  </a>
  <a r="1">
    <v>184.08</v>
  </a>
  <a r="1">
    <v>154.1</v>
  </a>
  <a r="1">
    <v>135.91</v>
  </a>
  <a r="1">
    <v>183.44</v>
  </a>
  <a r="1">
    <v>120.91</v>
  </a>
  <a r="1">
    <v>176.02</v>
  </a>
  <a r="1">
    <v>177.79</v>
  </a>
  <a r="1">
    <v>144.11000000000001</v>
  </a>
  <a r="1">
    <v>151.75</v>
  </a>
  <a r="1">
    <v>138.08000000000001</v>
  </a>
  <a r="1">
    <v>157.1</v>
  </a>
  <a r="1">
    <v>161.88</v>
  </a>
  <a r="1">
    <v>152.07</v>
  </a>
  <a r="1">
    <v>178.15</v>
  </a>
  <a r="1">
    <v>152.43</v>
  </a>
  <a r="1">
    <v>150.71</v>
  </a>
  <a r="1">
    <v>152.12</v>
  </a>
  <a r="1">
    <v>150.96</v>
  </a>
  <a r="1">
    <v>185.59</v>
  </a>
  <a r="1">
    <v>130.75</v>
  </a>
  <a r="1">
    <v>176.39</v>
  </a>
  <a r="1">
    <v>184.32</v>
  </a>
  <a r="1">
    <v>124.79</v>
  </a>
  <a r="1">
    <v>159.06</v>
  </a>
  <a r="1">
    <v>135.77000000000001</v>
  </a>
  <a r="1">
    <v>174.35</v>
  </a>
  <a r="1">
    <v>122.88</v>
  </a>
  <a r="1">
    <v>125.78</v>
  </a>
  <a r="1">
    <v>142.87</v>
  </a>
  <a r="1">
    <v>108.66</v>
  </a>
  <a r="1">
    <v>168.54</v>
  </a>
  <a r="1">
    <v>139.91</v>
  </a>
  <a r="1">
    <v>144.34</v>
  </a>
  <a r="1">
    <v>145.38</v>
  </a>
  <a r="1">
    <v>184.17</v>
  </a>
  <a r="1">
    <v>180.86</v>
  </a>
  <a r="1">
    <v>152.30000000000001</v>
  </a>
  <a r="1">
    <v>148.26</v>
  </a>
  <a r="1">
    <v>166.04</v>
  </a>
  <a r="1">
    <v>173.77</v>
  </a>
  <a r="1">
    <v>101.99</v>
  </a>
  <a r="1">
    <v>122.73</v>
  </a>
  <a r="1">
    <v>175.21</v>
  </a>
  <a r="1">
    <v>136.5</v>
  </a>
  <a r="1">
    <v>96.5</v>
  </a>
  <a r="1">
    <v>181.56</v>
  </a>
  <a r="1">
    <v>184.88</v>
  </a>
  <a r="1">
    <v>158.47</v>
  </a>
  <a r="1">
    <v>178.22</v>
  </a>
  <a r="1">
    <v>180.51</v>
  </a>
  <a r="1">
    <v>174.25</v>
  </a>
  <a r="1">
    <v>141.87</v>
  </a>
  <a r="1">
    <v>143.51</v>
  </a>
  <a r="1">
    <v>183.82</v>
  </a>
  <a r="1">
    <v>159.04</v>
  </a>
  <a r="1">
    <v>130.53</v>
  </a>
  <a r="1">
    <v>184.98</v>
  </a>
  <a r="1">
    <v>166.45</v>
  </a>
  <a r="1">
    <v>105.03</v>
  </a>
  <a r="1">
    <v>120.81</v>
  </a>
  <a r="1">
    <v>116.24</v>
  </a>
  <a r="1">
    <v>103.27</v>
  </a>
  <a r="1">
    <v>114.06</v>
  </a>
  <a r="1">
    <v>98.73</v>
  </a>
  <a r="1">
    <v>114.42</v>
  </a>
  <a r="1">
    <v>97.7</v>
  </a>
  <a r="1">
    <v>112.84</v>
  </a>
  <a r="1">
    <v>112.25</v>
  </a>
  <a r="1">
    <v>111</v>
  </a>
  <a r="1">
    <v>108.97</v>
  </a>
  <a r="1">
    <v>108.38</v>
  </a>
  <a r="1">
    <v>104.54</v>
  </a>
  <a r="1">
    <v>120.93</v>
  </a>
  <a r="1">
    <v>86.53</v>
  </a>
  <a r="1">
    <v>156.66999999999999</v>
  </a>
  <a r="1">
    <v>183.67</v>
  </a>
  <a r="1">
    <v>97.31</v>
  </a>
  <a r="1">
    <v>154.61000000000001</v>
  </a>
  <a r="1">
    <v>146.02000000000001</v>
  </a>
  <a r="1">
    <v>152.29</v>
  </a>
  <a r="1">
    <v>186.66</v>
  </a>
  <a r="1">
    <v>146.88999999999999</v>
  </a>
  <a r="1">
    <v>121.31</v>
  </a>
  <a r="1">
    <v>104.55</v>
  </a>
  <a r="1">
    <v>124.88</v>
  </a>
  <a r="1">
    <v>173.73</v>
  </a>
  <a r="1">
    <v>141.97</v>
  </a>
  <a r="1">
    <v>148.9</v>
  </a>
  <a r="1">
    <v>113.97</v>
  </a>
  <a r="1">
    <v>177.07</v>
  </a>
  <a r="1">
    <v>89.73</v>
  </a>
  <a r="1">
    <v>126.15</v>
  </a>
  <a r="1">
    <v>177.86</v>
  </a>
  <a r="1">
    <v>124.39</v>
  </a>
  <a r="1">
    <v>153.13</v>
  </a>
  <a r="1">
    <v>98.7</v>
  </a>
  <a r="1">
    <v>114.25</v>
  </a>
  <a r="1">
    <v>179.13</v>
  </a>
  <a r="1">
    <v>155.12</v>
  </a>
  <a r="1">
    <v>159.5</v>
  </a>
  <a r="1">
    <v>174.13</v>
  </a>
  <a r="1">
    <v>177.3</v>
  </a>
  <a r="1">
    <v>178.9</v>
  </a>
  <a r="1">
    <v>92.06</v>
  </a>
  <a r="1">
    <v>89.94</v>
  </a>
  <a r="1">
    <v>120.35</v>
  </a>
  <a r="1">
    <v>113.88</v>
  </a>
  <a r="1">
    <v>173.99</v>
  </a>
  <a r="1">
    <v>101.01</v>
  </a>
  <a r="1">
    <v>175.43</v>
  </a>
  <a r="1">
    <v>170.92</v>
  </a>
  <a r="1">
    <v>97.58</v>
  </a>
  <a r="1">
    <v>143.74</v>
  </a>
  <a r="1">
    <v>89.17</v>
  </a>
  <a r="1">
    <v>184.52</v>
  </a>
  <a r="1">
    <v>177.97</v>
  </a>
  <a r="1">
    <v>142.26</v>
  </a>
  <a r="1">
    <v>141.91</v>
  </a>
  <a r="1">
    <v>184.76</v>
  </a>
  <a r="1">
    <v>95.94</v>
  </a>
  <a r="1">
    <v>181.54</v>
  </a>
  <a r="1">
    <v>116.78</v>
  </a>
  <a r="1">
    <v>139.66999999999999</v>
  </a>
  <a r="1">
    <v>130.33000000000001</v>
  </a>
  <a r="1">
    <v>107.73</v>
  </a>
  <a r="1">
    <v>102.4</v>
  </a>
  <a r="1">
    <v>92.45</v>
  </a>
  <a r="1">
    <v>174.56</v>
  </a>
  <a r="1">
    <v>151.22</v>
  </a>
  <a r="1">
    <v>93.48</v>
  </a>
  <a r="1">
    <v>105.11</v>
  </a>
  <a r="1">
    <v>178.32</v>
  </a>
  <a r="1">
    <v>90.75</v>
  </a>
  <a r="1">
    <v>180.67</v>
  </a>
  <a r="1">
    <v>167.91</v>
  </a>
  <a r="1">
    <v>138.44</v>
  </a>
  <a r="1">
    <v>169.47</v>
  </a>
  <a r="1">
    <v>185.03</v>
  </a>
  <a r="1">
    <v>154.72</v>
  </a>
  <a r="1">
    <v>175.46</v>
  </a>
  <a r="1">
    <v>147.65</v>
  </a>
  <a r="1">
    <v>160.44999999999999</v>
  </a>
  <a r="1">
    <v>90.5</v>
  </a>
  <a r="1">
    <v>139.11000000000001</v>
  </a>
  <a r="1">
    <v>120.73</v>
  </a>
  <a r="1">
    <v>177.4</v>
  </a>
  <a r="1">
    <v>135.87</v>
  </a>
  <a r="1">
    <v>151.5</v>
  </a>
  <a r="1">
    <v>106.58</v>
  </a>
  <a r="1">
    <v>136.19999999999999</v>
  </a>
  <a r="1">
    <v>113.48</v>
  </a>
  <a r="1">
    <v>91.61</v>
  </a>
  <a r="1">
    <v>92.57</v>
  </a>
  <a r="1">
    <v>171.42</v>
  </a>
  <a r="1">
    <v>139.61000000000001</v>
  </a>
  <a r="1">
    <v>121.97</v>
  </a>
  <a r="1">
    <v>122.92</v>
  </a>
  <a r="1">
    <v>161.24</v>
  </a>
  <a r="1">
    <v>124.66</v>
  </a>
  <a r="1">
    <v>172.52</v>
  </a>
  <a r="1">
    <v>175.6</v>
  </a>
  <a r="1">
    <v>146.12</v>
  </a>
  <a r="1">
    <v>145.66999999999999</v>
  </a>
  <a r="1">
    <v>163.07</v>
  </a>
  <a r="1">
    <v>111.57</v>
  </a>
  <a r="1">
    <v>174.82</v>
  </a>
  <a r="1">
    <v>110.69</v>
  </a>
  <a r="1">
    <v>90.61</v>
  </a>
  <a r="1">
    <v>163.27000000000001</v>
  </a>
  <a r="1">
    <v>90.59</v>
  </a>
  <a r="1">
    <v>105.55</v>
  </a>
  <a r="1">
    <v>101.38</v>
  </a>
  <a r="1">
    <v>142.78</v>
  </a>
  <a r="1">
    <v>178.98</v>
  </a>
  <a r="1">
    <v>154.66</v>
  </a>
  <a r="1">
    <v>120.47</v>
  </a>
  <a r="1">
    <v>172.02</v>
  </a>
  <a r="1">
    <v>473.53</v>
  </a>
  <a r="1">
    <v>636.14</v>
  </a>
  <a r="1">
    <v>403.3</v>
  </a>
  <a r="1">
    <v>484.86</v>
  </a>
  <a r="1">
    <v>405.75</v>
  </a>
  <a r="1">
    <v>719.54</v>
  </a>
  <a r="1">
    <v>684.55</v>
  </a>
  <a r="1">
    <v>574.76</v>
  </a>
  <a r="1">
    <v>803.2</v>
  </a>
  <a r="1">
    <v>667.89</v>
  </a>
  <a r="1">
    <v>689.32</v>
  </a>
  <a r="1">
    <v>661.66</v>
  </a>
  <a r="1">
    <v>776.92</v>
  </a>
  <a r="1">
    <v>400.3</v>
  </a>
  <a r="1">
    <v>464.59</v>
  </a>
  <a r="1">
    <v>712.35</v>
  </a>
  <a r="1">
    <v>807.63</v>
  </a>
  <a r="1">
    <v>623.16999999999996</v>
  </a>
  <a r="1">
    <v>709.8</v>
  </a>
  <a r="1">
    <v>678.3</v>
  </a>
  <a r="1">
    <v>435.44</v>
  </a>
  <a r="1">
    <v>772.86</v>
  </a>
  <a r="1">
    <v>788.24</v>
  </a>
  <a r="1">
    <v>587.70000000000005</v>
  </a>
  <a r="1">
    <v>675.53</v>
  </a>
  <a r="1">
    <v>457.59</v>
  </a>
  <a r="1">
    <v>576.22</v>
  </a>
  <a r="1">
    <v>445.12</v>
  </a>
  <a r="1">
    <v>407.07</v>
  </a>
  <a r="1">
    <v>643.94000000000005</v>
  </a>
  <a r="1">
    <v>562.75</v>
  </a>
  <a r="1">
    <v>732.14</v>
  </a>
  <a r="1">
    <v>416.82</v>
  </a>
  <a r="1">
    <v>700.57</v>
  </a>
  <a r="1">
    <v>400.46</v>
  </a>
  <a r="1">
    <v>649.82000000000005</v>
  </a>
  <a r="1">
    <v>690.33</v>
  </a>
  <a r="1">
    <v>468.52</v>
  </a>
  <a r="1">
    <v>398.34</v>
  </a>
  <a r="1">
    <v>475.24</v>
  </a>
  <a r="1">
    <v>479.37</v>
  </a>
  <a r="1">
    <v>407.21</v>
  </a>
  <a r="1">
    <v>800.15</v>
  </a>
  <a r="1">
    <v>821.83</v>
  </a>
  <a r="1">
    <v>730.85</v>
  </a>
  <a r="1">
    <v>500.08</v>
  </a>
  <a r="1">
    <v>573.57000000000005</v>
  </a>
  <a r="1">
    <v>443.76</v>
  </a>
  <a r="1">
    <v>664.37</v>
  </a>
  <a r="1">
    <v>686.31</v>
  </a>
  <a r="1">
    <v>480.98</v>
  </a>
  <a r="1">
    <v>760.89</v>
  </a>
  <a r="1">
    <v>443.77</v>
  </a>
  <a r="1">
    <v>679</v>
  </a>
  <a r="1">
    <v>726.67</v>
  </a>
  <a r="1">
    <v>723.57</v>
  </a>
  <a r="1">
    <v>749.91</v>
  </a>
  <a r="1">
    <v>764.45</v>
  </a>
  <a r="1">
    <v>803.56</v>
  </a>
  <a r="1">
    <v>634.84</v>
  </a>
  <a r="1">
    <v>465.24</v>
  </a>
  <a r="1">
    <v>708.01</v>
  </a>
  <a r="1">
    <v>451.24</v>
  </a>
  <a r="1">
    <v>433.54</v>
  </a>
  <a r="1">
    <v>688.25</v>
  </a>
  <a r="1">
    <v>653.22</v>
  </a>
  <a r="1">
    <v>456.34</v>
  </a>
  <a r="1">
    <v>404.42</v>
  </a>
  <a r="1">
    <v>437.16</v>
  </a>
  <a r="1">
    <v>452.34</v>
  </a>
  <a r="1">
    <v>418.47</v>
  </a>
  <a r="1">
    <v>573.94000000000005</v>
  </a>
  <a r="1">
    <v>427.76</v>
  </a>
  <a r="1">
    <v>681.39</v>
  </a>
  <a r="1">
    <v>444.09</v>
  </a>
  <a r="1">
    <v>431.25</v>
  </a>
  <a r="1">
    <v>476.12</v>
  </a>
  <a r="1">
    <v>467.72</v>
  </a>
  <a r="1">
    <v>680.39</v>
  </a>
  <a r="1">
    <v>480.49</v>
  </a>
  <a r="1">
    <v>803.3</v>
  </a>
  <a r="1">
    <v>486.17</v>
  </a>
  <a r="1">
    <v>664.99</v>
  </a>
  <a r="1">
    <v>401.29</v>
  </a>
  <a r="1">
    <v>636.88</v>
  </a>
  <a r="1">
    <v>676.25</v>
  </a>
  <a r="1">
    <v>700.97</v>
  </a>
  <a r="1">
    <v>420.1</v>
  </a>
  <a r="1">
    <v>702.92</v>
  </a>
  <a r="1">
    <v>453.57</v>
  </a>
  <a r="1">
    <v>474.9</v>
  </a>
  <a r="1">
    <v>431.66</v>
  </a>
  <a r="1">
    <v>401.35</v>
  </a>
  <a r="1">
    <v>409.56</v>
  </a>
  <a r="1">
    <v>399.38</v>
  </a>
  <a r="1">
    <v>787.26</v>
  </a>
  <a r="1">
    <v>634.61</v>
  </a>
  <a r="1">
    <v>637.15</v>
  </a>
  <a r="1">
    <v>793.81</v>
  </a>
  <a r="1">
    <v>434.26</v>
  </a>
  <a r="1">
    <v>479.9</v>
  </a>
  <a r="1">
    <v>451.19</v>
  </a>
  <a r="1">
    <v>448.08</v>
  </a>
  <a r="1">
    <v>450.18</v>
  </a>
  <a r="1">
    <v>803.58</v>
  </a>
  <a r="1">
    <v>762.1</v>
  </a>
  <a r="1">
    <v>477.98</v>
  </a>
  <a r="1">
    <v>805.53</v>
  </a>
  <a r="1">
    <v>738.74</v>
  </a>
  <a r="1">
    <v>726.99</v>
  </a>
  <a r="1">
    <v>610.16999999999996</v>
  </a>
  <a r="1">
    <v>583.1</v>
  </a>
  <a r="1">
    <v>715.7</v>
  </a>
  <a r="1">
    <v>453.5</v>
  </a>
  <a r="1">
    <v>455.31</v>
  </a>
  <a r="1">
    <v>789.21</v>
  </a>
  <a r="1">
    <v>452.75</v>
  </a>
  <a r="1">
    <v>738.22</v>
  </a>
  <a r="1">
    <v>643.80999999999995</v>
  </a>
  <a r="1">
    <v>484.16</v>
  </a>
  <a r="1">
    <v>662.99</v>
  </a>
  <a r="1">
    <v>759.09</v>
  </a>
  <a r="1">
    <v>651.94000000000005</v>
  </a>
  <a r="1">
    <v>425.15</v>
  </a>
  <a r="1">
    <v>541.71</v>
  </a>
  <a r="1">
    <v>817.28</v>
  </a>
  <a r="1">
    <v>394.82</v>
  </a>
  <a r="1">
    <v>382.74</v>
  </a>
  <a r="1">
    <v>566.94000000000005</v>
  </a>
  <a r="1">
    <v>769.94</v>
  </a>
  <a r="1">
    <v>438.77</v>
  </a>
  <a r="1">
    <v>759.1</v>
  </a>
  <a r="1">
    <v>448.58</v>
  </a>
  <a r="1">
    <v>483.66</v>
  </a>
  <a r="1">
    <v>609.59</v>
  </a>
  <a r="1">
    <v>462.18</v>
  </a>
  <a r="1">
    <v>453.01</v>
  </a>
  <a r="1">
    <v>409.13</v>
  </a>
  <a r="1">
    <v>610.35</v>
  </a>
  <a r="1">
    <v>471.06</v>
  </a>
  <a r="1">
    <v>780.62</v>
  </a>
  <a r="1">
    <v>688.48</v>
  </a>
  <a r="1">
    <v>789.23</v>
  </a>
  <a r="1">
    <v>764.17</v>
  </a>
  <a r="1">
    <v>814.85</v>
  </a>
  <a r="1">
    <v>458.82</v>
  </a>
  <a r="1">
    <v>779.49</v>
  </a>
  <a r="1">
    <v>668.49</v>
  </a>
  <a r="1">
    <v>483.49</v>
  </a>
  <a r="1">
    <v>611.30999999999995</v>
  </a>
  <a r="1">
    <v>767</v>
  </a>
  <a r="1">
    <v>636.72</v>
  </a>
  <a r="1">
    <v>728.2</v>
  </a>
  <a r="1">
    <v>547.74</v>
  </a>
  <a r="1">
    <v>471.52</v>
  </a>
  <a r="1">
    <v>600.37</v>
  </a>
  <a r="1">
    <v>750.16</v>
  </a>
  <a r="1">
    <v>765.17</v>
  </a>
  <a r="1">
    <v>717.16</v>
  </a>
  <a r="1">
    <v>398</v>
  </a>
  <a r="1">
    <v>447.78</v>
  </a>
  <a r="1">
    <v>695.24</v>
  </a>
  <a r="1">
    <v>476.5</v>
  </a>
  <a r="1">
    <v>675.32</v>
  </a>
  <a r="1">
    <v>638.54</v>
  </a>
  <a r="1">
    <v>611.96</v>
  </a>
  <a r="1">
    <v>753.67</v>
  </a>
  <a r="1">
    <v>393.98</v>
  </a>
  <a r="1">
    <v>768.89</v>
  </a>
  <a r="1">
    <v>404.15</v>
  </a>
  <a r="1">
    <v>672.17</v>
  </a>
  <a r="1">
    <v>448.99</v>
  </a>
  <a r="1">
    <v>448.83</v>
  </a>
  <a r="1">
    <v>458.89</v>
  </a>
  <a r="1">
    <v>472.49</v>
  </a>
  <a r="1">
    <v>627.76</v>
  </a>
  <a r="1">
    <v>463.18</v>
  </a>
  <a r="1">
    <v>457.67</v>
  </a>
  <a r="1">
    <v>771.09</v>
  </a>
  <a r="1">
    <v>612.79999999999995</v>
  </a>
  <a r="1">
    <v>398.05</v>
  </a>
  <a r="1">
    <v>406.89</v>
  </a>
  <a r="1">
    <v>450.95</v>
  </a>
  <a r="1">
    <v>448.14</v>
  </a>
  <a r="1">
    <v>454.77</v>
  </a>
  <a r="1">
    <v>576.16</v>
  </a>
  <a r="1">
    <v>782.16</v>
  </a>
  <a r="1">
    <v>725.08</v>
  </a>
  <a r="1">
    <v>621.19000000000005</v>
  </a>
  <a r="1">
    <v>444.42</v>
  </a>
  <a r="1">
    <v>742.22</v>
  </a>
  <a r="1">
    <v>451.8</v>
  </a>
  <a r="1">
    <v>418.35</v>
  </a>
  <a r="1">
    <v>759.55</v>
  </a>
  <a r="1">
    <v>659.72</v>
  </a>
  <a r="1">
    <v>447.35</v>
  </a>
  <a r="1">
    <v>794.51</v>
  </a>
  <a r="1">
    <v>471.09</v>
  </a>
  <a r="1">
    <v>467.62</v>
  </a>
  <a r="1">
    <v>414.68</v>
  </a>
  <a r="1">
    <v>423.39</v>
  </a>
  <a r="1">
    <v>429.8</v>
  </a>
  <a r="1">
    <v>399.5</v>
  </a>
  <a r="1">
    <v>466.99</v>
  </a>
  <a r="1">
    <v>800.61</v>
  </a>
  <a r="1">
    <v>439.4</v>
  </a>
  <a r="1">
    <v>557.59</v>
  </a>
  <a r="1">
    <v>589.91999999999996</v>
  </a>
  <a r="1">
    <v>746.59</v>
  </a>
  <a r="1">
    <v>736.21</v>
  </a>
  <a r="1">
    <v>531.75</v>
  </a>
  <a r="1">
    <v>479.5</v>
  </a>
  <a r="1">
    <v>766.04</v>
  </a>
  <a r="1">
    <v>383.18</v>
  </a>
  <a r="1">
    <v>504.75</v>
  </a>
  <a r="1">
    <v>674.62</v>
  </a>
  <a r="1">
    <v>408.33</v>
  </a>
  <a r="1">
    <v>796.83</v>
  </a>
  <a r="1">
    <v>460.46</v>
  </a>
  <a r="1">
    <v>409.1</v>
  </a>
  <a r="1">
    <v>443.38</v>
  </a>
  <a r="1">
    <v>543.97</v>
  </a>
  <a r="1">
    <v>473.19</v>
  </a>
  <a r="1">
    <v>392.12</v>
  </a>
  <a r="1">
    <v>666.96</v>
  </a>
  <a r="1">
    <v>798.1</v>
  </a>
  <a r="1">
    <v>742.52</v>
  </a>
  <a r="1">
    <v>704.25</v>
  </a>
  <a r="1">
    <v>617.85</v>
  </a>
  <a r="1">
    <v>726.45</v>
  </a>
  <a r="1">
    <v>674.47</v>
  </a>
  <a r="1">
    <v>435.87</v>
  </a>
  <a r="1">
    <v>680.27</v>
  </a>
  <a r="1">
    <v>771.38</v>
  </a>
  <a r="1">
    <v>413.08</v>
  </a>
  <a r="1">
    <v>704.08</v>
  </a>
  <a r="1">
    <v>394.47</v>
  </a>
  <a r="1">
    <v>456.89</v>
  </a>
  <a r="1">
    <v>453.61</v>
  </a>
  <a r="1">
    <v>753.9</v>
  </a>
  <a r="1">
    <v>537.38</v>
  </a>
  <a r="1">
    <v>497.09</v>
  </a>
  <a r="1">
    <v>796.03</v>
  </a>
  <a r="1">
    <v>410.42</v>
  </a>
  <a r="1">
    <v>445.94</v>
  </a>
  <a r="1">
    <v>799.03</v>
  </a>
  <a r="1">
    <v>426.54</v>
  </a>
  <a r="1">
    <v>768.53</v>
  </a>
  <a r="1">
    <v>488.51</v>
  </a>
  <a r="1">
    <v>409.46</v>
  </a>
  <a r="1">
    <v>787.07</v>
  </a>
  <a r="1">
    <v>730.05</v>
  </a>
  <a r="1">
    <v>631.08000000000004</v>
  </a>
  <a r="1">
    <v>540.46</v>
  </a>
  <a r="1">
    <v>398.88</v>
  </a>
  <a r="1">
    <v>673.86</v>
  </a>
  <a r="1">
    <v>390.44</v>
  </a>
  <a r="1">
    <v>680.57</v>
  </a>
  <a r="1">
    <v>485.32</v>
  </a>
  <a r="1">
    <v>621.30999999999995</v>
  </a>
  <a r="1">
    <v>629.11</v>
  </a>
  <a r="1">
    <v>494.86</v>
  </a>
  <a r="1">
    <v>445.56</v>
  </a>
  <a r="1">
    <v>444.57</v>
  </a>
  <a r="1">
    <v>560.25</v>
  </a>
  <a r="1">
    <v>625.73</v>
  </a>
  <a r="1">
    <v>441.72</v>
  </a>
  <a r="1">
    <v>675.7</v>
  </a>
  <a r="1">
    <v>474.81</v>
  </a>
  <a r="1">
    <v>397.89</v>
  </a>
  <a r="1">
    <v>794.81</v>
  </a>
  <a r="1">
    <v>421.24</v>
  </a>
  <a r="1">
    <v>457.11</v>
  </a>
  <a r="1">
    <v>807.81</v>
  </a>
  <a r="1">
    <v>460.84</v>
  </a>
  <a r="1">
    <v>791.37</v>
  </a>
  <a r="1">
    <v>443.19</v>
  </a>
  <a r="1">
    <v>634.45000000000005</v>
  </a>
  <a r="1">
    <v>662.72</v>
  </a>
  <a r="1">
    <v>446.91</v>
  </a>
  <a r="1">
    <v>434.13</v>
  </a>
  <a r="1">
    <v>664.77</v>
  </a>
  <a r="1">
    <v>463.23</v>
  </a>
  <a r="1">
    <v>571.71</v>
  </a>
  <a r="1">
    <v>804.7</v>
  </a>
  <a r="1">
    <v>443.65</v>
  </a>
  <a r="1">
    <v>624.9</v>
  </a>
  <a r="1">
    <v>483.7</v>
  </a>
  <a r="1">
    <v>452.33</v>
  </a>
  <a r="1">
    <v>753.82</v>
  </a>
  <a r="1">
    <v>468.88</v>
  </a>
  <a r="1">
    <v>789.91</v>
  </a>
  <a r="1">
    <v>445.01</v>
  </a>
  <a r="1">
    <v>749.82</v>
  </a>
  <a r="1">
    <v>809.45</v>
  </a>
  <a r="1">
    <v>752.77</v>
  </a>
  <a r="1">
    <v>380.61</v>
  </a>
  <a r="1">
    <v>744.96</v>
  </a>
  <a r="1">
    <v>729.55</v>
  </a>
  <a r="1">
    <v>581.80999999999995</v>
  </a>
  <a r="1">
    <v>469.63</v>
  </a>
  <a r="1">
    <v>496.52</v>
  </a>
  <a r="1">
    <v>456.47</v>
  </a>
  <a r="1">
    <v>720.39</v>
  </a>
  <a r="1">
    <v>470.37</v>
  </a>
  <a r="1">
    <v>603.47</v>
  </a>
  <a r="1">
    <v>651.51</v>
  </a>
  <a r="1">
    <v>442.94</v>
  </a>
  <a r="1">
    <v>467.88</v>
  </a>
  <a r="1">
    <v>457.29</v>
  </a>
  <a r="1">
    <v>510.26</v>
  </a>
  <a r="1">
    <v>449.39</v>
  </a>
  <a r="1">
    <v>404.85</v>
  </a>
  <a r="1">
    <v>767.94</v>
  </a>
  <a r="1">
    <v>740.26</v>
  </a>
  <a r="1">
    <v>541.45000000000005</v>
  </a>
  <a r="1">
    <v>698.97</v>
  </a>
  <a r="1">
    <v>468.17</v>
  </a>
  <a r="1">
    <v>409.91</v>
  </a>
  <a r="1">
    <v>701.91</v>
  </a>
  <a r="1">
    <v>440.03</v>
  </a>
  <a r="1">
    <v>452.12</v>
  </a>
  <a r="1">
    <v>478.28</v>
  </a>
  <a r="1">
    <v>408.99</v>
  </a>
  <a r="1">
    <v>580.45000000000005</v>
  </a>
  <a r="1">
    <v>679.38</v>
  </a>
  <a r="1">
    <v>713.25</v>
  </a>
  <a r="1">
    <v>438.75</v>
  </a>
  <a r="1">
    <v>757.31</v>
  </a>
  <a r="1">
    <v>630.37</v>
  </a>
  <a r="1">
    <v>767.79</v>
  </a>
  <a r="1">
    <v>425.84</v>
  </a>
  <a r="1">
    <v>482.67</v>
  </a>
  <a r="1">
    <v>495.04</v>
  </a>
  <a r="1">
    <v>478.65</v>
  </a>
  <a r="1">
    <v>668.98</v>
  </a>
  <a r="1">
    <v>441.56</v>
  </a>
  <a r="1">
    <v>461.19</v>
  </a>
  <a r="1">
    <v>660.93</v>
  </a>
  <a r="1">
    <v>576.92999999999995</v>
  </a>
  <a r="1">
    <v>642.88</v>
  </a>
  <a r="1">
    <v>407.48</v>
  </a>
  <a r="1">
    <v>650.38</v>
  </a>
  <a r="1">
    <v>754.18</v>
  </a>
  <a r="1">
    <v>405.69</v>
  </a>
  <a r="1">
    <v>685.59</v>
  </a>
  <a r="1">
    <v>390.36</v>
  </a>
  <a r="1">
    <v>444.53</v>
  </a>
  <a r="1">
    <v>650.75</v>
  </a>
  <a r="1">
    <v>493.24</v>
  </a>
  <a r="1">
    <v>411.36</v>
  </a>
  <a r="1">
    <v>452.27</v>
  </a>
  <a r="1">
    <v>791.5</v>
  </a>
  <a r="1">
    <v>472.99</v>
  </a>
  <a r="1">
    <v>385.51</v>
  </a>
  <a r="1">
    <v>471.78</v>
  </a>
  <a r="1">
    <v>450.88</v>
  </a>
  <a r="1">
    <v>470.85</v>
  </a>
  <a r="1">
    <v>466.86</v>
  </a>
  <a r="1">
    <v>466.45</v>
  </a>
  <a r="1">
    <v>454.31</v>
  </a>
  <a r="1">
    <v>444.29</v>
  </a>
  <a r="1">
    <v>474.64</v>
  </a>
  <a r="1">
    <v>453.2</v>
  </a>
  <a r="1">
    <v>470.38</v>
  </a>
  <a r="1">
    <v>472.83</v>
  </a>
  <a r="1">
    <v>455.26</v>
  </a>
  <a r="1">
    <v>470.12</v>
  </a>
  <a r="1">
    <v>447.57</v>
  </a>
  <a r="1">
    <v>466.18</v>
  </a>
  <a r="1">
    <v>417.73</v>
  </a>
  <a r="1">
    <v>470.51</v>
  </a>
  <a r="1">
    <v>413.47</v>
  </a>
  <a r="1">
    <v>458.33</v>
  </a>
  <a r="1">
    <v>427.95</v>
  </a>
  <a r="1">
    <v>368.33</v>
  </a>
  <a r="1">
    <v>592.28</v>
  </a>
  <a r="1">
    <v>767.49</v>
  </a>
  <a r="1">
    <v>781.28</v>
  </a>
  <a r="1">
    <v>637.01</v>
  </a>
  <a r="1">
    <v>464.73</v>
  </a>
  <a r="1">
    <v>389.31</v>
  </a>
  <a r="1">
    <v>450.82</v>
  </a>
  <a r="1">
    <v>445.65</v>
  </a>
  <a r="1">
    <v>624.16</v>
  </a>
  <a r="1">
    <v>399.34</v>
  </a>
  <a r="1">
    <v>437.12</v>
  </a>
  <a r="1">
    <v>571.54999999999995</v>
  </a>
  <a r="1">
    <v>781.99</v>
  </a>
  <a r="1">
    <v>445.33</v>
  </a>
  <a r="1">
    <v>449.08</v>
  </a>
  <a r="1">
    <v>362.5</v>
  </a>
  <a r="1">
    <v>402.63</v>
  </a>
  <a r="1">
    <v>446.31</v>
  </a>
  <a r="1">
    <v>391.09</v>
  </a>
  <a r="1">
    <v>456.04</v>
  </a>
  <a r="1">
    <v>398.09</v>
  </a>
  <a r="1">
    <v>488.94</v>
  </a>
  <a r="1">
    <v>767.87</v>
  </a>
  <a r="1">
    <v>772.45</v>
  </a>
  <a r="1">
    <v>470.36</v>
  </a>
  <a r="1">
    <v>556.22</v>
  </a>
  <a r="1">
    <v>463.88</v>
  </a>
  <a r="1">
    <v>585.04</v>
  </a>
  <a r="1">
    <v>458.98</v>
  </a>
  <a r="1">
    <v>735.77</v>
  </a>
  <a r="1">
    <v>691.28</v>
  </a>
  <a r="1">
    <v>781.41</v>
  </a>
  <a r="1">
    <v>466.66</v>
  </a>
  <a r="1">
    <v>740.84</v>
  </a>
  <a r="1">
    <v>677.29</v>
  </a>
  <a r="1">
    <v>359.95</v>
  </a>
  <a r="1">
    <v>401.38</v>
  </a>
  <a r="1">
    <v>427.06</v>
  </a>
  <a r="1">
    <v>696.57</v>
  </a>
  <a r="1">
    <v>448.92</v>
  </a>
  <a r="1">
    <v>439.74</v>
  </a>
  <a r="1">
    <v>470.57</v>
  </a>
  <a r="1">
    <v>359.75</v>
  </a>
  <a r="1">
    <v>410.46</v>
  </a>
  <a r="1">
    <v>459.07</v>
  </a>
  <a r="1">
    <v>480.26</v>
  </a>
  <a r="1">
    <v>475.82</v>
  </a>
  <a r="1">
    <v>727.5</v>
  </a>
  <a r="1">
    <v>407.82</v>
  </a>
  <a r="1">
    <v>463.83</v>
  </a>
  <a r="1">
    <v>679.71</v>
  </a>
  <a r="1">
    <v>403.97</v>
  </a>
  <a r="1">
    <v>447.16</v>
  </a>
  <a r="1">
    <v>435.41</v>
  </a>
  <a r="1">
    <v>741.01</v>
  </a>
  <a r="1">
    <v>466.16</v>
  </a>
  <a r="1">
    <v>418.7</v>
  </a>
  <a r="1">
    <v>719.72</v>
  </a>
  <a r="1">
    <v>776.5</v>
  </a>
  <a r="1">
    <v>446.39</v>
  </a>
  <a r="1">
    <v>680.56</v>
  </a>
  <a r="1">
    <v>428.28</v>
  </a>
  <a r="1">
    <v>395.83</v>
  </a>
  <a r="1">
    <v>494.22</v>
  </a>
  <a r="1">
    <v>403.96</v>
  </a>
  <a r="1">
    <v>448.54</v>
  </a>
  <a r="1">
    <v>411.24</v>
  </a>
  <a r="1">
    <v>463.28</v>
  </a>
  <a r="1">
    <v>441.9</v>
  </a>
  <a r="1">
    <v>480.15</v>
  </a>
  <a r="1">
    <v>759.95</v>
  </a>
  <a r="1">
    <v>821.6</v>
  </a>
  <a r="1">
    <v>784.97</v>
  </a>
  <a r="1">
    <v>750.2</v>
  </a>
  <a r="1">
    <v>438.54</v>
  </a>
  <a r="1">
    <v>427.59</v>
  </a>
  <a r="1">
    <v>414.36</v>
  </a>
  <a r="1">
    <v>660.91</v>
  </a>
  <a r="1">
    <v>761.94</v>
  </a>
  <a r="1">
    <v>464.56</v>
  </a>
  <a r="1">
    <v>403.34</v>
  </a>
  <a r="1">
    <v>446.68</v>
  </a>
  <a r="1">
    <v>556.72</v>
  </a>
  <a r="1">
    <v>465.09</v>
  </a>
  <a r="1">
    <v>453.62</v>
  </a>
  <a r="1">
    <v>428.2</v>
  </a>
  <a r="1">
    <v>410.57</v>
  </a>
  <a r="1">
    <v>455.07</v>
  </a>
  <a r="1">
    <v>446.81</v>
  </a>
  <a r="1">
    <v>685.45</v>
  </a>
  <a r="1">
    <v>478.63</v>
  </a>
  <a r="1">
    <v>406.52</v>
  </a>
  <a r="1">
    <v>433.16</v>
  </a>
  <a r="1">
    <v>747.73</v>
  </a>
  <a r="1">
    <v>454.76</v>
  </a>
  <a r="1">
    <v>783.92</v>
  </a>
  <a r="1">
    <v>453.77</v>
  </a>
  <a r="1">
    <v>467.66</v>
  </a>
  <a r="1">
    <v>488.53</v>
  </a>
  <a r="1">
    <v>404.17</v>
  </a>
  <a r="1">
    <v>405.01</v>
  </a>
  <a r="1">
    <v>621.80999999999995</v>
  </a>
  <a r="1">
    <v>798.22</v>
  </a>
  <a r="1">
    <v>356.69</v>
  </a>
  <a r="1">
    <v>449.68</v>
  </a>
  <a r="1">
    <v>433.05</v>
  </a>
  <a r="1">
    <v>392.64</v>
  </a>
  <a r="1">
    <v>451.3</v>
  </a>
  <a r="1">
    <v>651.09</v>
  </a>
  <a r="1">
    <v>444.26</v>
  </a>
  <a r="1">
    <v>374.26</v>
  </a>
  <a r="1">
    <v>468.13</v>
  </a>
  <a r="1">
    <v>803.14</v>
  </a>
  <a r="1">
    <v>422.66</v>
  </a>
  <a r="1">
    <v>412.14</v>
  </a>
  <a r="1">
    <v>770.18</v>
  </a>
  <a r="1">
    <v>463.53</v>
  </a>
  <a r="1">
    <v>543.84</v>
  </a>
  <a r="1">
    <v>442.8</v>
  </a>
  <a r="1">
    <v>445.76</v>
  </a>
  <a r="1">
    <v>446.3</v>
  </a>
  <a r="1">
    <v>432.31</v>
  </a>
  <a r="1">
    <v>437.55</v>
  </a>
  <a r="1">
    <v>449.47</v>
  </a>
  <a r="1">
    <v>437.52</v>
  </a>
  <a r="1">
    <v>443.11</v>
  </a>
  <a r="1">
    <v>642.49</v>
  </a>
  <a r="1">
    <v>423.76</v>
  </a>
  <a r="1">
    <v>416.01</v>
  </a>
  <a r="1">
    <v>467.7</v>
  </a>
  <a r="1">
    <v>416.48</v>
  </a>
  <a r="1">
    <v>807.01</v>
  </a>
  <a r="1">
    <v>447.06</v>
  </a>
  <a r="1">
    <v>451.52</v>
  </a>
  <a r="1">
    <v>568.13</v>
  </a>
  <a r="1">
    <v>742.9</v>
  </a>
  <a r="1">
    <v>460.61</v>
  </a>
  <a r="1">
    <v>438.62</v>
  </a>
  <a r="1">
    <v>459.53</v>
  </a>
  <a r="1">
    <v>458.43</v>
  </a>
  <a r="1">
    <v>406.12</v>
  </a>
  <a r="1">
    <v>410.43</v>
  </a>
  <a r="1">
    <v>582.48</v>
  </a>
  <a r="1">
    <v>525.72</v>
  </a>
  <a r="1">
    <v>377.68</v>
  </a>
  <a r="1">
    <v>463.74</v>
  </a>
  <a r="1">
    <v>420.93</v>
  </a>
  <a r="1">
    <v>439.54</v>
  </a>
  <a r="1">
    <v>439.66</v>
  </a>
  <a r="1">
    <v>463.63</v>
  </a>
  <a r="1">
    <v>454.59</v>
  </a>
  <a r="1">
    <v>452.93</v>
  </a>
  <a r="1">
    <v>790.13</v>
  </a>
  <a r="1">
    <v>759.76</v>
  </a>
  <a r="1">
    <v>408.46</v>
  </a>
  <a r="1">
    <v>408.51</v>
  </a>
  <a r="1">
    <v>403.91</v>
  </a>
  <a r="1">
    <v>649.72</v>
  </a>
  <a r="1">
    <v>480.92</v>
  </a>
  <a r="1">
    <v>464.81</v>
  </a>
  <a r="1">
    <v>447.05</v>
  </a>
  <a r="1">
    <v>616.28</v>
  </a>
  <a r="1">
    <v>443.84</v>
  </a>
  <a r="1">
    <v>440.17</v>
  </a>
  <a r="1">
    <v>566.67999999999995</v>
  </a>
  <a r="1">
    <v>436.51</v>
  </a>
  <a r="1">
    <v>400.92</v>
  </a>
  <a r="1">
    <v>496.95</v>
  </a>
  <a r="1">
    <v>445.19</v>
  </a>
  <a r="1">
    <v>389.98</v>
  </a>
  <a r="1">
    <v>449.14</v>
  </a>
  <a r="1">
    <v>447.21</v>
  </a>
  <a r="1">
    <v>446.09</v>
  </a>
  <a r="1">
    <v>637.51</v>
  </a>
  <a r="1">
    <v>378.15</v>
  </a>
  <a r="1">
    <v>455.67</v>
  </a>
  <a r="1">
    <v>470.58</v>
  </a>
  <a r="1">
    <v>447.44</v>
  </a>
  <a r="1">
    <v>747.41</v>
  </a>
  <a r="1">
    <v>423.06</v>
  </a>
  <a r="1">
    <v>635.54</v>
  </a>
  <a r="1">
    <v>409.77</v>
  </a>
  <a r="1">
    <v>599.64</v>
  </a>
  <a r="1">
    <v>455.58</v>
  </a>
  <a r="1">
    <v>448.01</v>
  </a>
  <a r="1">
    <v>450.74</v>
  </a>
  <a r="1">
    <v>443.55</v>
  </a>
  <a r="1">
    <v>465.4</v>
  </a>
  <a r="1">
    <v>445.49</v>
  </a>
  <a r="1">
    <v>415.48</v>
  </a>
  <a r="1">
    <v>451.11</v>
  </a>
  <a r="1">
    <v>773.47</v>
  </a>
  <a r="1">
    <v>747.51</v>
  </a>
  <a r="1">
    <v>819.94</v>
  </a>
  <a r="1">
    <v>421.06</v>
  </a>
  <a r="1">
    <v>467.07</v>
  </a>
  <a r="1">
    <v>442.15</v>
  </a>
  <a r="1">
    <v>792.29</v>
  </a>
  <a r="1">
    <v>762.02</v>
  </a>
  <a r="1">
    <v>479.7</v>
  </a>
  <a r="1">
    <v>798.88</v>
  </a>
  <a r="1">
    <v>780.24</v>
  </a>
  <a r="1">
    <v>419.32</v>
  </a>
  <a r="1">
    <v>736.19</v>
  </a>
  <a r="1">
    <v>408.03</v>
  </a>
  <a r="1">
    <v>14.27</v>
  </a>
  <a r="1">
    <v>13.56</v>
  </a>
  <a r="1">
    <v>11.5</v>
  </a>
  <a r="1">
    <v>18.239999999999998</v>
  </a>
  <a r="1">
    <v>21.16</v>
  </a>
  <a r="1">
    <v>14.42</v>
  </a>
  <a r="1">
    <v>22.22</v>
  </a>
  <a r="1">
    <v>15.15</v>
  </a>
  <a r="1">
    <v>22.04</v>
  </a>
  <a r="1">
    <v>21.08</v>
  </a>
  <a r="1">
    <v>20.83</v>
  </a>
  <a r="1">
    <v>11.87</v>
  </a>
  <a r="1">
    <v>11.82</v>
  </a>
  <a r="1">
    <v>15.11</v>
  </a>
  <a r="1">
    <v>15.21</v>
  </a>
  <a r="1">
    <v>17.66</v>
  </a>
  <a r="1">
    <v>18.760000000000002</v>
  </a>
  <a r="1">
    <v>18.23</v>
  </a>
  <a r="1">
    <v>17.809999999999999</v>
  </a>
  <a r="1">
    <v>16.690000000000001</v>
  </a>
  <a r="1">
    <v>11.81</v>
  </a>
  <a r="1">
    <v>19.64</v>
  </a>
  <a r="1">
    <v>20.47</v>
  </a>
  <a r="1">
    <v>15.26</v>
  </a>
  <a r="1">
    <v>19.32</v>
  </a>
  <a r="1">
    <v>17.47</v>
  </a>
  <a r="1">
    <v>18.04</v>
  </a>
  <a r="1">
    <v>21.33</v>
  </a>
  <a r="1">
    <v>19.18</v>
  </a>
  <a r="1">
    <v>17.95</v>
  </a>
  <a r="1">
    <v>12.3</v>
  </a>
  <a r="1">
    <v>21.84</v>
  </a>
  <a r="1">
    <v>14.63</v>
  </a>
  <a r="1">
    <v>19.68</v>
  </a>
  <a r="1">
    <v>17.93</v>
  </a>
  <a r="1">
    <v>21.18</v>
  </a>
  <a r="1">
    <v>21.15</v>
  </a>
  <a r="1">
    <v>21.51</v>
  </a>
  <a r="1">
    <v>18.12</v>
  </a>
  <a r="1">
    <v>19.489999999999998</v>
  </a>
  <a r="1">
    <v>20.92</v>
  </a>
  <a r="1">
    <v>17.34</v>
  </a>
  <a r="1">
    <v>22.01</v>
  </a>
  <a r="1">
    <v>15.24</v>
  </a>
  <a r="1">
    <v>19.149999999999999</v>
  </a>
  <a r="1">
    <v>19.13</v>
  </a>
  <a r="1">
    <v>15.09</v>
  </a>
  <a r="1">
    <v>9.8800000000000008</v>
  </a>
  <a r="1">
    <v>11.75</v>
  </a>
  <a r="1">
    <v>20.43</v>
  </a>
  <a r="1">
    <v>20.16</v>
  </a>
  <a r="1">
    <v>20.329999999999998</v>
  </a>
  <a r="1">
    <v>17.579999999999998</v>
  </a>
  <a r="1">
    <v>11.98</v>
  </a>
  <a r="1">
    <v>18.91</v>
  </a>
  <a r="1">
    <v>20.14</v>
  </a>
  <a r="1">
    <v>18.52</v>
  </a>
  <a r="1">
    <v>21.7</v>
  </a>
  <a r="1">
    <v>19.41</v>
  </a>
  <a r="1">
    <v>16.48</v>
  </a>
  <a r="1">
    <v>11.58</v>
  </a>
  <a r="1">
    <v>9.84</v>
  </a>
  <a r="1">
    <v>21.59</v>
  </a>
  <a r="1">
    <v>12.01</v>
  </a>
  <a r="1">
    <v>18.13</v>
  </a>
  <a r="1">
    <v>21.45</v>
  </a>
  <a r="1">
    <v>19.53</v>
  </a>
  <a r="1">
    <v>13.92</v>
  </a>
  <a r="1">
    <v>14.79</v>
  </a>
  <a r="1">
    <v>18.670000000000002</v>
  </a>
  <a r="1">
    <v>21.2</v>
  </a>
  <a r="1">
    <v>22.02</v>
  </a>
  <a r="1">
    <v>10.039999999999999</v>
  </a>
  <a r="1">
    <v>21.1</v>
  </a>
  <a r="1">
    <v>16.95</v>
  </a>
  <a r="1">
    <v>15.22</v>
  </a>
  <a r="1">
    <v>21.39</v>
  </a>
  <a r="1">
    <v>22.35</v>
  </a>
  <a r="1">
    <v>21.12</v>
  </a>
  <a r="1">
    <v>11.37</v>
  </a>
  <a r="1">
    <v>11.88</v>
  </a>
  <a r="1">
    <v>17.2</v>
  </a>
  <a r="1">
    <v>19.61</v>
  </a>
  <a r="1">
    <v>21.03</v>
  </a>
  <a r="1">
    <v>18.18</v>
  </a>
  <a r="1">
    <v>14.66</v>
  </a>
  <a r="1">
    <v>21.63</v>
  </a>
  <a r="1">
    <v>22.65</v>
  </a>
  <a r="1">
    <v>14.08</v>
  </a>
  <a r="1">
    <v>16.489999999999998</v>
  </a>
  <a r="1">
    <v>21.57</v>
  </a>
  <a r="1">
    <v>11.1</v>
  </a>
  <a r="1">
    <v>18.73</v>
  </a>
  <a r="1">
    <v>19.850000000000001</v>
  </a>
  <a r="1">
    <v>19.09</v>
  </a>
  <a r="1">
    <v>15.23</v>
  </a>
  <a r="1">
    <v>11.54</v>
  </a>
  <a r="1">
    <v>16.61</v>
  </a>
  <a r="1">
    <v>11.64</v>
  </a>
  <a r="1">
    <v>19.04</v>
  </a>
  <a r="1">
    <v>11.38</v>
  </a>
  <a r="1">
    <v>21.88</v>
  </a>
  <a r="1">
    <v>17.96</v>
  </a>
  <a r="1">
    <v>18.38</v>
  </a>
  <a r="1">
    <v>21.31</v>
  </a>
  <a r="1">
    <v>18.34</v>
  </a>
  <a r="1">
    <v>11.73</v>
  </a>
  <a r="1">
    <v>20.34</v>
  </a>
  <a r="1">
    <v>19.8</v>
  </a>
  <a r="1">
    <v>22.09</v>
  </a>
  <a r="1">
    <v>22.07</v>
  </a>
  <a r="1">
    <v>18.8</v>
  </a>
  <a r="1">
    <v>13.1</v>
  </a>
  <a r="1">
    <v>19.25</v>
  </a>
  <a r="1">
    <v>12.29</v>
  </a>
  <a r="1">
    <v>12.1</v>
  </a>
  <a r="1">
    <v>19.2</v>
  </a>
  <a r="1">
    <v>11.36</v>
  </a>
  <a r="1">
    <v>22.12</v>
  </a>
  <a r="1">
    <v>21.9</v>
  </a>
  <a r="1">
    <v>20.55</v>
  </a>
  <a r="1">
    <v>14.68</v>
  </a>
  <a r="1">
    <v>19.54</v>
  </a>
  <a r="1">
    <v>15.18</v>
  </a>
  <a r="1">
    <v>11.84</v>
  </a>
  <a r="1">
    <v>15.28</v>
  </a>
  <a r="1">
    <v>18.64</v>
  </a>
  <a r="1">
    <v>15.3</v>
  </a>
  <a r="1">
    <v>12.12</v>
  </a>
  <a r="1">
    <v>22.37</v>
  </a>
  <a r="1">
    <v>11.92</v>
  </a>
  <a r="1">
    <v>11.89</v>
  </a>
  <a r="1">
    <v>11.83</v>
  </a>
  <a r="1">
    <v>17.78</v>
  </a>
  <a r="1">
    <v>11.25</v>
  </a>
  <a r="1">
    <v>18.55</v>
  </a>
  <a r="1">
    <v>11.43</v>
  </a>
  <a r="1">
    <v>19.739999999999998</v>
  </a>
  <a r="1">
    <v>10.44</v>
  </a>
  <a r="1">
    <v>19.059999999999999</v>
  </a>
  <a r="1">
    <v>22.29</v>
  </a>
  <a r="1">
    <v>18.559999999999999</v>
  </a>
  <a r="1">
    <v>15.74</v>
  </a>
  <a r="1">
    <v>22.19</v>
  </a>
  <a r="1">
    <v>17.53</v>
  </a>
  <a r="1">
    <v>20.28</v>
  </a>
  <a r="1">
    <v>17.010000000000002</v>
  </a>
  <a r="1">
    <v>20.079999999999998</v>
  </a>
  <a r="1">
    <v>11.85</v>
  </a>
  <a r="1">
    <v>13.33</v>
  </a>
  <a r="1">
    <v>10.050000000000001</v>
  </a>
  <a r="1">
    <v>11.74</v>
  </a>
  <a r="1">
    <v>17.73</v>
  </a>
  <a r="1">
    <v>10.9</v>
  </a>
  <a r="1">
    <v>22.16</v>
  </a>
  <a r="1">
    <v>21.76</v>
  </a>
  <a r="1">
    <v>18.37</v>
  </a>
  <a r="1">
    <v>17.559999999999999</v>
  </a>
  <a r="1">
    <v>11.42</v>
  </a>
  <a r="1">
    <v>18.84</v>
  </a>
  <a r="1">
    <v>18.16</v>
  </a>
  <a r="1">
    <v>17.350000000000001</v>
  </a>
  <a r="1">
    <v>12.64</v>
  </a>
  <a r="1">
    <v>15.67</v>
  </a>
  <a r="1">
    <v>18.649999999999999</v>
  </a>
  <a r="1">
    <v>13.97</v>
  </a>
  <a r="1">
    <v>13.19</v>
  </a>
  <a r="1">
    <v>21.25</v>
  </a>
  <a r="1">
    <v>20.25</v>
  </a>
  <a r="1">
    <v>15.17</v>
  </a>
  <a r="1">
    <v>21.96</v>
  </a>
  <a r="1">
    <v>18.45</v>
  </a>
  <a r="1">
    <v>21.4</v>
  </a>
  <a r="1">
    <v>10.67</v>
  </a>
  <a r="1">
    <v>22.27</v>
  </a>
  <a r="1">
    <v>12.87</v>
  </a>
  <a r="1">
    <v>12.36</v>
  </a>
  <a r="1">
    <v>18.579999999999998</v>
  </a>
  <a r="1">
    <v>19.79</v>
  </a>
  <a r="1">
    <v>16.52</v>
  </a>
  <a r="1">
    <v>17.059999999999999</v>
  </a>
  <a r="1">
    <v>20.82</v>
  </a>
  <a r="1">
    <v>12.13</v>
  </a>
  <a r="1">
    <v>18.43</v>
  </a>
  <a r="1">
    <v>21.14</v>
  </a>
  <a r="1">
    <v>13.67</v>
  </a>
  <a r="1">
    <v>11.53</v>
  </a>
  <a r="1">
    <v>22.2</v>
  </a>
  <a r="1">
    <v>21.11</v>
  </a>
  <a r="1">
    <v>21.32</v>
  </a>
  <a r="1">
    <v>11.57</v>
  </a>
  <a r="1">
    <v>11.93</v>
  </a>
  <a r="1">
    <v>10.19</v>
  </a>
  <a r="1">
    <v>14.26</v>
  </a>
  <a r="1">
    <v>22</v>
  </a>
  <a r="1">
    <v>20.07</v>
  </a>
  <a r="1">
    <v>14.58</v>
  </a>
  <a r="1">
    <v>20.5</v>
  </a>
  <a r="1">
    <v>21.01</v>
  </a>
  <a r="1">
    <v>10.24</v>
  </a>
  <a r="1">
    <v>11.61</v>
  </a>
  <a r="1">
    <v>12.24</v>
  </a>
  <a r="1">
    <v>15.12</v>
  </a>
  <a r="1">
    <v>16.739999999999998</v>
  </a>
  <a r="1">
    <v>15.55</v>
  </a>
  <a r="1">
    <v>18.66</v>
  </a>
  <a r="1">
    <v>17.57</v>
  </a>
  <a r="1">
    <v>22.64</v>
  </a>
  <a r="1">
    <v>18.739999999999998</v>
  </a>
  <a r="1">
    <v>15.79</v>
  </a>
  <a r="1">
    <v>22.08</v>
  </a>
  <a r="1">
    <v>21.56</v>
  </a>
  <a r="1">
    <v>15.77</v>
  </a>
  <a r="1">
    <v>18.05</v>
  </a>
  <a r="1">
    <v>12.35</v>
  </a>
  <a r="1">
    <v>16.600000000000001</v>
  </a>
  <a r="1">
    <v>17.86</v>
  </a>
  <a r="1">
    <v>13.86</v>
  </a>
  <a r="1">
    <v>17.190000000000001</v>
  </a>
  <a r="1">
    <v>18.46</v>
  </a>
  <a r="1">
    <v>13.78</v>
  </a>
  <a r="1">
    <v>21.29</v>
  </a>
  <a r="1">
    <v>17.88</v>
  </a>
  <a r="1">
    <v>22.78</v>
  </a>
  <a r="1">
    <v>21.78</v>
  </a>
  <a r="1">
    <v>17.55</v>
  </a>
  <a r="1">
    <v>15.89</v>
  </a>
  <a r="1">
    <v>19.66</v>
  </a>
  <a r="1">
    <v>21.5</v>
  </a>
  <a r="1">
    <v>20.94</v>
  </a>
  <a r="1">
    <v>20.98</v>
  </a>
  <a r="1">
    <v>21.95</v>
  </a>
  <a r="1">
    <v>11.99</v>
  </a>
  <a r="1">
    <v>15.35</v>
  </a>
  <a r="1">
    <v>19.350000000000001</v>
  </a>
  <a r="1">
    <v>22.39</v>
  </a>
  <a r="1">
    <v>15.31</v>
  </a>
  <a r="1">
    <v>12.46</v>
  </a>
  <a r="1">
    <v>17.11</v>
  </a>
  <a r="1">
    <v>17.79</v>
  </a>
  <a r="1">
    <v>16.100000000000001</v>
  </a>
  <a r="1">
    <v>14.57</v>
  </a>
  <a r="1">
    <v>15.96</v>
  </a>
  <a r="1">
    <v>10.45</v>
  </a>
  <a r="1">
    <v>10.94</v>
  </a>
  <a r="1">
    <v>22.14</v>
  </a>
  <a r="1">
    <v>21.43</v>
  </a>
  <a r="1">
    <v>20.239999999999998</v>
  </a>
  <a r="1">
    <v>18.309999999999999</v>
  </a>
  <a r="1">
    <v>19.11</v>
  </a>
  <a r="1">
    <v>15.33</v>
  </a>
  <a r="1">
    <v>13.62</v>
  </a>
  <a r="1">
    <v>22.24</v>
  </a>
  <a r="1">
    <v>22.7</v>
  </a>
  <a r="1">
    <v>11.77</v>
  </a>
  <a r="1">
    <v>20.49</v>
  </a>
  <a r="1">
    <v>10.53</v>
  </a>
  <a r="1">
    <v>20.36</v>
  </a>
  <a r="1">
    <v>20.86</v>
  </a>
  <a r="1">
    <v>18.71</v>
  </a>
  <a r="1">
    <v>20.68</v>
  </a>
  <a r="1">
    <v>20.53</v>
  </a>
  <a r="1">
    <v>21.37</v>
  </a>
  <a r="1">
    <v>22.17</v>
  </a>
  <a r="1">
    <v>21.58</v>
  </a>
  <a r="1">
    <v>14.82</v>
  </a>
  <a r="1">
    <v>14.33</v>
  </a>
  <a r="1">
    <v>14.34</v>
  </a>
  <a r="1">
    <v>13.99</v>
  </a>
  <a r="1">
    <v>13.9</v>
  </a>
  <a r="1">
    <v>13.6</v>
  </a>
  <a r="1">
    <v>13.65</v>
  </a>
  <a r="1">
    <v>11.34</v>
  </a>
  <a r="1">
    <v>11.47</v>
  </a>
  <a r="1">
    <v>11.69</v>
  </a>
  <a r="1">
    <v>11.62</v>
  </a>
  <a r="1">
    <v>11.66</v>
  </a>
  <a r="1">
    <v>11.78</v>
  </a>
  <a r="1">
    <v>11.96</v>
  </a>
  <a r="1">
    <v>12.02</v>
  </a>
  <a r="1">
    <v>12.33</v>
  </a>
  <a r="1">
    <v>12.03</v>
  </a>
  <a r="1">
    <v>12.15</v>
  </a>
  <a r="1">
    <v>12.28</v>
  </a>
  <a r="1">
    <v>11.91</v>
  </a>
  <a r="1">
    <v>10.88</v>
  </a>
  <a r="1">
    <v>10.84</v>
  </a>
  <a r="1">
    <v>10.52</v>
  </a>
  <a r="1">
    <v>10.14</v>
  </a>
  <a r="1">
    <v>10.130000000000001</v>
  </a>
  <a r="1">
    <v>9.8699999999999992</v>
  </a>
  <a r="1">
    <v>22.59</v>
  </a>
  <a r="1">
    <v>12.95</v>
  </a>
  <a r="1">
    <v>21.27</v>
  </a>
  <a r="1">
    <v>11.12</v>
  </a>
  <a r="1">
    <v>20.96</v>
  </a>
  <a r="1">
    <v>14.95</v>
  </a>
  <a r="1">
    <v>11.31</v>
  </a>
  <a r="1">
    <v>12.22</v>
  </a>
  <a r="1">
    <v>15.06</v>
  </a>
  <a r="1">
    <v>17.82</v>
  </a>
  <a r="1">
    <v>11.94</v>
  </a>
  <a r="1">
    <v>11.59</v>
  </a>
  <a r="1">
    <v>20.65</v>
  </a>
  <a r="1">
    <v>14.64</v>
  </a>
  <a r="1">
    <v>17.510000000000002</v>
  </a>
  <a r="1">
    <v>13.52</v>
  </a>
  <a r="1">
    <v>17.8</v>
  </a>
  <a r="1">
    <v>21.02</v>
  </a>
  <a r="1">
    <v>14.61</v>
  </a>
  <a r="1">
    <v>10.28</v>
  </a>
  <a r="1">
    <v>21.71</v>
  </a>
  <a r="1">
    <v>18.100000000000001</v>
  </a>
  <a r="1">
    <v>16.46</v>
  </a>
  <a r="1">
    <v>18.350000000000001</v>
  </a>
  <a r="1">
    <v>20.11</v>
  </a>
  <a r="1">
    <v>10.59</v>
  </a>
  <a r="1">
    <v>10.41</v>
  </a>
  <a r="1">
    <v>10.57</v>
  </a>
  <a r="1">
    <v>20.99</v>
  </a>
  <a r="1">
    <v>12.81</v>
  </a>
  <a r="1">
    <v>13.88</v>
  </a>
  <a r="1">
    <v>21.68</v>
  </a>
  <a r="1">
    <v>19.5</v>
  </a>
  <a r="1">
    <v>16.989999999999998</v>
  </a>
  <a r="1">
    <v>12.56</v>
  </a>
  <a r="1">
    <v>17.399999999999999</v>
  </a>
  <a r="1">
    <v>10.86</v>
  </a>
  <a r="1">
    <v>17.32</v>
  </a>
  <a r="1">
    <v>15.14</v>
  </a>
  <a r="1">
    <v>13.29</v>
  </a>
  <a r="1">
    <v>10.91</v>
  </a>
  <a r="1">
    <v>11.72</v>
  </a>
  <a r="1">
    <v>17.71</v>
  </a>
  <a r="1">
    <v>18.68</v>
  </a>
  <a r="1">
    <v>14.39</v>
  </a>
  <a r="1">
    <v>21.38</v>
  </a>
  <a r="1">
    <v>10.1</v>
  </a>
  <a r="1">
    <v>10.54</v>
  </a>
  <a r="1">
    <v>21.61</v>
  </a>
  <a r="1">
    <v>13.51</v>
  </a>
  <a r="1">
    <v>11.51</v>
  </a>
  <a r="1">
    <v>14.24</v>
  </a>
  <a r="1">
    <v>11.39</v>
  </a>
  <a r="1">
    <v>16.68</v>
  </a>
  <a r="1">
    <v>11.8</v>
  </a>
  <a r="1">
    <v>11.45</v>
  </a>
  <a r="1">
    <v>21.21</v>
  </a>
  <a r="1">
    <v>15.39</v>
  </a>
  <a r="1">
    <v>10.09</v>
  </a>
  <a r="1">
    <v>11</v>
  </a>
  <a r="1">
    <v>15.29</v>
  </a>
  <a r="1">
    <v>18.98</v>
  </a>
  <a r="1">
    <v>14.69</v>
  </a>
  <a r="1">
    <v>21.26</v>
  </a>
  <a r="1">
    <v>17.309999999999999</v>
  </a>
  <a r="1">
    <v>21.54</v>
  </a>
  <a r="1">
    <v>11.11</v>
  </a>
  <a r="1">
    <v>14.25</v>
  </a>
  <a r="1">
    <v>11.27</v>
  </a>
  <a r="1">
    <v>22.54</v>
  </a>
  <a r="1">
    <v>11.67</v>
  </a>
  <a r="1">
    <v>11.29</v>
  </a>
  <a r="1">
    <v>15.63</v>
  </a>
  <a r="1">
    <v>20.97</v>
  </a>
  <a r="1">
    <v>19.45</v>
  </a>
  <a r="1">
    <v>12.32</v>
  </a>
  <a r="1">
    <v>19.89</v>
  </a>
  <a r="1">
    <v>18.25</v>
  </a>
  <a r="1">
    <v>19.75</v>
  </a>
  <a r="1">
    <v>10.07</v>
  </a>
  <a r="1">
    <v>21.42</v>
  </a>
  <a r="1">
    <v>10.72</v>
  </a>
  <a r="1">
    <v>13.35</v>
  </a>
  <a r="1">
    <v>12.79</v>
  </a>
  <a r="1">
    <v>12.41</v>
  </a>
  <a r="1">
    <v>12.07</v>
  </a>
  <a r="1">
    <v>12.11</v>
  </a>
  <a r="1">
    <v>9.59</v>
  </a>
  <a r="1">
    <v>19.38</v>
  </a>
  <a r="1">
    <v>15.68</v>
  </a>
  <a r="1">
    <v>12.14</v>
  </a>
  <a r="1">
    <v>60.55</v>
  </a>
  <a r="1">
    <v>43.03</v>
  </a>
  <a r="1">
    <v>60.36</v>
  </a>
  <a r="1">
    <v>71.98</v>
  </a>
  <a r="1">
    <v>76.23</v>
  </a>
  <a r="1">
    <v>67.86</v>
  </a>
  <a r="1">
    <v>61.07</v>
  </a>
  <a r="1">
    <v>43</v>
  </a>
  <a r="1">
    <v>47.81</v>
  </a>
  <a r="1">
    <v>50.02</v>
  </a>
  <a r="1">
    <v>50.48</v>
  </a>
  <a r="1">
    <v>61.68</v>
  </a>
  <a r="1">
    <v>49.17</v>
  </a>
  <a r="1">
    <v>65.040000000000006</v>
  </a>
  <a r="1">
    <v>53.13</v>
  </a>
  <a r="1">
    <v>44.28</v>
  </a>
  <a r="1">
    <v>52.1</v>
  </a>
  <a r="1">
    <v>44.8</v>
  </a>
  <a r="1">
    <v>43.39</v>
  </a>
  <a r="1">
    <v>53.35</v>
  </a>
  <a r="1">
    <v>60.38</v>
  </a>
  <a r="1">
    <v>60.88</v>
  </a>
  <a r="1">
    <v>44.32</v>
  </a>
  <a r="1">
    <v>50.41</v>
  </a>
  <a r="1">
    <v>61.54</v>
  </a>
  <a r="1">
    <v>61.12</v>
  </a>
  <a r="1">
    <v>45.37</v>
  </a>
  <a r="1">
    <v>50.38</v>
  </a>
  <a r="1">
    <v>56.7</v>
  </a>
  <a r="1">
    <v>64.599999999999994</v>
  </a>
  <a r="1">
    <v>50.94</v>
  </a>
  <a r="1">
    <v>61.62</v>
  </a>
  <a r="1">
    <v>47.95</v>
  </a>
  <a r="1">
    <v>49.88</v>
  </a>
  <a r="1">
    <v>63.72</v>
  </a>
  <a r="1">
    <v>66.040000000000006</v>
  </a>
  <a r="1">
    <v>60.42</v>
  </a>
  <a r="1">
    <v>44.62</v>
  </a>
  <a r="1">
    <v>50.17</v>
  </a>
  <a r="1">
    <v>58.77</v>
  </a>
  <a r="1">
    <v>48.83</v>
  </a>
  <a r="1">
    <v>72.819999999999993</v>
  </a>
  <a r="1">
    <v>51.14</v>
  </a>
  <a r="1">
    <v>53.03</v>
  </a>
  <a r="1">
    <v>51.55</v>
  </a>
  <a r="1">
    <v>68.09</v>
  </a>
  <a r="1">
    <v>52.86</v>
  </a>
  <a r="1">
    <v>66.92</v>
  </a>
  <a r="1">
    <v>64.569999999999993</v>
  </a>
  <a r="1">
    <v>52.92</v>
  </a>
  <a r="1">
    <v>44.02</v>
  </a>
  <a r="1">
    <v>43.69</v>
  </a>
  <a r="1">
    <v>60.61</v>
  </a>
  <a r="1">
    <v>48.91</v>
  </a>
  <a r="1">
    <v>65.94</v>
  </a>
  <a r="1">
    <v>50.89</v>
  </a>
  <a r="1">
    <v>50.31</v>
  </a>
  <a r="1">
    <v>61.71</v>
  </a>
  <a r="1">
    <v>44.12</v>
  </a>
  <a r="1">
    <v>49.98</v>
  </a>
  <a r="1">
    <v>44.4</v>
  </a>
  <a r="1">
    <v>51.52</v>
  </a>
  <a r="1">
    <v>72.73</v>
  </a>
  <a r="1">
    <v>42.99</v>
  </a>
  <a r="1">
    <v>43.5</v>
  </a>
  <a r="1">
    <v>51.31</v>
  </a>
  <a r="1">
    <v>61.96</v>
  </a>
  <a r="1">
    <v>60.72</v>
  </a>
  <a r="1">
    <v>52.78</v>
  </a>
  <a r="1">
    <v>41.35</v>
  </a>
  <a r="1">
    <v>60.46</v>
  </a>
  <a r="1">
    <v>48.93</v>
  </a>
  <a r="1">
    <v>43.8</v>
  </a>
  <a r="1">
    <v>60.62</v>
  </a>
  <a r="1">
    <v>60.59</v>
  </a>
  <a r="1">
    <v>60.73</v>
  </a>
  <a r="1">
    <v>43.57</v>
  </a>
  <a r="1">
    <v>51.64</v>
  </a>
  <a r="1">
    <v>53.46</v>
  </a>
  <a r="1">
    <v>41.22</v>
  </a>
  <a r="1">
    <v>44.91</v>
  </a>
  <a r="1">
    <v>48.18</v>
  </a>
  <a r="1">
    <v>64.44</v>
  </a>
  <a r="1">
    <v>55.94</v>
  </a>
  <a r="1">
    <v>53.84</v>
  </a>
  <a r="1">
    <v>51.43</v>
  </a>
  <a r="1">
    <v>58.62</v>
  </a>
  <a r="1">
    <v>48.26</v>
  </a>
  <a r="1">
    <v>52.3</v>
  </a>
  <a r="1">
    <v>60.32</v>
  </a>
  <a r="1">
    <v>61.79</v>
  </a>
  <a r="1">
    <v>46.16</v>
  </a>
  <a r="1">
    <v>42.17</v>
  </a>
  <a r="1">
    <v>79.53</v>
  </a>
  <a r="1">
    <v>66.59</v>
  </a>
  <a r="1">
    <v>79.09</v>
  </a>
  <a r="1">
    <v>63.69</v>
  </a>
  <a r="1">
    <v>54.72</v>
  </a>
  <a r="1">
    <v>72.489999999999995</v>
  </a>
  <a r="1">
    <v>51.46</v>
  </a>
  <a r="1">
    <v>65.75</v>
  </a>
  <a r="1">
    <v>55.61</v>
  </a>
  <a r="1">
    <v>53.05</v>
  </a>
  <a r="1">
    <v>44.15</v>
  </a>
  <a r="1">
    <v>50.34</v>
  </a>
  <a r="1">
    <v>80.94</v>
  </a>
  <a r="1">
    <v>74.25</v>
  </a>
  <a r="1">
    <v>52.81</v>
  </a>
  <a r="1">
    <v>56.3</v>
  </a>
  <a r="1">
    <v>52.83</v>
  </a>
  <a r="1">
    <v>59.61</v>
  </a>
  <a r="1">
    <v>46.87</v>
  </a>
  <a r="1">
    <v>46.03</v>
  </a>
  <a r="1">
    <v>43.46</v>
  </a>
  <a r="1">
    <v>44.65</v>
  </a>
  <a r="1">
    <v>62.19</v>
  </a>
  <a r="1">
    <v>73.25</v>
  </a>
  <a r="1">
    <v>62</v>
  </a>
  <a r="1">
    <v>43.86</v>
  </a>
  <a r="1">
    <v>52.17</v>
  </a>
  <a r="1">
    <v>73.8</v>
  </a>
  <a r="1">
    <v>66.95</v>
  </a>
  <a r="1">
    <v>44.64</v>
  </a>
  <a r="1">
    <v>58.09</v>
  </a>
  <a r="1">
    <v>72.319999999999993</v>
  </a>
  <a r="1">
    <v>42.49</v>
  </a>
  <a r="1">
    <v>65.59</v>
  </a>
  <a r="1">
    <v>67.430000000000007</v>
  </a>
  <a r="1">
    <v>51.47</v>
  </a>
  <a r="1">
    <v>48.5</v>
  </a>
  <a r="1">
    <v>51.36</v>
  </a>
  <a r="1">
    <v>45.04</v>
  </a>
  <a r="1">
    <v>64</v>
  </a>
  <a r="1">
    <v>51.41</v>
  </a>
  <a r="1">
    <v>75.849999999999994</v>
  </a>
  <a r="1">
    <v>44.26</v>
  </a>
  <a r="1">
    <v>51.45</v>
  </a>
  <a r="1">
    <v>52.37</v>
  </a>
  <a r="1">
    <v>80.510000000000005</v>
  </a>
  <a r="1">
    <v>71.89</v>
  </a>
  <a r="1">
    <v>74.89</v>
  </a>
  <a r="1">
    <v>47.78</v>
  </a>
  <a r="1">
    <v>52.02</v>
  </a>
  <a r="1">
    <v>60.25</v>
  </a>
  <a r="1">
    <v>44.18</v>
  </a>
  <a r="1">
    <v>42.9</v>
  </a>
  <a r="1">
    <v>44.54</v>
  </a>
  <a r="1">
    <v>66.260000000000005</v>
  </a>
  <a r="1">
    <v>55.44</v>
  </a>
  <a r="1">
    <v>58.64</v>
  </a>
  <a r="1">
    <v>52.94</v>
  </a>
  <a r="1">
    <v>52.06</v>
  </a>
  <a r="1">
    <v>64.33</v>
  </a>
  <a r="1">
    <v>52.84</v>
  </a>
  <a r="1">
    <v>44.66</v>
  </a>
  <a r="1">
    <v>72.27</v>
  </a>
  <a r="1">
    <v>43.87</v>
  </a>
  <a r="1">
    <v>62.63</v>
  </a>
  <a r="1">
    <v>59.09</v>
  </a>
  <a r="1">
    <v>81.28</v>
  </a>
  <a r="1">
    <v>62.91</v>
  </a>
  <a r="1">
    <v>50.36</v>
  </a>
  <a r="1">
    <v>50.35</v>
  </a>
  <a r="1">
    <v>64.040000000000006</v>
  </a>
  <a r="1">
    <v>56.61</v>
  </a>
  <a r="1">
    <v>63.68</v>
  </a>
  <a r="1">
    <v>41.69</v>
  </a>
  <a r="1">
    <v>51.81</v>
  </a>
  <a r="1">
    <v>63.77</v>
  </a>
  <a r="1">
    <v>53.21</v>
  </a>
  <a r="1">
    <v>71.430000000000007</v>
  </a>
  <a r="1">
    <v>43.59</v>
  </a>
  <a r="1">
    <v>66.16</v>
  </a>
  <a r="1">
    <v>61.29</v>
  </a>
  <a r="1">
    <v>60.74</v>
  </a>
  <a r="1">
    <v>47.07</v>
  </a>
  <a r="1">
    <v>49.81</v>
  </a>
  <a r="1">
    <v>45.93</v>
  </a>
  <a r="1">
    <v>59.4</v>
  </a>
  <a r="1">
    <v>62.84</v>
  </a>
  <a r="1">
    <v>56.22</v>
  </a>
  <a r="1">
    <v>78.58</v>
  </a>
  <a r="1">
    <v>70.08</v>
  </a>
  <a r="1">
    <v>41.24</v>
  </a>
  <a r="1">
    <v>64.349999999999994</v>
  </a>
  <a r="1">
    <v>42.7</v>
  </a>
  <a r="1">
    <v>52.64</v>
  </a>
  <a r="1">
    <v>67.58</v>
  </a>
  <a r="1">
    <v>64.09</v>
  </a>
  <a r="1">
    <v>77.040000000000006</v>
  </a>
  <a r="1">
    <v>50.7</v>
  </a>
  <a r="1">
    <v>45.1</v>
  </a>
  <a r="1">
    <v>43.9</v>
  </a>
  <a r="1">
    <v>49.13</v>
  </a>
  <a r="1">
    <v>49.8</v>
  </a>
  <a r="1">
    <v>52.6</v>
  </a>
  <a r="1">
    <v>48.67</v>
  </a>
  <a r="1">
    <v>43.04</v>
  </a>
  <a r="1">
    <v>64.06</v>
  </a>
  <a r="1">
    <v>71.88</v>
  </a>
  <a r="1">
    <v>63.45</v>
  </a>
  <a r="1">
    <v>51.39</v>
  </a>
  <a r="1">
    <v>63.02</v>
  </a>
  <a r="1">
    <v>52.05</v>
  </a>
  <a r="1">
    <v>79.23</v>
  </a>
  <a r="1">
    <v>60.68</v>
  </a>
  <a r="1">
    <v>46.61</v>
  </a>
  <a r="1">
    <v>61.2</v>
  </a>
  <a r="1">
    <v>43.12</v>
  </a>
  <a r="1">
    <v>55.72</v>
  </a>
  <a r="1">
    <v>44.33</v>
  </a>
  <a r="1">
    <v>53.02</v>
  </a>
  <a r="1">
    <v>46.75</v>
  </a>
  <a r="1">
    <v>51.83</v>
  </a>
  <a r="1">
    <v>50.47</v>
  </a>
  <a r="1">
    <v>44.9</v>
  </a>
  <a r="1">
    <v>60.57</v>
  </a>
  <a r="1">
    <v>62.44</v>
  </a>
  <a r="1">
    <v>63.25</v>
  </a>
  <a r="1">
    <v>64.010000000000005</v>
  </a>
  <a r="1">
    <v>51.88</v>
  </a>
  <a r="1">
    <v>50.68</v>
  </a>
  <a r="1">
    <v>53.29</v>
  </a>
  <a r="1">
    <v>65.489999999999995</v>
  </a>
  <a r="1">
    <v>51.85</v>
  </a>
  <a r="1">
    <v>47.41</v>
  </a>
  <a r="1">
    <v>60.45</v>
  </a>
  <a r="1">
    <v>74.489999999999995</v>
  </a>
  <a r="1">
    <v>41.56</v>
  </a>
  <a r="1">
    <v>49.7</v>
  </a>
  <a r="1">
    <v>43.76</v>
  </a>
  <a r="1">
    <v>43.17</v>
  </a>
  <a r="1">
    <v>64.099999999999994</v>
  </a>
  <a r="1">
    <v>50.27</v>
  </a>
  <a r="1">
    <v>53.63</v>
  </a>
  <a r="1">
    <v>60.71</v>
  </a>
  <a r="1">
    <v>65.400000000000006</v>
  </a>
  <a r="1">
    <v>48.36</v>
  </a>
  <a r="1">
    <v>60.56</v>
  </a>
  <a r="1">
    <v>58.2</v>
  </a>
  <a r="1">
    <v>55.84</v>
  </a>
  <a r="1">
    <v>65.12</v>
  </a>
  <a r="1">
    <v>45.21</v>
  </a>
  <a r="1">
    <v>42.05</v>
  </a>
  <a r="1">
    <v>43.54</v>
  </a>
  <a r="1">
    <v>61.89</v>
  </a>
  <a r="1">
    <v>49.9</v>
  </a>
  <a r="1">
    <v>44.31</v>
  </a>
  <a r="1">
    <v>61.19</v>
  </a>
  <a r="1">
    <v>44.07</v>
  </a>
  <a r="1">
    <v>59.6</v>
  </a>
  <a r="1">
    <v>60.85</v>
  </a>
  <a r="1">
    <v>71.87</v>
  </a>
  <a r="1">
    <v>50.16</v>
  </a>
  <a r="1">
    <v>60.16</v>
  </a>
  <a r="1">
    <v>59.83</v>
  </a>
  <a r="1">
    <v>50.11</v>
  </a>
  <a r="1">
    <v>52.91</v>
  </a>
  <a r="1">
    <v>66.3</v>
  </a>
  <a r="1">
    <v>45.17</v>
  </a>
  <a r="1">
    <v>43.78</v>
  </a>
  <a r="1">
    <v>49.07</v>
  </a>
  <a r="1">
    <v>41.42</v>
  </a>
  <a r="1">
    <v>52.67</v>
  </a>
  <a r="1">
    <v>55.47</v>
  </a>
  <a r="1">
    <v>65.73</v>
  </a>
  <a r="1">
    <v>44.23</v>
  </a>
  <a r="1">
    <v>53.15</v>
  </a>
  <a r="1">
    <v>50.1</v>
  </a>
  <a r="1">
    <v>62.99</v>
  </a>
  <a r="1">
    <v>43.62</v>
  </a>
  <a r="1">
    <v>64.77</v>
  </a>
  <a r="1">
    <v>50.58</v>
  </a>
  <a r="1">
    <v>44.05</v>
  </a>
  <a r="1">
    <v>43.98</v>
  </a>
  <a r="1">
    <v>80.39</v>
  </a>
  <a r="1">
    <v>43.72</v>
  </a>
  <a r="1">
    <v>50.66</v>
  </a>
  <a r="1">
    <v>67.02</v>
  </a>
  <a r="1">
    <v>61.38</v>
  </a>
  <a r="1">
    <v>43.95</v>
  </a>
  <a r="1">
    <v>45.98</v>
  </a>
  <a r="1">
    <v>71.569999999999993</v>
  </a>
  <a r="1">
    <v>40.98</v>
  </a>
  <a r="1">
    <v>41.57</v>
  </a>
  <a r="1">
    <v>63.59</v>
  </a>
  <a r="1">
    <v>63.78</v>
  </a>
  <a r="1">
    <v>54.62</v>
  </a>
  <a r="1">
    <v>43.35</v>
  </a>
  <a r="1">
    <v>71.47</v>
  </a>
  <a r="1">
    <v>43.3</v>
  </a>
  <a r="1">
    <v>50.78</v>
  </a>
  <a r="1">
    <v>51.94</v>
  </a>
  <a r="1">
    <v>47.63</v>
  </a>
  <a r="1">
    <v>51.02</v>
  </a>
  <a r="1">
    <v>63.66</v>
  </a>
  <a r="1">
    <v>64.67</v>
  </a>
  <a r="1">
    <v>62.68</v>
  </a>
  <a r="1">
    <v>63.86</v>
  </a>
  <a r="1">
    <v>41.72</v>
  </a>
  <a r="1">
    <v>49.39</v>
  </a>
  <a r="1">
    <v>53.53</v>
  </a>
  <a r="1">
    <v>61.45</v>
  </a>
  <a r="1">
    <v>60.33</v>
  </a>
  <a r="1">
    <v>44.58</v>
  </a>
  <a r="1">
    <v>48.25</v>
  </a>
  <a r="1">
    <v>64.38</v>
  </a>
  <a r="1">
    <v>47.96</v>
  </a>
  <a r="1">
    <v>58.68</v>
  </a>
  <a r="1">
    <v>47.86</v>
  </a>
  <a r="1">
    <v>41.82</v>
  </a>
  <a r="1">
    <v>43.6</v>
  </a>
  <a r="1">
    <v>59.18</v>
  </a>
  <a r="1">
    <v>41.36</v>
  </a>
  <a r="1">
    <v>49.11</v>
  </a>
  <a r="1">
    <v>42.61</v>
  </a>
  <a r="1">
    <v>52.56</v>
  </a>
  <a r="1">
    <v>44.55</v>
  </a>
  <a r="1">
    <v>41.3</v>
  </a>
  <a r="1">
    <v>49.37</v>
  </a>
  <a r="1">
    <v>50.84</v>
  </a>
  <a r="1">
    <v>58.35</v>
  </a>
  <a r="1">
    <v>60.5</v>
  </a>
  <a r="1">
    <v>50.56</v>
  </a>
  <a r="1">
    <v>41.17</v>
  </a>
  <a r="1">
    <v>41.52</v>
  </a>
  <a r="1">
    <v>50.03</v>
  </a>
  <a r="1">
    <v>49.82</v>
  </a>
  <a r="1">
    <v>40.549999999999997</v>
  </a>
  <a r="1">
    <v>39.72</v>
  </a>
  <a r="1">
    <v>50.23</v>
  </a>
  <a r="1">
    <v>40.340000000000003</v>
  </a>
  <a r="1">
    <v>50.54</v>
  </a>
  <a r="1">
    <v>50.93</v>
  </a>
  <a r="1">
    <v>40.520000000000003</v>
  </a>
  <a r="1">
    <v>40.79</v>
  </a>
  <a r="1">
    <v>40.92</v>
  </a>
  <a r="1">
    <v>50.52</v>
  </a>
  <a r="1">
    <v>40.799999999999997</v>
  </a>
  <a r="1">
    <v>49.86</v>
  </a>
  <a r="1">
    <v>40.56</v>
  </a>
  <a r="1">
    <v>61</v>
  </a>
  <a r="1">
    <v>64.489999999999995</v>
  </a>
  <a r="1">
    <v>52.97</v>
  </a>
  <a r="1">
    <v>49.56</v>
  </a>
  <a r="1">
    <v>43.14</v>
  </a>
  <a r="1">
    <v>44.14</v>
  </a>
  <a r="1">
    <v>50.44</v>
  </a>
  <a r="1">
    <v>43.42</v>
  </a>
  <a r="1">
    <v>48.79</v>
  </a>
  <a r="1">
    <v>38.85</v>
  </a>
  <a r="1">
    <v>44.49</v>
  </a>
  <a r="1">
    <v>63.76</v>
  </a>
  <a r="1">
    <v>46.55</v>
  </a>
  <a r="1">
    <v>46.86</v>
  </a>
  <a r="1">
    <v>41.62</v>
  </a>
  <a r="1">
    <v>49.68</v>
  </a>
  <a r="1">
    <v>48.88</v>
  </a>
  <a r="1">
    <v>46.19</v>
  </a>
  <a r="1">
    <v>50.09</v>
  </a>
  <a r="1">
    <v>60.34</v>
  </a>
  <a r="1">
    <v>63.98</v>
  </a>
  <a r="1">
    <v>50.8</v>
  </a>
  <a r="1">
    <v>45.22</v>
  </a>
  <a r="1">
    <v>48.02</v>
  </a>
  <a r="1">
    <v>42.04</v>
  </a>
  <a r="1">
    <v>50.49</v>
  </a>
  <a r="1">
    <v>51.54</v>
  </a>
  <a r="1">
    <v>63.55</v>
  </a>
  <a r="1">
    <v>65.790000000000006</v>
  </a>
  <a r="1">
    <v>59.02</v>
  </a>
  <a r="1">
    <v>58.74</v>
  </a>
  <a r="1">
    <v>44.19</v>
  </a>
  <a r="1">
    <v>52.28</v>
  </a>
  <a r="1">
    <v>43.99</v>
  </a>
  <a r="1">
    <v>40.72</v>
  </a>
  <a r="1">
    <v>44.16</v>
  </a>
  <a r="1">
    <v>55.5</v>
  </a>
  <a r="1">
    <v>60.83</v>
  </a>
  <a r="1">
    <v>41.67</v>
  </a>
  <a r="1">
    <v>49.99</v>
  </a>
  <a r="1">
    <v>40.82</v>
  </a>
  <a r="1">
    <v>51.38</v>
  </a>
  <a r="1">
    <v>51.26</v>
  </a>
  <a r="1">
    <v>41.51</v>
  </a>
  <a r="1">
    <v>47.83</v>
  </a>
  <a r="1">
    <v>48.82</v>
  </a>
  <a r="1">
    <v>48.46</v>
  </a>
  <a r="1">
    <v>43.48</v>
  </a>
  <a r="1">
    <v>42.03</v>
  </a>
  <a r="1">
    <v>50.91</v>
  </a>
  <a r="1">
    <v>53.74</v>
  </a>
  <a r="1">
    <v>43.56</v>
  </a>
  <a r="1">
    <v>48.7</v>
  </a>
  <a r="1">
    <v>50.25</v>
  </a>
  <a r="1">
    <v>61.15</v>
  </a>
  <a r="1">
    <v>44.25</v>
  </a>
  <a r="1">
    <v>43.1</v>
  </a>
  <a r="1">
    <v>73.53</v>
  </a>
  <a r="1">
    <v>64.48</v>
  </a>
  <a r="1">
    <v>45.15</v>
  </a>
  <a r="1">
    <v>52.59</v>
  </a>
  <a r="1">
    <v>41.55</v>
  </a>
  <a r="1">
    <v>41.07</v>
  </a>
  <a r="1">
    <v>52.85</v>
  </a>
  <a r="1">
    <v>41.01</v>
  </a>
  <a r="1">
    <v>73.680000000000007</v>
  </a>
  <a r="1">
    <v>45.82</v>
  </a>
  <a r="1">
    <v>62.9</v>
  </a>
  <a r="1">
    <v>42.42</v>
  </a>
  <a r="1">
    <v>40.78</v>
  </a>
  <a r="1">
    <v>42.28</v>
  </a>
  <a r="1">
    <v>61.57</v>
  </a>
  <a r="1">
    <v>40.17</v>
  </a>
  <a r="1">
    <v>43.82</v>
  </a>
  <a r="1">
    <v>46</v>
  </a>
  <a r="1">
    <v>50.4</v>
  </a>
  <a r="1">
    <v>46.42</v>
  </a>
  <a r="1">
    <v>51.75</v>
  </a>
  <a r="1">
    <v>41.53</v>
  </a>
  <a r="1">
    <v>63.97</v>
  </a>
  <a r="1">
    <v>71.36</v>
  </a>
  <a r="1">
    <v>46.09</v>
  </a>
  <a r="1">
    <v>41.4</v>
  </a>
  <a r="1">
    <v>41.46</v>
  </a>
  <a r="1">
    <v>51.32</v>
  </a>
  <a r="1">
    <v>73</v>
  </a>
  <a r="1">
    <v>43.73</v>
  </a>
  <a r="1">
    <v>43.85</v>
  </a>
  <a r="1">
    <v>53.25</v>
  </a>
  <a r="1">
    <v>63.81</v>
  </a>
  <a r="1">
    <v>54.01</v>
  </a>
  <a r="1">
    <v>71.540000000000006</v>
  </a>
  <a r="1">
    <v>44.68</v>
  </a>
  <a r="1">
    <v>50.72</v>
  </a>
  <a r="1">
    <v>65.78</v>
  </a>
  <a r="1">
    <v>41.34</v>
  </a>
  <a r="1">
    <v>64.61</v>
  </a>
  <a r="1">
    <v>66.02</v>
  </a>
  <a r="1">
    <v>38.700000000000003</v>
  </a>
  <a r="1">
    <v>77.66</v>
  </a>
  <a r="1">
    <v>41.59</v>
  </a>
  <a r="1">
    <v>61.77</v>
  </a>
  <a r="1">
    <v>40.700000000000003</v>
  </a>
  <a r="1">
    <v>72.22</v>
  </a>
  <a r="1">
    <v>39.06</v>
  </a>
  <a r="1">
    <v>41.47</v>
  </a>
  <a r="1">
    <v>46.54</v>
  </a>
  <a r="1">
    <v>41.25</v>
  </a>
  <a r="1">
    <v>67.69</v>
  </a>
  <a r="1">
    <v>43.23</v>
  </a>
  <a r="1">
    <v>51.18</v>
  </a>
  <a r="1">
    <v>43.55</v>
  </a>
  <a r="1">
    <v>47.17</v>
  </a>
  <a r="1">
    <v>42.23</v>
  </a>
  <a r="1">
    <v>58.78</v>
  </a>
  <a r="1">
    <v>41.86</v>
  </a>
  <a r="1">
    <v>53.72</v>
  </a>
  <a r="1">
    <v>62.08</v>
  </a>
  <a r="1">
    <v>45.12</v>
  </a>
  <a r="1">
    <v>50.53</v>
  </a>
  <a r="1">
    <v>41.58</v>
  </a>
  <a r="1">
    <v>64.290000000000006</v>
  </a>
  <a r="1">
    <v>53.89</v>
  </a>
  <a r="1">
    <v>41.83</v>
  </a>
  <a r="1">
    <v>51.98</v>
  </a>
  <a r="1">
    <v>39.33</v>
  </a>
  <a r="1">
    <v>42.2</v>
  </a>
  <a r="1">
    <v>50.65</v>
  </a>
  <a r="1">
    <v>66.25</v>
  </a>
  <a r="1">
    <v>41.2</v>
  </a>
  <a r="1">
    <v>41.21</v>
  </a>
  <a r="1">
    <v>44.42</v>
  </a>
  <a r="1">
    <v>43.24</v>
  </a>
  <a r="1">
    <v>40.950000000000003</v>
  </a>
  <a r="1">
    <v>41.63</v>
  </a>
  <a r="1">
    <v>41.5</v>
  </a>
  <a r="1">
    <v>40.24</v>
  </a>
  <a r="1">
    <v>52.98</v>
  </a>
  <a r="1">
    <v>41.45</v>
  </a>
  <a r="1">
    <v>39.94</v>
  </a>
  <a r="1">
    <v>44.22</v>
  </a>
  <a r="1">
    <v>52.79</v>
  </a>
  <a r="1">
    <v>56.01</v>
  </a>
  <a r="1">
    <v>50.22</v>
  </a>
  <a r="1">
    <v>61.92</v>
  </a>
  <a r="1">
    <v>42.8</v>
  </a>
  <a r="1">
    <v>41.28</v>
  </a>
  <a r="1">
    <v>48.77</v>
  </a>
  <a r="1">
    <v>60.13</v>
  </a>
  <a r="1">
    <v>48.11</v>
  </a>
  <a r="1">
    <v>51.66</v>
  </a>
  <a r="1">
    <v>40.229999999999997</v>
  </a>
  <a r="1">
    <v>40.729999999999997</v>
  </a>
  <a r="1">
    <v>41.06</v>
  </a>
  <a r="1">
    <v>40.36</v>
  </a>
  <a r="1">
    <v>51.07</v>
  </a>
  <a r="1">
    <v>43.74</v>
  </a>
  <a r="1">
    <v>44</v>
  </a>
  <a r="1">
    <v>41.6</v>
  </a>
  <a r="1">
    <v>52.49</v>
  </a>
  <a r="1">
    <v>41.73</v>
  </a>
  <a r="1">
    <v>51.76</v>
  </a>
  <a r="1">
    <v>63.01</v>
  </a>
  <a r="1">
    <v>51.08</v>
  </a>
  <a r="1">
    <v>63.39</v>
  </a>
  <a r="1">
    <v>43.31</v>
  </a>
  <a r="1">
    <v>72.75</v>
  </a>
  <a r="1">
    <v>45.2</v>
  </a>
  <a r="1">
    <v>59.37</v>
  </a>
  <a r="1">
    <v>60.75</v>
  </a>
</arrayData>
</file>

<file path=xl/richData/rdrichvalue.xml><?xml version="1.0" encoding="utf-8"?>
<rvData xmlns="http://schemas.microsoft.com/office/spreadsheetml/2017/richdata" count="2818">
  <rv s="0">
    <fb>21.12</fb>
    <v>0</v>
  </rv>
  <rv s="0">
    <fb>77.040000000000006</fb>
    <v>0</v>
  </rv>
  <rv s="0">
    <fb>80.510000000000005</fb>
    <v>0</v>
  </rv>
  <rv s="0">
    <fb>159.11000000000001</fb>
    <v>0</v>
  </rv>
  <rv s="0">
    <fb>153.38</fb>
    <v>0</v>
  </rv>
  <rv s="0">
    <fb>675.7</fb>
    <v>0</v>
  </rv>
  <rv s="0">
    <fb>676.25</fb>
    <v>0</v>
  </rv>
  <rv s="0">
    <fb>73.8</fb>
    <v>0</v>
  </rv>
  <rv s="0">
    <fb>65.400000000000006</fb>
    <v>0</v>
  </rv>
  <rv s="0">
    <fb>20.98</fb>
    <v>0</v>
  </rv>
  <rv s="0">
    <fb>21.37</fb>
    <v>0</v>
  </rv>
  <rv s="0">
    <fb>177.45</fb>
    <v>0</v>
  </rv>
  <rv s="0">
    <fb>181.56</fb>
    <v>0</v>
  </rv>
  <rv s="0">
    <fb>754.18</fb>
    <v>0</v>
  </rv>
  <rv s="0">
    <fb>773.47</fb>
    <v>0</v>
  </rv>
  <rv s="0">
    <fb>182.72</fb>
    <v>0</v>
  </rv>
  <rv s="0">
    <fb>176.02</fb>
    <v>0</v>
  </rv>
  <rv s="0">
    <fb>64.040000000000006</fb>
    <v>0</v>
  </rv>
  <rv s="0">
    <fb>61.79</fb>
    <v>0</v>
  </rv>
  <rv s="0">
    <fb>169.15</fb>
    <v>0</v>
  </rv>
  <rv s="0">
    <fb>180.08</fb>
    <v>0</v>
  </rv>
  <rv s="0">
    <fb>64.33</fb>
    <v>0</v>
  </rv>
  <rv s="0">
    <fb>63.77</fb>
    <v>0</v>
  </rv>
  <rv s="0">
    <fb>185.59</fb>
    <v>0</v>
  </rv>
  <rv s="0">
    <fb>185.98</fb>
    <v>0</v>
  </rv>
  <rv s="0">
    <fb>60.55</fb>
    <v>0</v>
  </rv>
  <rv s="0">
    <fb>60.57</fb>
    <v>0</v>
  </rv>
  <rv s="0">
    <fb>182.05</fb>
    <v>0</v>
  </rv>
  <rv s="0">
    <fb>181.27</fb>
    <v>0</v>
  </rv>
  <rv s="0">
    <fb>276.48</fb>
    <v>0</v>
  </rv>
  <rv s="0">
    <fb>275.51</fb>
    <v>0</v>
  </rv>
  <rv s="0">
    <fb>176.95</fb>
    <v>0</v>
  </rv>
  <rv s="0">
    <fb>177.13</fb>
    <v>0</v>
  </rv>
  <rv s="0">
    <fb>21.56</fb>
    <v>0</v>
  </rv>
  <rv s="0">
    <fb>21.43</fb>
    <v>0</v>
  </rv>
  <rv s="0">
    <fb>176.63</fb>
    <v>0</v>
  </rv>
  <rv s="0">
    <fb>170.08</fb>
    <v>0</v>
  </rv>
  <rv s="0">
    <fb>753.82</fb>
    <v>0</v>
  </rv>
  <rv s="0">
    <fb>675.32</fb>
    <v>0</v>
  </rv>
  <rv s="0">
    <fb>151.21</fb>
    <v>0</v>
  </rv>
  <rv s="0">
    <fb>159.13</fb>
    <v>0</v>
  </rv>
  <rv s="0">
    <fb>60.85</fb>
    <v>0</v>
  </rv>
  <rv s="0">
    <fb>55.84</fb>
    <v>0</v>
  </rv>
  <rv s="0">
    <fb>623.16999999999996</fb>
    <v>0</v>
  </rv>
  <rv s="0">
    <fb>617.85</fb>
    <v>0</v>
  </rv>
  <rv s="0">
    <fb>150.71</fb>
    <v>0</v>
  </rv>
  <rv s="0">
    <fb>145.38</fb>
    <v>0</v>
  </rv>
  <rv s="0">
    <fb>580.45000000000005</fb>
    <v>0</v>
  </rv>
  <rv s="0">
    <fb>541.45000000000005</fb>
    <v>0</v>
  </rv>
  <rv s="0">
    <fb>16.600000000000001</fb>
    <v>0</v>
  </rv>
  <rv s="0">
    <fb>16.100000000000001</fb>
    <v>0</v>
  </rv>
  <rv s="0">
    <fb>132.78</fb>
    <v>0</v>
  </rv>
  <rv s="0">
    <fb>129.94999999999999</fb>
    <v>0</v>
  </rv>
  <rv s="0">
    <fb>51.39</fb>
    <v>0</v>
  </rv>
  <rv s="0">
    <fb>51.83</fb>
    <v>0</v>
  </rv>
  <rv s="0">
    <fb>118.82</fb>
    <v>0</v>
  </rv>
  <rv s="0">
    <fb>120.81</fb>
    <v>0</v>
  </rv>
  <rv s="0">
    <fb>14.82</fb>
    <v>0</v>
  </rv>
  <rv s="0">
    <fb>14.33</fb>
    <v>0</v>
  </rv>
  <rv s="0">
    <fb>114.06</fb>
    <v>0</v>
  </rv>
  <rv s="0">
    <fb>112.25</fb>
    <v>0</v>
  </rv>
  <rv s="0">
    <fb>216.63</fb>
    <v>0</v>
  </rv>
  <rv s="0">
    <fb>219.51</fb>
    <v>0</v>
  </rv>
  <rv s="0">
    <fb>111</fb>
    <v>0</v>
  </rv>
  <rv s="0">
    <fb>108.38</fb>
    <v>0</v>
  </rv>
  <rv s="0">
    <fb>13.65</fb>
    <v>0</v>
  </rv>
  <rv s="0">
    <fb>13.19</fb>
    <v>0</v>
  </rv>
  <rv s="0">
    <fb>103.94</fb>
    <v>0</v>
  </rv>
  <rv s="0">
    <fb>101.99</fb>
    <v>0</v>
  </rv>
  <rv s="0">
    <fb>452.34</fb>
    <v>0</v>
  </rv>
  <rv s="0">
    <fb>435.87</fb>
    <v>0</v>
  </rv>
  <rv s="0">
    <fb>97.89</fb>
    <v>0</v>
  </rv>
  <rv s="0">
    <fb>93.44</fb>
    <v>0</v>
  </rv>
  <rv s="0">
    <fb>11.87</fb>
    <v>0</v>
  </rv>
  <rv s="0">
    <fb>11.81</fb>
    <v>0</v>
  </rv>
  <rv s="0">
    <fb>51.64</fb>
    <v>0</v>
  </rv>
  <rv s="0">
    <fb>49.7</fb>
    <v>0</v>
  </rv>
  <rv s="0">
    <fb>11.37</fb>
    <v>0</v>
  </rv>
  <rv s="0">
    <fb>11.61</fb>
    <v>0</v>
  </rv>
  <rv s="0">
    <fb>47.81</fb>
    <v>0</v>
  </rv>
  <rv s="0">
    <fb>47.86</fb>
    <v>0</v>
  </rv>
  <rv s="0">
    <fb>192.01</fb>
    <v>0</v>
  </rv>
  <rv s="0">
    <fb>197.35</fb>
    <v>0</v>
  </rv>
  <rv s="0">
    <fb>48.18</fb>
    <v>0</v>
  </rv>
  <rv s="0">
    <fb>46.87</fb>
    <v>0</v>
  </rv>
  <rv s="0">
    <fb>11.84</fb>
    <v>0</v>
  </rv>
  <rv s="0">
    <fb>12.3</fb>
    <v>0</v>
  </rv>
  <rv s="0">
    <fb>46.03</fb>
    <v>0</v>
  </rv>
  <rv s="0">
    <fb>45.37</fb>
    <v>0</v>
  </rv>
  <rv s="0">
    <fb>205.54</fb>
    <v>0</v>
  </rv>
  <rv s="0">
    <fb>193.45</fb>
    <v>0</v>
  </rv>
  <rv s="0">
    <fb>43.46</fb>
    <v>0</v>
  </rv>
  <rv s="0">
    <fb>44.28</fb>
    <v>0</v>
  </rv>
  <rv s="0">
    <fb>11.98</fb>
    <v>0</v>
  </rv>
  <rv s="0">
    <fb>12.1</fb>
    <v>0</v>
  </rv>
  <rv s="0">
    <fb>468.17</fb>
    <v>0</v>
  </rv>
  <rv s="0">
    <fb>461.19</fb>
    <v>0</v>
  </rv>
  <rv s="0">
    <fb>11.92</fb>
    <v>0</v>
  </rv>
  <rv s="0">
    <fb>11.74</fb>
    <v>0</v>
  </rv>
  <rv s="0">
    <fb>451.8</fb>
    <v>0</v>
  </rv>
  <rv s="0">
    <fb>460.84</fb>
    <v>0</v>
  </rv>
  <rv s="0">
    <fb>11.38</fb>
    <v>0</v>
  </rv>
  <rv s="0">
    <fb>425.84</fb>
    <v>0</v>
  </rv>
  <rv s="0">
    <fb>404.42</fb>
    <v>0</v>
  </rv>
  <rv s="0">
    <fb>43.59</fb>
    <v>0</v>
  </rv>
  <rv s="0">
    <fb>43.72</fb>
    <v>0</v>
  </rv>
  <rv s="0">
    <fb>167.56</fb>
    <v>0</v>
  </rv>
  <rv s="0">
    <fb>179.4</fb>
    <v>0</v>
  </rv>
  <rv s="0">
    <fb>43.95</fb>
    <v>0</v>
  </rv>
  <rv s="0">
    <fb>44.54</fb>
    <v>0</v>
  </rv>
  <rv s="0">
    <fb>435.44</fb>
    <v>0</v>
  </rv>
  <rv s="0">
    <fb>451.19</fb>
    <v>0</v>
  </rv>
  <rv s="0">
    <fb>191.26</fb>
    <v>0</v>
  </rv>
  <rv s="0">
    <fb>188.87</fb>
    <v>0</v>
  </rv>
  <rv s="0">
    <fb>434.13</fb>
    <v>0</v>
  </rv>
  <rv s="0">
    <fb>429.8</fb>
    <v>0</v>
  </rv>
  <rv s="0">
    <fb>44.58</fb>
    <v>0</v>
  </rv>
  <rv s="0">
    <fb>42.17</fb>
    <v>0</v>
  </rv>
  <rv s="0">
    <fb>190.11</fb>
    <v>0</v>
  </rv>
  <rv s="0">
    <fb>190.01</fb>
    <v>0</v>
  </rv>
  <rv s="0">
    <fb>41.56</fb>
    <v>0</v>
  </rv>
  <rv s="0">
    <fb>41.82</fb>
    <v>0</v>
  </rv>
  <rv s="0">
    <fb>185.33</fb>
    <v>0</v>
  </rv>
  <rv s="0">
    <fb>186.14</fb>
    <v>0</v>
  </rv>
  <rv s="0">
    <fb>41.22</fb>
    <v>0</v>
  </rv>
  <rv s="0">
    <fb>41.35</fb>
    <v>0</v>
  </rv>
  <rv s="0">
    <fb>448.08</fb>
    <v>0</v>
  </rv>
  <rv s="0">
    <fb>457.11</fb>
    <v>0</v>
  </rv>
  <rv s="0">
    <fb>41.3</fb>
    <v>0</v>
  </rv>
  <rv s="0">
    <fb>41.57</fb>
    <v>0</v>
  </rv>
  <rv s="0">
    <fb>193.68</fb>
    <v>0</v>
  </rv>
  <rv s="0">
    <fb>444.29</fb>
    <v>0</v>
  </rv>
  <rv s="0">
    <fb>447.57</fb>
    <v>0</v>
  </rv>
  <rv s="0">
    <fb>187.42</fb>
    <v>0</v>
  </rv>
  <rv s="0">
    <fb>176.17</fb>
    <v>0</v>
  </rv>
  <rv s="0">
    <fb>20.92</fb>
    <v>0</v>
  </rv>
  <rv s="0">
    <fb>78.58</fb>
    <v>0</v>
  </rv>
  <rv s="0">
    <fb>65.73</fb>
    <v>0</v>
  </rv>
  <rv s="0">
    <fb>174.25</fb>
    <v>0</v>
  </rv>
  <rv s="0">
    <fb>184.93</fb>
    <v>0</v>
  </rv>
  <rv s="0">
    <fb>279.83</fb>
    <v>0</v>
  </rv>
  <rv s="0">
    <fb>289.3</fb>
    <v>0</v>
  </rv>
  <rv s="0">
    <fb>186.77</fb>
    <v>0</v>
  </rv>
  <rv s="0">
    <fb>173.05</fb>
    <v>0</v>
  </rv>
  <rv s="0">
    <fb>21.31</fb>
    <v>0</v>
  </rv>
  <rv s="0">
    <fb>22.01</fb>
    <v>0</v>
  </rv>
  <rv s="0">
    <fb>789.23</fb>
    <v>0</v>
  </rv>
  <rv s="0">
    <fb>787.07</fb>
    <v>0</v>
  </rv>
  <rv s="0">
    <fb>178.15</fb>
    <v>0</v>
  </rv>
  <rv s="0">
    <fb>175.21</fb>
    <v>0</v>
  </rv>
  <rv s="0">
    <fb>767.79</fb>
    <v>0</v>
  </rv>
  <rv s="0">
    <fb>730.05</fb>
    <v>0</v>
  </rv>
  <rv s="0">
    <fb>61.12</fb>
    <v>0</v>
  </rv>
  <rv s="0">
    <fb>60.68</fb>
    <v>0</v>
  </rv>
  <rv s="0">
    <fb>680.57</fb>
    <v>0</v>
  </rv>
  <rv s="0">
    <fb>668.98</fb>
    <v>0</v>
  </rv>
  <rv s="0">
    <fb>60.25</fb>
    <v>0</v>
  </rv>
  <rv s="0">
    <fb>61.89</fb>
    <v>0</v>
  </rv>
  <rv s="0">
    <fb>660.93</fb>
    <v>0</v>
  </rv>
  <rv s="0">
    <fb>557.59</fb>
    <v>0</v>
  </rv>
  <rv s="0">
    <fb>138.84</fb>
    <v>0</v>
  </rv>
  <rv s="0">
    <fb>105.03</fb>
    <v>0</v>
  </rv>
  <rv s="0">
    <fb>13.33</fb>
    <v>0</v>
  </rv>
  <rv s="0">
    <fb>13.1</fb>
    <v>0</v>
  </rv>
  <rv s="0">
    <fb>457.59</fb>
    <v>0</v>
  </rv>
  <rv s="0">
    <fb>434.26</fb>
    <v>0</v>
  </rv>
  <rv s="0">
    <fb>51.43</fb>
    <v>0</v>
  </rv>
  <rv s="0">
    <fb>52.37</fb>
    <v>0</v>
  </rv>
  <rv s="0">
    <fb>12.29</fb>
    <v>0</v>
  </rv>
  <rv s="0">
    <fb>12.13</fb>
    <v>0</v>
  </rv>
  <rv s="0">
    <fb>51.31</fb>
    <v>0</v>
  </rv>
  <rv s="0">
    <fb>46.16</fb>
    <v>0</v>
  </rv>
  <rv s="0">
    <fb>203.77</fb>
    <v>0</v>
  </rv>
  <rv s="0">
    <fb>199.23</fb>
    <v>0</v>
  </rv>
  <rv s="0">
    <fb>11.82</fb>
    <v>0</v>
  </rv>
  <rv s="0">
    <fb>12.15</fb>
    <v>0</v>
  </rv>
  <rv s="0">
    <fb>472.49</fb>
    <v>0</v>
  </rv>
  <rv s="0">
    <fb>464.59</fb>
    <v>0</v>
  </rv>
  <rv s="0">
    <fb>12.02</fb>
    <v>0</v>
  </rv>
  <rv s="0">
    <fb>11.42</fb>
    <v>0</v>
  </rv>
  <rv s="0">
    <fb>44.18</fb>
    <v>0</v>
  </rv>
  <rv s="0">
    <fb>179.91</fb>
    <v>0</v>
  </rv>
  <rv s="0">
    <fb>177.88</fb>
    <v>0</v>
  </rv>
  <rv s="0">
    <fb>43.39</fb>
    <v>0</v>
  </rv>
  <rv s="0">
    <fb>43.57</fb>
    <v>0</v>
  </rv>
  <rv s="0">
    <fb>171.3</fb>
    <v>0</v>
  </rv>
  <rv s="0">
    <fb>178.56</fb>
    <v>0</v>
  </rv>
  <rv s="0">
    <fb>399.38</fb>
    <v>0</v>
  </rv>
  <rv s="0">
    <fb>400.46</fb>
    <v>0</v>
  </rv>
  <rv s="0">
    <fb>44.07</fb>
    <v>0</v>
  </rv>
  <rv s="0">
    <fb>45.93</fb>
    <v>0</v>
  </rv>
  <rv s="0">
    <fb>66.260000000000005</fb>
    <v>0</v>
  </rv>
  <rv s="0">
    <fb>680.27</fb>
    <v>0</v>
  </rv>
  <rv s="0">
    <fb>698.97</fb>
    <v>0</v>
  </rv>
  <rv s="0">
    <fb>155.07</fb>
    <v>0</v>
  </rv>
  <rv s="0">
    <fb>138.08000000000001</fb>
    <v>0</v>
  </rv>
  <rv s="0">
    <fb>612.79999999999995</fb>
    <v>0</v>
  </rv>
  <rv s="0">
    <fb>609.59</fb>
    <v>0</v>
  </rv>
  <rv s="0">
    <fb>137.91999999999999</fb>
    <v>0</v>
  </rv>
  <rv s="0">
    <fb>150.61000000000001</fb>
    <v>0</v>
  </rv>
  <rv s="0">
    <fb>18.13</fb>
    <v>0</v>
  </rv>
  <rv s="0">
    <fb>12.36</fb>
    <v>0</v>
  </rv>
  <rv s="0">
    <fb>198</fb>
    <v>0</v>
  </rv>
  <rv s="0">
    <fb>201.21</fb>
    <v>0</v>
  </rv>
  <rv s="0">
    <fb>46.75</fb>
    <v>0</v>
  </rv>
  <rv s="0">
    <fb>203.43</fb>
    <v>0</v>
  </rv>
  <rv s="0">
    <fb>45.1</fb>
    <v>0</v>
  </rv>
  <rv s="0">
    <fb>44.05</fb>
    <v>0</v>
  </rv>
  <rv s="0">
    <fb>448.83</fb>
    <v>0</v>
  </rv>
  <rv s="0">
    <fb>42.49</fb>
    <v>0</v>
  </rv>
  <rv s="0">
    <fb>43.5</fb>
    <v>0</v>
  </rv>
  <rv s="0">
    <fb>450.18</fb>
    <v>0</v>
  </rv>
  <rv s="0">
    <fb>44.15</fb>
    <v>0</v>
  </rv>
  <rv s="0">
    <fb>44.65</fb>
    <v>0</v>
  </rv>
  <rv s="0">
    <fb>194.09</fb>
    <v>0</v>
  </rv>
  <rv s="0">
    <fb>176.16</fb>
    <v>0</v>
  </rv>
  <rv s="0">
    <fb>408.99</fb>
    <v>0</v>
  </rv>
  <rv s="0">
    <fb>451.24</fb>
    <v>0</v>
  </rv>
  <rv s="0">
    <fb>194.55</fb>
    <v>0</v>
  </rv>
  <rv s="0">
    <fb>187.34</fb>
    <v>0</v>
  </rv>
  <rv s="0">
    <fb>427.76</fb>
    <v>0</v>
  </rv>
  <rv s="0">
    <fb>416.82</fb>
    <v>0</v>
  </rv>
  <rv s="0">
    <fb>44.33</fb>
    <v>0</v>
  </rv>
  <rv s="1">
    <v>1</v>
    <v>NIFTYBEES</v>
    <v>Daily</v>
    <v>44999</v>
    <v>44999</v>
    <v>0</v>
    <v>1</v>
    <v>638143488000000000,639087303704708071,0</v>
    <v>0</v>
    <v>ahj6w7</v>
    <v>XNSE:NIFTYBEES</v>
    <v>1</v>
  </rv>
  <rv s="1">
    <v>1</v>
    <v>NIFTYBEES</v>
    <v>Daily</v>
    <v>45631</v>
    <v>45631</v>
    <v>0</v>
    <v>1</v>
    <v>638689536000000000,639087303705683789,0</v>
    <v>0</v>
    <v>ahj6w7</v>
    <v>XNSE:NIFTYBEES</v>
    <v>2</v>
  </rv>
  <rv s="1">
    <v>1</v>
    <v>NIFTYBEES</v>
    <v>Daily</v>
    <v>45273</v>
    <v>45273</v>
    <v>0</v>
    <v>1</v>
    <v>638380224000000000,639087303706460975,0</v>
    <v>0</v>
    <v>ahj6w7</v>
    <v>XNSE:NIFTYBEES</v>
    <v>3</v>
  </rv>
  <rv s="1">
    <v>1</v>
    <v>NIFTYBEES</v>
    <v>Daily</v>
    <v>44574</v>
    <v>44574</v>
    <v>0</v>
    <v>1</v>
    <v>637776288000000000,639087303706610322,0</v>
    <v>0</v>
    <v>ahj6w7</v>
    <v>XNSE:NIFTYBEES</v>
    <v>4</v>
  </rv>
  <rv s="1">
    <v>1</v>
    <v>NIFTYBEES</v>
    <v>Daily</v>
    <v>45664</v>
    <v>45664</v>
    <v>0</v>
    <v>1</v>
    <v>638718048000000000,639087303706779567,0</v>
    <v>0</v>
    <v>ahj6w7</v>
    <v>XNSE:NIFTYBEES</v>
    <v>5</v>
  </rv>
  <rv s="1">
    <v>1</v>
    <v>NIFTYBEES</v>
    <v>Daily</v>
    <v>45671</v>
    <v>45671</v>
    <v>0</v>
    <v>1</v>
    <v>638724096000000000,639087303708664507,0</v>
    <v>0</v>
    <v>ahj6w7</v>
    <v>XNSE:NIFTYBEES</v>
    <v>6</v>
  </rv>
  <rv s="1">
    <v>1</v>
    <v>NIFTYBEES</v>
    <v>Daily</v>
    <v>45680</v>
    <v>45680</v>
    <v>0</v>
    <v>1</v>
    <v>638731872000000000,639087303707997436,0</v>
    <v>0</v>
    <v>ahj6w7</v>
    <v>XNSE:NIFTYBEES</v>
    <v>7</v>
  </rv>
  <rv s="1">
    <v>1</v>
    <v>NIFTYBEES</v>
    <v>Daily</v>
    <v>44726</v>
    <v>44726</v>
    <v>0</v>
    <v>1</v>
    <v>637907616000000000,639087303708734370,0</v>
    <v>0</v>
    <v>ahj6w7</v>
    <v>XNSE:NIFTYBEES</v>
    <v>8</v>
  </rv>
  <rv s="1">
    <v>1</v>
    <v>NIFTYBEES</v>
    <v>Daily</v>
    <v>45300</v>
    <v>45300</v>
    <v>0</v>
    <v>1</v>
    <v>638403552000000000,639087303709935281,0</v>
    <v>0</v>
    <v>ahj6w7</v>
    <v>XNSE:NIFTYBEES</v>
    <v>9</v>
  </rv>
  <rv s="1">
    <v>1</v>
    <v>NIFTYBEES</v>
    <v>Daily</v>
    <v>45496</v>
    <v>45496</v>
    <v>0</v>
    <v>1</v>
    <v>638572896000000000,639087303708113705,0</v>
    <v>0</v>
    <v>ahj6w7</v>
    <v>XNSE:NIFTYBEES</v>
    <v>10</v>
  </rv>
  <rv s="1">
    <v>1</v>
    <v>NIFTYBEES</v>
    <v>Daily</v>
    <v>45461</v>
    <v>45461</v>
    <v>0</v>
    <v>1</v>
    <v>638542656000000000,639087303708182822,0</v>
    <v>0</v>
    <v>ahj6w7</v>
    <v>XNSE:NIFTYBEES</v>
    <v>11</v>
  </rv>
  <rv s="1">
    <v>1</v>
    <v>NIFTYBEES</v>
    <v>Daily</v>
    <v>44775</v>
    <v>44775</v>
    <v>0</v>
    <v>1</v>
    <v>637949952000000000,639087303710267802,0</v>
    <v>0</v>
    <v>ahj6w7</v>
    <v>XNSE:NIFTYBEES</v>
    <v>12</v>
  </rv>
  <rv s="1">
    <v>1</v>
    <v>NIFTYBEES</v>
    <v>Daily</v>
    <v>45505</v>
    <v>45505</v>
    <v>0</v>
    <v>1</v>
    <v>638580672000000000,639087303710634546,0</v>
    <v>0</v>
    <v>ahj6w7</v>
    <v>XNSE:NIFTYBEES</v>
    <v>13</v>
  </rv>
  <rv s="1">
    <v>1</v>
    <v>NIFTYBEES</v>
    <v>Daily</v>
    <v>45294</v>
    <v>45294</v>
    <v>0</v>
    <v>1</v>
    <v>638398368000000000,639087303712094876,0</v>
    <v>0</v>
    <v>ahj6w7</v>
    <v>XNSE:NIFTYBEES</v>
    <v>14</v>
  </rv>
  <rv s="1">
    <v>1</v>
    <v>NIFTYBEES</v>
    <v>Daily</v>
    <v>45638</v>
    <v>45638</v>
    <v>0</v>
    <v>1</v>
    <v>638695584000000000,639087303712828357,0</v>
    <v>0</v>
    <v>ahj6w7</v>
    <v>XNSE:NIFTYBEES</v>
    <v>15</v>
  </rv>
  <rv s="1">
    <v>1</v>
    <v>NIFTYBEES</v>
    <v>Daily</v>
    <v>44691</v>
    <v>44691</v>
    <v>0</v>
    <v>1</v>
    <v>637877376000000000,639087303711359448,0</v>
    <v>0</v>
    <v>ahj6w7</v>
    <v>XNSE:NIFTYBEES</v>
    <v>16</v>
  </rv>
  <rv s="1">
    <v>1</v>
    <v>NIFTYBEES</v>
    <v>Daily</v>
    <v>45126</v>
    <v>45126</v>
    <v>0</v>
    <v>1</v>
    <v>638253216000000000,639087303712136033,0</v>
    <v>0</v>
    <v>ahj6w7</v>
    <v>XNSE:NIFTYBEES</v>
    <v>17</v>
  </rv>
  <rv s="1">
    <v>1</v>
    <v>NIFTYBEES</v>
    <v>Daily</v>
    <v>45363</v>
    <v>45363</v>
    <v>0</v>
    <v>1</v>
    <v>638457984000000000,639087303712454630,0</v>
    <v>0</v>
    <v>ahj6w7</v>
    <v>XNSE:NIFTYBEES</v>
    <v>18</v>
  </rv>
  <rv s="1">
    <v>1</v>
    <v>NIFTYBEES</v>
    <v>Daily</v>
    <v>45594</v>
    <v>45594</v>
    <v>0</v>
    <v>1</v>
    <v>638657568000000000,639087303711825821,0</v>
    <v>0</v>
    <v>ahj6w7</v>
    <v>XNSE:NIFTYBEES</v>
    <v>19</v>
  </rv>
  <rv s="1">
    <v>1</v>
    <v>NIFTYBEES</v>
    <v>Daily</v>
    <v>45573</v>
    <v>45573</v>
    <v>0</v>
    <v>1</v>
    <v>638639424000000000,639087303712295921,0</v>
    <v>0</v>
    <v>ahj6w7</v>
    <v>XNSE:NIFTYBEES</v>
    <v>20</v>
  </rv>
  <rv s="1">
    <v>1</v>
    <v>NIFTYBEES</v>
    <v>Daily</v>
    <v>45588</v>
    <v>45588</v>
    <v>0</v>
    <v>1</v>
    <v>638652384000000000,639087303715166532,0</v>
    <v>0</v>
    <v>ahj6w7</v>
    <v>XNSE:NIFTYBEES</v>
    <v>21</v>
  </rv>
  <rv s="1">
    <v>1</v>
    <v>NIFTYBEES</v>
    <v>Daily</v>
    <v>45756</v>
    <v>45756</v>
    <v>0</v>
    <v>1</v>
    <v>638797536000000000,639087303715636631,0</v>
    <v>0</v>
    <v>ahj6w7</v>
    <v>XNSE:NIFTYBEES</v>
    <v>22</v>
  </rv>
  <rv s="1">
    <v>1</v>
    <v>NIFTYBEES</v>
    <v>Daily</v>
    <v>45323</v>
    <v>45323</v>
    <v>0</v>
    <v>1</v>
    <v>638423424000000000,639087303711814809,0</v>
    <v>0</v>
    <v>ahj6w7</v>
    <v>XNSE:NIFTYBEES</v>
    <v>23</v>
  </rv>
  <rv s="1">
    <v>1</v>
    <v>NIFTYBEES</v>
    <v>Daily</v>
    <v>44719</v>
    <v>44719</v>
    <v>0</v>
    <v>1</v>
    <v>637901568000000000,639087303714375384,0</v>
    <v>0</v>
    <v>ahj6w7</v>
    <v>XNSE:NIFTYBEES</v>
    <v>24</v>
  </rv>
  <rv s="1">
    <v>1</v>
    <v>NIFTYBEES</v>
    <v>Daily</v>
    <v>45602</v>
    <v>45602</v>
    <v>0</v>
    <v>1</v>
    <v>638664480000000000,639087303712675008,0</v>
    <v>0</v>
    <v>ahj6w7</v>
    <v>XNSE:NIFTYBEES</v>
    <v>25</v>
  </rv>
  <rv s="1">
    <v>1</v>
    <v>NIFTYBEES</v>
    <v>Daily</v>
    <v>44532</v>
    <v>44532</v>
    <v>0</v>
    <v>1</v>
    <v>637740000000000000,639087303713515192,0</v>
    <v>0</v>
    <v>ahj6w7</v>
    <v>XNSE:NIFTYBEES</v>
    <v>26</v>
  </rv>
  <rv s="1">
    <v>1</v>
    <v>NIFTYBEES</v>
    <v>Daily</v>
    <v>45391</v>
    <v>45391</v>
    <v>0</v>
    <v>1</v>
    <v>638482176000000000,639087303714345378,0</v>
    <v>0</v>
    <v>ahj6w7</v>
    <v>XNSE:NIFTYBEES</v>
    <v>27</v>
  </rv>
  <rv s="1">
    <v>1</v>
    <v>NIFTYBEES</v>
    <v>Daily</v>
    <v>44924</v>
    <v>44924</v>
    <v>0</v>
    <v>1</v>
    <v>638078688000000000,639087303715595646,0</v>
    <v>0</v>
    <v>ahj6w7</v>
    <v>XNSE:NIFTYBEES</v>
    <v>28</v>
  </rv>
  <rv s="1">
    <v>1</v>
    <v>NIFTYBEES</v>
    <v>Daily</v>
    <v>45645</v>
    <v>45645</v>
    <v>0</v>
    <v>1</v>
    <v>638701632000000000,639087303711777634,0</v>
    <v>0</v>
    <v>ahj6w7</v>
    <v>XNSE:NIFTYBEES</v>
    <v>29</v>
  </rv>
  <rv s="1">
    <v>1</v>
    <v>NIFTYBEES</v>
    <v>Daily</v>
    <v>44882</v>
    <v>44882</v>
    <v>0</v>
    <v>1</v>
    <v>638042400000000000,639087303712105608,0</v>
    <v>0</v>
    <v>ahj6w7</v>
    <v>XNSE:NIFTYBEES</v>
    <v>30</v>
  </rv>
  <rv s="1">
    <v>1</v>
    <v>NIFTYBEES</v>
    <v>Daily</v>
    <v>45392</v>
    <v>45392</v>
    <v>0</v>
    <v>1</v>
    <v>638483040000000000,639087303712436763,0</v>
    <v>0</v>
    <v>ahj6w7</v>
    <v>XNSE:NIFTYBEES</v>
    <v>31</v>
  </rv>
  <rv s="1">
    <v>1</v>
    <v>NIFTYBEES</v>
    <v>Daily</v>
    <v>44749</v>
    <v>44749</v>
    <v>0</v>
    <v>1</v>
    <v>637927488000000000,639087303712775267,0</v>
    <v>0</v>
    <v>ahj6w7</v>
    <v>XNSE:NIFTYBEES</v>
    <v>32</v>
  </rv>
  <rv s="1">
    <v>1</v>
    <v>NIFTYBEES</v>
    <v>Daily</v>
    <v>44826</v>
    <v>44826</v>
    <v>0</v>
    <v>1</v>
    <v>637994016000000000,639087303711876249,0</v>
    <v>0</v>
    <v>ahj6w7</v>
    <v>XNSE:NIFTYBEES</v>
    <v>33</v>
  </rv>
  <rv s="1">
    <v>1</v>
    <v>NIFTYBEES</v>
    <v>Daily</v>
    <v>45546</v>
    <v>45546</v>
    <v>0</v>
    <v>1</v>
    <v>638616096000000000,639087303711931109,0</v>
    <v>0</v>
    <v>ahj6w7</v>
    <v>XNSE:NIFTYBEES</v>
    <v>34</v>
  </rv>
  <rv s="1">
    <v>1</v>
    <v>NIFTYBEES</v>
    <v>Daily</v>
    <v>45260</v>
    <v>45260</v>
    <v>0</v>
    <v>1</v>
    <v>638368992000000000,639087303712244629,0</v>
    <v>0</v>
    <v>ahj6w7</v>
    <v>XNSE:NIFTYBEES</v>
    <v>35</v>
  </rv>
  <rv s="1">
    <v>1</v>
    <v>NIFTYBEES</v>
    <v>Daily</v>
    <v>45791</v>
    <v>45791</v>
    <v>0</v>
    <v>1</v>
    <v>638827776000000000,639087303712349251,0</v>
    <v>0</v>
    <v>ahj6w7</v>
    <v>XNSE:NIFTYBEES</v>
    <v>36</v>
  </rv>
  <rv s="1">
    <v>1</v>
    <v>NIFTYBEES</v>
    <v>Daily</v>
    <v>45792</v>
    <v>45792</v>
    <v>0</v>
    <v>1</v>
    <v>638828640000000000,639087303712683064,0</v>
    <v>0</v>
    <v>ahj6w7</v>
    <v>XNSE:NIFTYBEES</v>
    <v>37</v>
  </rv>
  <rv s="1">
    <v>1</v>
    <v>NIFTYBEES</v>
    <v>Daily</v>
    <v>45764</v>
    <v>45764</v>
    <v>0</v>
    <v>1</v>
    <v>638804448000000000,639087303712703540,0</v>
    <v>0</v>
    <v>ahj6w7</v>
    <v>XNSE:NIFTYBEES</v>
    <v>38</v>
  </rv>
  <rv s="1">
    <v>1</v>
    <v>NIFTYBEES</v>
    <v>Daily</v>
    <v>45209</v>
    <v>45209</v>
    <v>0</v>
    <v>1</v>
    <v>638324928000000000,639087303715046502,0</v>
    <v>0</v>
    <v>ahj6w7</v>
    <v>XNSE:NIFTYBEES</v>
    <v>39</v>
  </rv>
  <rv s="1">
    <v>1</v>
    <v>NIFTYBEES</v>
    <v>Daily</v>
    <v>44754</v>
    <v>44754</v>
    <v>0</v>
    <v>1</v>
    <v>637931808000000000,639087303717255574,0</v>
    <v>0</v>
    <v>ahj6w7</v>
    <v>XNSE:NIFTYBEES</v>
    <v>40</v>
  </rv>
  <rv s="1">
    <v>1</v>
    <v>NIFTYBEES</v>
    <v>Daily</v>
    <v>44791</v>
    <v>44791</v>
    <v>0</v>
    <v>1</v>
    <v>637963776000000000,639087303720590040,0</v>
    <v>0</v>
    <v>ahj6w7</v>
    <v>XNSE:NIFTYBEES</v>
    <v>41</v>
  </rv>
  <rv s="1">
    <v>1</v>
    <v>NIFTYBEES</v>
    <v>Daily</v>
    <v>45427</v>
    <v>45427</v>
    <v>0</v>
    <v>1</v>
    <v>638513280000000000,639087303721050137,0</v>
    <v>0</v>
    <v>ahj6w7</v>
    <v>XNSE:NIFTYBEES</v>
    <v>42</v>
  </rv>
  <rv s="1">
    <v>1</v>
    <v>NIFTYBEES</v>
    <v>Daily</v>
    <v>45770</v>
    <v>45770</v>
    <v>0</v>
    <v>1</v>
    <v>638809632000000000,639087303722450456,0</v>
    <v>0</v>
    <v>ahj6w7</v>
    <v>XNSE:NIFTYBEES</v>
    <v>43</v>
  </rv>
  <rv s="1">
    <v>1</v>
    <v>NIFTYBEES</v>
    <v>Daily</v>
    <v>45302</v>
    <v>45302</v>
    <v>0</v>
    <v>1</v>
    <v>638405280000000000,639087303718248880,0</v>
    <v>0</v>
    <v>ahj6w7</v>
    <v>XNSE:NIFTYBEES</v>
    <v>44</v>
  </rv>
  <rv s="1">
    <v>1</v>
    <v>NIFTYBEES</v>
    <v>Daily</v>
    <v>45672</v>
    <v>45672</v>
    <v>0</v>
    <v>1</v>
    <v>638724960000000000,639087303718481505,0</v>
    <v>0</v>
    <v>ahj6w7</v>
    <v>XNSE:NIFTYBEES</v>
    <v>45</v>
  </rv>
  <rv s="1">
    <v>1</v>
    <v>NIFTYBEES</v>
    <v>Daily</v>
    <v>45251</v>
    <v>45251</v>
    <v>0</v>
    <v>1</v>
    <v>638361216000000000,639087303718706868,0</v>
    <v>0</v>
    <v>ahj6w7</v>
    <v>XNSE:NIFTYBEES</v>
    <v>46</v>
  </rv>
  <rv s="1">
    <v>1</v>
    <v>NIFTYBEES</v>
    <v>Daily</v>
    <v>44560</v>
    <v>44560</v>
    <v>0</v>
    <v>1</v>
    <v>637764192000000000,639087303719865431,0</v>
    <v>0</v>
    <v>ahj6w7</v>
    <v>XNSE:NIFTYBEES</v>
    <v>47</v>
  </rv>
  <rv s="1">
    <v>1</v>
    <v>NIFTYBEES</v>
    <v>Daily</v>
    <v>45685</v>
    <v>45685</v>
    <v>0</v>
    <v>1</v>
    <v>638736192000000000,639087303718074133,0</v>
    <v>0</v>
    <v>ahj6w7</v>
    <v>XNSE:NIFTYBEES</v>
    <v>48</v>
  </rv>
  <rv s="1">
    <v>1</v>
    <v>NIFTYBEES</v>
    <v>Daily</v>
    <v>45379</v>
    <v>45379</v>
    <v>0</v>
    <v>1</v>
    <v>638471808000000000,639087303719264437,0</v>
    <v>0</v>
    <v>ahj6w7</v>
    <v>XNSE:NIFTYBEES</v>
    <v>49</v>
  </rv>
  <rv s="1">
    <v>1</v>
    <v>NIFTYBEES</v>
    <v>Daily</v>
    <v>44670</v>
    <v>44670</v>
    <v>0</v>
    <v>1</v>
    <v>637859232000000000,639087303722990563,0</v>
    <v>0</v>
    <v>ahj6w7</v>
    <v>XNSE:NIFTYBEES</v>
    <v>50</v>
  </rv>
  <rv s="1">
    <v>1</v>
    <v>NIFTYBEES</v>
    <v>Daily</v>
    <v>44987</v>
    <v>44987</v>
    <v>0</v>
    <v>1</v>
    <v>638133120000000000,639087303720359989,0</v>
    <v>0</v>
    <v>ahj6w7</v>
    <v>XNSE:NIFTYBEES</v>
    <v>51</v>
  </rv>
  <rv s="1">
    <v>1</v>
    <v>NIFTYBEES</v>
    <v>Daily</v>
    <v>44798</v>
    <v>44798</v>
    <v>0</v>
    <v>1</v>
    <v>637969824000000000,639087303721310200,0</v>
    <v>0</v>
    <v>ahj6w7</v>
    <v>XNSE:NIFTYBEES</v>
    <v>52</v>
  </rv>
  <rv s="1">
    <v>1</v>
    <v>NIFTYBEES</v>
    <v>Daily</v>
    <v>44994</v>
    <v>44994</v>
    <v>0</v>
    <v>1</v>
    <v>638139168000000000,639087303720861039,0</v>
    <v>0</v>
    <v>ahj6w7</v>
    <v>XNSE:NIFTYBEES</v>
    <v>53</v>
  </rv>
  <rv s="1">
    <v>1</v>
    <v>NIFTYBEES</v>
    <v>Daily</v>
    <v>44917</v>
    <v>44917</v>
    <v>0</v>
    <v>1</v>
    <v>638072640000000000,639087303721557932,0</v>
    <v>0</v>
    <v>ahj6w7</v>
    <v>XNSE:NIFTYBEES</v>
    <v>54</v>
  </rv>
  <rv s="1">
    <v>1</v>
    <v>NIFTYBEES</v>
    <v>Daily</v>
    <v>45315</v>
    <v>45315</v>
    <v>0</v>
    <v>1</v>
    <v>638416512000000000,639087303723360650,0</v>
    <v>0</v>
    <v>ahj6w7</v>
    <v>XNSE:NIFTYBEES</v>
    <v>55</v>
  </rv>
  <rv s="1">
    <v>1</v>
    <v>NIFTYBEES</v>
    <v>Daily</v>
    <v>45771</v>
    <v>45771</v>
    <v>0</v>
    <v>1</v>
    <v>638810496000000000,639087303721265923,0</v>
    <v>0</v>
    <v>ahj6w7</v>
    <v>XNSE:NIFTYBEES</v>
    <v>56</v>
  </rv>
  <rv s="1">
    <v>1</v>
    <v>NIFTYBEES</v>
    <v>Daily</v>
    <v>44733</v>
    <v>44733</v>
    <v>0</v>
    <v>1</v>
    <v>637913664000000000,639087303721185421,0</v>
    <v>0</v>
    <v>ahj6w7</v>
    <v>XNSE:NIFTYBEES</v>
    <v>57</v>
  </rv>
  <rv s="1">
    <v>1</v>
    <v>NIFTYBEES</v>
    <v>Daily</v>
    <v>45280</v>
    <v>45280</v>
    <v>0</v>
    <v>1</v>
    <v>638386272000000000,639087303721205358,0</v>
    <v>0</v>
    <v>ahj6w7</v>
    <v>XNSE:NIFTYBEES</v>
    <v>58</v>
  </rv>
  <rv s="1">
    <v>1</v>
    <v>NIFTYBEES</v>
    <v>Daily</v>
    <v>45197</v>
    <v>45197</v>
    <v>0</v>
    <v>1</v>
    <v>638314560000000000,639087303721240089,0</v>
    <v>0</v>
    <v>ahj6w7</v>
    <v>XNSE:NIFTYBEES</v>
    <v>59</v>
  </rv>
  <rv s="1">
    <v>1</v>
    <v>NIFTYBEES</v>
    <v>Daily</v>
    <v>44546</v>
    <v>44546</v>
    <v>0</v>
    <v>1</v>
    <v>637752096000000000,639087303721324809,0</v>
    <v>0</v>
    <v>ahj6w7</v>
    <v>XNSE:NIFTYBEES</v>
    <v>60</v>
  </rv>
  <rv s="1">
    <v>1</v>
    <v>NIFTYBEES</v>
    <v>Daily</v>
    <v>45267</v>
    <v>45267</v>
    <v>0</v>
    <v>1</v>
    <v>638375040000000000,639087303721439215,0</v>
    <v>0</v>
    <v>ahj6w7</v>
    <v>XNSE:NIFTYBEES</v>
    <v>61</v>
  </rv>
  <rv s="1">
    <v>1</v>
    <v>NIFTYBEES</v>
    <v>Daily</v>
    <v>45175</v>
    <v>45175</v>
    <v>0</v>
    <v>1</v>
    <v>638295552000000000,639087303725841183,0</v>
    <v>0</v>
    <v>ahj6w7</v>
    <v>XNSE:NIFTYBEES</v>
    <v>62</v>
  </rv>
  <rv s="1">
    <v>1</v>
    <v>NIFTYBEES</v>
    <v>Daily</v>
    <v>44985</v>
    <v>44985</v>
    <v>0</v>
    <v>1</v>
    <v>638131392000000000,639087303726268926,0</v>
    <v>0</v>
    <v>ahj6w7</v>
    <v>XNSE:NIFTYBEES</v>
    <v>63</v>
  </rv>
  <rv s="1">
    <v>1</v>
    <v>NIFTYBEES</v>
    <v>Daily</v>
    <v>45287</v>
    <v>45287</v>
    <v>0</v>
    <v>1</v>
    <v>638392320000000000,639087303727978414,0</v>
    <v>0</v>
    <v>ahj6w7</v>
    <v>XNSE:NIFTYBEES</v>
    <v>64</v>
  </rv>
  <rv s="1">
    <v>1</v>
    <v>NIFTYBEES</v>
    <v>Daily</v>
    <v>44707</v>
    <v>44707</v>
    <v>0</v>
    <v>1</v>
    <v>637891200000000000,639087303725099085,0</v>
    <v>0</v>
    <v>ahj6w7</v>
    <v>XNSE:NIFTYBEES</v>
    <v>65</v>
  </rv>
  <rv s="1">
    <v>1</v>
    <v>NIFTYBEES</v>
    <v>Daily</v>
    <v>44866</v>
    <v>44866</v>
    <v>0</v>
    <v>1</v>
    <v>638028576000000000,639087303725397770,0</v>
    <v>0</v>
    <v>ahj6w7</v>
    <v>XNSE:NIFTYBEES</v>
    <v>66</v>
  </rv>
  <rv s="1">
    <v>1</v>
    <v>NIFTYBEES</v>
    <v>Daily</v>
    <v>45784</v>
    <v>45784</v>
    <v>0</v>
    <v>1</v>
    <v>638821728000000000,639087303725556536,0</v>
    <v>0</v>
    <v>ahj6w7</v>
    <v>XNSE:NIFTYBEES</v>
    <v>67</v>
  </rv>
  <rv s="1">
    <v>1</v>
    <v>NIFTYBEES</v>
    <v>Daily</v>
    <v>44973</v>
    <v>44973</v>
    <v>0</v>
    <v>1</v>
    <v>638121024000000000,639087303725857790,0</v>
    <v>0</v>
    <v>ahj6w7</v>
    <v>XNSE:NIFTYBEES</v>
    <v>68</v>
  </rv>
  <rv s="1">
    <v>1</v>
    <v>NIFTYBEES</v>
    <v>Daily</v>
    <v>45008</v>
    <v>45008</v>
    <v>0</v>
    <v>1</v>
    <v>638151264000000000,639087303726034970,0</v>
    <v>0</v>
    <v>ahj6w7</v>
    <v>XNSE:NIFTYBEES</v>
    <v>1</v>
  </rv>
  <rv s="1">
    <v>1</v>
    <v>NIFTYBEES</v>
    <v>Daily</v>
    <v>44642</v>
    <v>44642</v>
    <v>0</v>
    <v>1</v>
    <v>637835040000000000,639087303726634380,0</v>
    <v>0</v>
    <v>ahj6w7</v>
    <v>XNSE:NIFTYBEES</v>
    <v>69</v>
  </rv>
  <rv s="1">
    <v>1</v>
    <v>NIFTYBEES</v>
    <v>Daily</v>
    <v>45055</v>
    <v>45055</v>
    <v>0</v>
    <v>1</v>
    <v>638191872000000000,639087303726931024,0</v>
    <v>0</v>
    <v>ahj6w7</v>
    <v>XNSE:NIFTYBEES</v>
    <v>70</v>
  </rv>
  <rv s="1">
    <v>1</v>
    <v>NIFTYBEES</v>
    <v>Daily</v>
    <v>45350</v>
    <v>45350</v>
    <v>0</v>
    <v>1</v>
    <v>638446752000000000,639087303726148518,0</v>
    <v>0</v>
    <v>ahj6w7</v>
    <v>XNSE:NIFTYBEES</v>
    <v>71</v>
  </rv>
  <rv s="1">
    <v>1</v>
    <v>NIFTYBEES</v>
    <v>Daily</v>
    <v>44931</v>
    <v>44931</v>
    <v>0</v>
    <v>1</v>
    <v>638084736000000000,639087303726283149,0</v>
    <v>0</v>
    <v>ahj6w7</v>
    <v>XNSE:NIFTYBEES</v>
    <v>72</v>
  </rv>
  <rv s="1">
    <v>1</v>
    <v>NIFTYBEES</v>
    <v>Daily</v>
    <v>45554</v>
    <v>45554</v>
    <v>0</v>
    <v>1</v>
    <v>638623008000000000,639087303726203415,0</v>
    <v>0</v>
    <v>ahj6w7</v>
    <v>XNSE:NIFTYBEES</v>
    <v>73</v>
  </rv>
  <rv s="1">
    <v>1</v>
    <v>NIFTYBEES</v>
    <v>Daily</v>
    <v>45231</v>
    <v>45231</v>
    <v>0</v>
    <v>1</v>
    <v>638343936000000000,639087303726943017,0</v>
    <v>0</v>
    <v>ahj6w7</v>
    <v>XNSE:NIFTYBEES</v>
    <v>74</v>
  </rv>
  <rv s="1">
    <v>1</v>
    <v>NIFTYBEES</v>
    <v>Daily</v>
    <v>45659</v>
    <v>45659</v>
    <v>0</v>
    <v>1</v>
    <v>638713728000000000,639087303727401012,0</v>
    <v>0</v>
    <v>ahj6w7</v>
    <v>XNSE:NIFTYBEES</v>
    <v>75</v>
  </rv>
  <rv s="1">
    <v>1</v>
    <v>NIFTYBEES</v>
    <v>Daily</v>
    <v>45532</v>
    <v>45532</v>
    <v>0</v>
    <v>1</v>
    <v>638604000000000000,639087303728227376,0</v>
    <v>0</v>
    <v>ahj6w7</v>
    <v>XNSE:NIFTYBEES</v>
    <v>76</v>
  </rv>
  <rv s="1">
    <v>1</v>
    <v>NIFTYBEES</v>
    <v>Daily</v>
    <v>45603</v>
    <v>45603</v>
    <v>0</v>
    <v>1</v>
    <v>638665344000000000,639087303728285085,0</v>
    <v>0</v>
    <v>ahj6w7</v>
    <v>XNSE:NIFTYBEES</v>
    <v>77</v>
  </rv>
  <rv s="1">
    <v>1</v>
    <v>NIFTYBEES</v>
    <v>Daily</v>
    <v>44644</v>
    <v>44644</v>
    <v>0</v>
    <v>1</v>
    <v>637836768000000000,639087303727338706,0</v>
    <v>0</v>
    <v>ahj6w7</v>
    <v>XNSE:NIFTYBEES</v>
    <v>78</v>
  </rv>
  <rv s="1">
    <v>1</v>
    <v>NIFTYBEES</v>
    <v>Daily</v>
    <v>44875</v>
    <v>44875</v>
    <v>0</v>
    <v>1</v>
    <v>638036352000000000,639087303727878913,0</v>
    <v>0</v>
    <v>ahj6w7</v>
    <v>XNSE:NIFTYBEES</v>
    <v>79</v>
  </rv>
  <rv s="1">
    <v>1</v>
    <v>NIFTYBEES</v>
    <v>Daily</v>
    <v>45434</v>
    <v>45434</v>
    <v>0</v>
    <v>1</v>
    <v>638519328000000000,639087303727966480,0</v>
    <v>0</v>
    <v>ahj6w7</v>
    <v>XNSE:NIFTYBEES</v>
    <v>80</v>
  </rv>
  <rv s="1">
    <v>1</v>
    <v>NIFTYBEES</v>
    <v>Daily</v>
    <v>45448</v>
    <v>45448</v>
    <v>0</v>
    <v>1</v>
    <v>638531424000000000,639087303730229867,0</v>
    <v>0</v>
    <v>ahj6w7</v>
    <v>XNSE:NIFTYBEES</v>
    <v>81</v>
  </rv>
  <rv s="1">
    <v>1</v>
    <v>NIFTYBEES</v>
    <v>Daily</v>
    <v>45678</v>
    <v>45678</v>
    <v>0</v>
    <v>1</v>
    <v>638730144000000000,639087303730272141,0</v>
    <v>0</v>
    <v>ahj6w7</v>
    <v>XNSE:NIFTYBEES</v>
    <v>82</v>
  </rv>
  <rv s="1">
    <v>1</v>
    <v>NIFTYBEES</v>
    <v>Daily</v>
    <v>44728</v>
    <v>44728</v>
    <v>0</v>
    <v>1</v>
    <v>637909344000000000,639087303731222346,0</v>
    <v>0</v>
    <v>ahj6w7</v>
    <v>XNSE:NIFTYBEES</v>
    <v>83</v>
  </rv>
  <rv s="1">
    <v>1</v>
    <v>NIFTYBEES</v>
    <v>Daily</v>
    <v>45749</v>
    <v>45749</v>
    <v>0</v>
    <v>1</v>
    <v>638791488000000000,639087303733112758,0</v>
    <v>0</v>
    <v>ahj6w7</v>
    <v>XNSE:NIFTYBEES</v>
    <v>84</v>
  </rv>
  <rv s="1">
    <v>1</v>
    <v>NIFTYBEES</v>
    <v>Daily</v>
    <v>45288</v>
    <v>45288</v>
    <v>0</v>
    <v>1</v>
    <v>638393184000000000,639087303733582858,0</v>
    <v>0</v>
    <v>ahj6w7</v>
    <v>XNSE:NIFTYBEES</v>
    <v>85</v>
  </rv>
  <rv s="1">
    <v>1</v>
    <v>NIFTYBEES</v>
    <v>Daily</v>
    <v>45643</v>
    <v>45643</v>
    <v>0</v>
    <v>1</v>
    <v>638699904000000000,639087303730355986,0</v>
    <v>0</v>
    <v>ahj6w7</v>
    <v>XNSE:NIFTYBEES</v>
    <v>86</v>
  </rv>
  <rv s="1">
    <v>1</v>
    <v>NIFTYBEES</v>
    <v>Daily</v>
    <v>45777</v>
    <v>45777</v>
    <v>0</v>
    <v>1</v>
    <v>638815680000000000,639087303730813974,0</v>
    <v>0</v>
    <v>ahj6w7</v>
    <v>XNSE:NIFTYBEES</v>
    <v>87</v>
  </rv>
  <rv s="1">
    <v>1</v>
    <v>NIFTYBEES</v>
    <v>Daily</v>
    <v>44887</v>
    <v>44887</v>
    <v>0</v>
    <v>1</v>
    <v>638046720000000000,639087303731112663,0</v>
    <v>0</v>
    <v>ahj6w7</v>
    <v>XNSE:NIFTYBEES</v>
    <v>88</v>
  </rv>
  <rv s="1">
    <v>1</v>
    <v>NIFTYBEES</v>
    <v>Daily</v>
    <v>44553</v>
    <v>44553</v>
    <v>0</v>
    <v>1</v>
    <v>637758144000000000,639087303733530516,0</v>
    <v>0</v>
    <v>ahj6w7</v>
    <v>XNSE:NIFTYBEES</v>
    <v>89</v>
  </rv>
  <rv s="1">
    <v>1</v>
    <v>NIFTYBEES</v>
    <v>Daily</v>
    <v>44959</v>
    <v>44959</v>
    <v>0</v>
    <v>1</v>
    <v>638108928000000000,639087303734319845,0</v>
    <v>0</v>
    <v>ahj6w7</v>
    <v>XNSE:NIFTYBEES</v>
    <v>90</v>
  </rv>
  <rv s="1">
    <v>1</v>
    <v>NIFTYBEES</v>
    <v>Daily</v>
    <v>45742</v>
    <v>45742</v>
    <v>0</v>
    <v>1</v>
    <v>638785440000000000,639087303733246638,0</v>
    <v>0</v>
    <v>ahj6w7</v>
    <v>XNSE:NIFTYBEES</v>
    <v>91</v>
  </rv>
  <rv s="1">
    <v>1</v>
    <v>NIFTYBEES</v>
    <v>Daily</v>
    <v>45112</v>
    <v>45112</v>
    <v>0</v>
    <v>1</v>
    <v>638241120000000000,639087303731831567,0</v>
    <v>0</v>
    <v>ahj6w7</v>
    <v>XNSE:NIFTYBEES</v>
    <v>92</v>
  </rv>
  <rv s="1">
    <v>1</v>
    <v>NIFTYBEES</v>
    <v>Daily</v>
    <v>45321</v>
    <v>45321</v>
    <v>0</v>
    <v>1</v>
    <v>638421696000000000,639087303732486625,0</v>
    <v>0</v>
    <v>ahj6w7</v>
    <v>XNSE:NIFTYBEES</v>
    <v>93</v>
  </rv>
  <rv s="1">
    <v>1</v>
    <v>NIFTYBEES</v>
    <v>Daily</v>
    <v>45428</v>
    <v>45428</v>
    <v>0</v>
    <v>1</v>
    <v>638514144000000000,639087303733069570,0</v>
    <v>0</v>
    <v>ahj6w7</v>
    <v>XNSE:NIFTYBEES</v>
    <v>94</v>
  </rv>
  <rv s="1">
    <v>1</v>
    <v>NIFTYBEES</v>
    <v>Daily</v>
    <v>45006</v>
    <v>45006</v>
    <v>0</v>
    <v>1</v>
    <v>638149536000000000,639087303736440313,0</v>
    <v>0</v>
    <v>ahj6w7</v>
    <v>XNSE:NIFTYBEES</v>
    <v>95</v>
  </rv>
  <rv s="1">
    <v>1</v>
    <v>NIFTYBEES</v>
    <v>Daily</v>
    <v>45545</v>
    <v>45545</v>
    <v>0</v>
    <v>1</v>
    <v>638615232000000000,639087303731841530,0</v>
    <v>0</v>
    <v>ahj6w7</v>
    <v>XNSE:NIFTYBEES</v>
    <v>96</v>
  </rv>
  <rv s="1">
    <v>1</v>
    <v>NIFTYBEES</v>
    <v>Daily</v>
    <v>44936</v>
    <v>44936</v>
    <v>0</v>
    <v>1</v>
    <v>638089056000000000,639087303732000825,0</v>
    <v>0</v>
    <v>ahj6w7</v>
    <v>XNSE:NIFTYBEES</v>
    <v>97</v>
  </rv>
  <rv s="1">
    <v>1</v>
    <v>NIFTYBEES</v>
    <v>Daily</v>
    <v>45365</v>
    <v>45365</v>
    <v>0</v>
    <v>1</v>
    <v>638459712000000000,639087303732319443,0</v>
    <v>0</v>
    <v>ahj6w7</v>
    <v>XNSE:NIFTYBEES</v>
    <v>98</v>
  </rv>
  <rv s="1">
    <v>1</v>
    <v>NIFTYBEES</v>
    <v>Daily</v>
    <v>45336</v>
    <v>45336</v>
    <v>0</v>
    <v>1</v>
    <v>638434656000000000,639087303732488695,0</v>
    <v>0</v>
    <v>ahj6w7</v>
    <v>XNSE:NIFTYBEES</v>
    <v>99</v>
  </rv>
  <rv s="1">
    <v>1</v>
    <v>NIFTYBEES</v>
    <v>Daily</v>
    <v>45259</v>
    <v>45259</v>
    <v>0</v>
    <v>1</v>
    <v>638368128000000000,639087303732120302,0</v>
    <v>0</v>
    <v>ahj6w7</v>
    <v>XNSE:NIFTYBEES</v>
    <v>100</v>
  </rv>
  <rv s="1">
    <v>1</v>
    <v>NIFTYBEES</v>
    <v>Daily</v>
    <v>45510</v>
    <v>45510</v>
    <v>0</v>
    <v>1</v>
    <v>638584992000000000,639087303732157530,0</v>
    <v>0</v>
    <v>ahj6w7</v>
    <v>XNSE:NIFTYBEES</v>
    <v>101</v>
  </rv>
  <rv s="1">
    <v>1</v>
    <v>NIFTYBEES</v>
    <v>Daily</v>
    <v>45511</v>
    <v>45511</v>
    <v>0</v>
    <v>1</v>
    <v>638585856000000000,639087303732180047,0</v>
    <v>0</v>
    <v>ahj6w7</v>
    <v>XNSE:NIFTYBEES</v>
    <v>102</v>
  </rv>
  <rv s="1">
    <v>1</v>
    <v>NIFTYBEES</v>
    <v>Daily</v>
    <v>44777</v>
    <v>44777</v>
    <v>0</v>
    <v>1</v>
    <v>637951680000000000,639087303732197359,0</v>
    <v>0</v>
    <v>ahj6w7</v>
    <v>XNSE:NIFTYBEES</v>
    <v>103</v>
  </rv>
  <rv s="1">
    <v>1</v>
    <v>NIFTYBEES</v>
    <v>Daily</v>
    <v>44672</v>
    <v>44672</v>
    <v>0</v>
    <v>1</v>
    <v>637860960000000000,639087303732237730,0</v>
    <v>0</v>
    <v>ahj6w7</v>
    <v>XNSE:NIFTYBEES</v>
    <v>104</v>
  </rv>
  <rv s="1">
    <v>1</v>
    <v>NIFTYBEES</v>
    <v>Daily</v>
    <v>45694</v>
    <v>45694</v>
    <v>0</v>
    <v>1</v>
    <v>638743968000000000,639087303732389131,0</v>
    <v>0</v>
    <v>ahj6w7</v>
    <v>XNSE:NIFTYBEES</v>
    <v>105</v>
  </rv>
  <rv s="1">
    <v>1</v>
    <v>NIFTYBEES</v>
    <v>Daily</v>
    <v>44810</v>
    <v>44810</v>
    <v>0</v>
    <v>1</v>
    <v>637980192000000000,639087303735762253,0</v>
    <v>0</v>
    <v>ahj6w7</v>
    <v>XNSE:NIFTYBEES</v>
    <v>106</v>
  </rv>
  <rv s="1">
    <v>1</v>
    <v>NIFTYBEES</v>
    <v>Daily</v>
    <v>44588</v>
    <v>44588</v>
    <v>0</v>
    <v>1</v>
    <v>637788384000000000,639087303735911039,0</v>
    <v>0</v>
    <v>ahj6w7</v>
    <v>XNSE:NIFTYBEES</v>
    <v>107</v>
  </rv>
  <rv s="1">
    <v>1</v>
    <v>NIFTYBEES</v>
    <v>Daily</v>
    <v>45539</v>
    <v>45539</v>
    <v>0</v>
    <v>1</v>
    <v>638610048000000000,639087303736212351,0</v>
    <v>0</v>
    <v>ahj6w7</v>
    <v>XNSE:NIFTYBEES</v>
    <v>108</v>
  </rv>
  <rv s="1">
    <v>1</v>
    <v>NIFTYBEES</v>
    <v>Daily</v>
    <v>45441</v>
    <v>45441</v>
    <v>0</v>
    <v>1</v>
    <v>638525376000000000,639087303737115746,0</v>
    <v>0</v>
    <v>ahj6w7</v>
    <v>XNSE:NIFTYBEES</v>
    <v>109</v>
  </rv>
  <rv s="1">
    <v>1</v>
    <v>NIFTYBEES</v>
    <v>Daily</v>
    <v>44679</v>
    <v>44679</v>
    <v>0</v>
    <v>1</v>
    <v>637867008000000000,639087303736441153,0</v>
    <v>0</v>
    <v>ahj6w7</v>
    <v>XNSE:NIFTYBEES</v>
    <v>110</v>
  </rv>
  <rv s="1">
    <v>1</v>
    <v>NIFTYBEES</v>
    <v>Daily</v>
    <v>45484</v>
    <v>45484</v>
    <v>0</v>
    <v>1</v>
    <v>638562528000000000,639087303738621632,0</v>
    <v>0</v>
    <v>ahj6w7</v>
    <v>XNSE:NIFTYBEES</v>
    <v>111</v>
  </rv>
  <rv s="1">
    <v>1</v>
    <v>NIFTYBEES</v>
    <v>Daily</v>
    <v>44908</v>
    <v>44908</v>
    <v>0</v>
    <v>1</v>
    <v>638064864000000000,639087303737963806,0</v>
    <v>0</v>
    <v>ahj6w7</v>
    <v>XNSE:NIFTYBEES</v>
    <v>112</v>
  </rv>
  <rv s="1">
    <v>1</v>
    <v>NIFTYBEES</v>
    <v>Daily</v>
    <v>45553</v>
    <v>45553</v>
    <v>0</v>
    <v>1</v>
    <v>638622144000000000,639087303738433916,0</v>
    <v>0</v>
    <v>ahj6w7</v>
    <v>XNSE:NIFTYBEES</v>
    <v>113</v>
  </rv>
  <rv s="1">
    <v>1</v>
    <v>NIFTYBEES</v>
    <v>Daily</v>
    <v>45636</v>
    <v>45636</v>
    <v>0</v>
    <v>1</v>
    <v>638693856000000000,639087303739861902,0</v>
    <v>0</v>
    <v>ahj6w7</v>
    <v>XNSE:NIFTYBEES</v>
    <v>114</v>
  </rv>
  <rv s="1">
    <v>1</v>
    <v>NIFTYBEES</v>
    <v>Daily</v>
    <v>45477</v>
    <v>45477</v>
    <v>0</v>
    <v>1</v>
    <v>638556480000000000,639087303740341173,0</v>
    <v>0</v>
    <v>ahj6w7</v>
    <v>XNSE:NIFTYBEES</v>
    <v>115</v>
  </rv>
  <rv s="1">
    <v>1</v>
    <v>NIFTYBEES</v>
    <v>Daily</v>
    <v>45608</v>
    <v>45608</v>
    <v>0</v>
    <v>1</v>
    <v>638669664000000000,639087303738115276,0</v>
    <v>0</v>
    <v>ahj6w7</v>
    <v>XNSE:NIFTYBEES</v>
    <v>116</v>
  </rv>
  <rv s="1">
    <v>1</v>
    <v>NIFTYBEES</v>
    <v>Daily</v>
    <v>45029</v>
    <v>45029</v>
    <v>0</v>
    <v>1</v>
    <v>638169408000000000,639087303739057622,0</v>
    <v>0</v>
    <v>ahj6w7</v>
    <v>XNSE:NIFTYBEES</v>
    <v>117</v>
  </rv>
  <rv s="1">
    <v>1</v>
    <v>NIFTYBEES</v>
    <v>Daily</v>
    <v>45707</v>
    <v>45707</v>
    <v>0</v>
    <v>1</v>
    <v>638755200000000000,639087303741491429,0</v>
    <v>0</v>
    <v>ahj6w7</v>
    <v>XNSE:NIFTYBEES</v>
    <v>118</v>
  </rv>
  <rv s="1">
    <v>1</v>
    <v>NIFTYBEES</v>
    <v>Daily</v>
    <v>45785</v>
    <v>45785</v>
    <v>0</v>
    <v>1</v>
    <v>638822592000000000,639087303743391840,0</v>
    <v>0</v>
    <v>ahj6w7</v>
    <v>XNSE:NIFTYBEES</v>
    <v>119</v>
  </rv>
  <rv s="1">
    <v>1</v>
    <v>NIFTYBEES</v>
    <v>Daily</v>
    <v>45504</v>
    <v>45504</v>
    <v>0</v>
    <v>1</v>
    <v>638579808000000000,639087303738260723,0</v>
    <v>0</v>
    <v>ahj6w7</v>
    <v>XNSE:NIFTYBEES</v>
    <v>120</v>
  </rv>
  <rv s="1">
    <v>1</v>
    <v>NIFTYBEES</v>
    <v>Daily</v>
    <v>45420</v>
    <v>45420</v>
    <v>0</v>
    <v>1</v>
    <v>638507232000000000,639087303738372869,0</v>
    <v>0</v>
    <v>ahj6w7</v>
    <v>XNSE:NIFTYBEES</v>
    <v>121</v>
  </rv>
  <rv s="1">
    <v>1</v>
    <v>NIFTYBEES</v>
    <v>Daily</v>
    <v>45435</v>
    <v>45435</v>
    <v>0</v>
    <v>1</v>
    <v>638520192000000000,639087303738400114,0</v>
    <v>0</v>
    <v>ahj6w7</v>
    <v>XNSE:NIFTYBEES</v>
    <v>122</v>
  </rv>
  <rv s="1">
    <v>1</v>
    <v>NIFTYBEES</v>
    <v>Daily</v>
    <v>45538</v>
    <v>45538</v>
    <v>0</v>
    <v>1</v>
    <v>638609184000000000,639087303747434374,0</v>
    <v>0</v>
    <v>ahj6w7</v>
    <v>XNSE:NIFTYBEES</v>
    <v>123</v>
  </rv>
  <rv s="1">
    <v>1</v>
    <v>NIFTYBEES</v>
    <v>Daily</v>
    <v>44896</v>
    <v>44896</v>
    <v>0</v>
    <v>1</v>
    <v>638054496000000000,639087303747663384,0</v>
    <v>0</v>
    <v>ahj6w7</v>
    <v>XNSE:NIFTYBEES</v>
    <v>124</v>
  </rv>
  <rv s="1">
    <v>1</v>
    <v>NIFTYBEES</v>
    <v>Daily</v>
    <v>45581</v>
    <v>45581</v>
    <v>0</v>
    <v>1</v>
    <v>638646336000000000,639087303748838153,0</v>
    <v>0</v>
    <v>ahj6w7</v>
    <v>XNSE:NIFTYBEES</v>
    <v>125</v>
  </rv>
  <rv s="1">
    <v>1</v>
    <v>NIFTYBEES</v>
    <v>Daily</v>
    <v>44504</v>
    <v>44504</v>
    <v>0</v>
    <v>1</v>
    <v>637715808000000000,639087303749067233,0</v>
    <v>0</v>
    <v>ahj6w7</v>
    <v>XNSE:NIFTYBEES</v>
    <v>126</v>
  </rv>
  <rv s="1">
    <v>1</v>
    <v>NIFTYBEES</v>
    <v>Daily</v>
    <v>45414</v>
    <v>45414</v>
    <v>0</v>
    <v>1</v>
    <v>638502048000000000,639087303748406746,0</v>
    <v>0</v>
    <v>ahj6w7</v>
    <v>XNSE:NIFTYBEES</v>
    <v>127</v>
  </rv>
  <rv s="1">
    <v>1</v>
    <v>NIFTYBEES</v>
    <v>Daily</v>
    <v>45622</v>
    <v>45622</v>
    <v>0</v>
    <v>1</v>
    <v>638681760000000000,639087303749018408,0</v>
    <v>0</v>
    <v>ahj6w7</v>
    <v>XNSE:NIFTYBEES</v>
    <v>128</v>
  </rv>
  <rv s="1">
    <v>1</v>
    <v>NIFTYBEES</v>
    <v>Daily</v>
    <v>45666</v>
    <v>45666</v>
    <v>0</v>
    <v>1</v>
    <v>638719776000000000,639087303749108017,0</v>
    <v>0</v>
    <v>ahj6w7</v>
    <v>XNSE:NIFTYBEES</v>
    <v>129</v>
  </rv>
  <rv s="1">
    <v>1</v>
    <v>NIFTYBEES</v>
    <v>Daily</v>
    <v>44698</v>
    <v>44698</v>
    <v>0</v>
    <v>1</v>
    <v>637883424000000000,639087303749137888,0</v>
    <v>0</v>
    <v>ahj6w7</v>
    <v>XNSE:NIFTYBEES</v>
    <v>130</v>
  </rv>
  <rv s="1">
    <v>1</v>
    <v>NIFTYBEES</v>
    <v>Daily</v>
    <v>45246</v>
    <v>45246</v>
    <v>0</v>
    <v>1</v>
    <v>638356896000000000,639087303749085808,0</v>
    <v>0</v>
    <v>ahj6w7</v>
    <v>XNSE:NIFTYBEES</v>
    <v>131</v>
  </rv>
  <rv s="1">
    <v>1</v>
    <v>NIFTYBEES</v>
    <v>Daily</v>
    <v>45322</v>
    <v>45322</v>
    <v>0</v>
    <v>1</v>
    <v>638422560000000000,639087303749394445,0</v>
    <v>0</v>
    <v>ahj6w7</v>
    <v>XNSE:NIFTYBEES</v>
    <v>132</v>
  </rv>
  <rv s="1">
    <v>1</v>
    <v>NIFTYBEES</v>
    <v>Daily</v>
    <v>44833</v>
    <v>44833</v>
    <v>0</v>
    <v>1</v>
    <v>638000064000000000,639087303749691105,0</v>
    <v>0</v>
    <v>ahj6w7</v>
    <v>XNSE:NIFTYBEES</v>
    <v>133</v>
  </rv>
  <rv s="1">
    <v>1</v>
    <v>NIFTYBEES</v>
    <v>Daily</v>
    <v>44637</v>
    <v>44637</v>
    <v>0</v>
    <v>1</v>
    <v>637830720000000000,639087303750300478,0</v>
    <v>0</v>
    <v>ahj6w7</v>
    <v>XNSE:NIFTYBEES</v>
    <v>134</v>
  </rv>
  <rv s="1">
    <v>1</v>
    <v>NIFTYBEES</v>
    <v>Daily</v>
    <v>45559</v>
    <v>45559</v>
    <v>0</v>
    <v>1</v>
    <v>638627328000000000,639087303750449825,0</v>
    <v>0</v>
    <v>ahj6w7</v>
    <v>XNSE:NIFTYBEES</v>
    <v>135</v>
  </rv>
  <rv s="1">
    <v>1</v>
    <v>NIFTYBEES</v>
    <v>Daily</v>
    <v>44945</v>
    <v>44945</v>
    <v>0</v>
    <v>1</v>
    <v>638096832000000000,639087303750406507,0</v>
    <v>0</v>
    <v>ahj6w7</v>
    <v>XNSE:NIFTYBEES</v>
    <v>136</v>
  </rv>
  <rv s="1">
    <v>1</v>
    <v>NIFTYBEES</v>
    <v>Daily</v>
    <v>45700</v>
    <v>45700</v>
    <v>0</v>
    <v>1</v>
    <v>638749152000000000,639087303750886613,0</v>
    <v>0</v>
    <v>ahj6w7</v>
    <v>XNSE:NIFTYBEES</v>
    <v>137</v>
  </rv>
  <rv s="1">
    <v>1</v>
    <v>NIFTYBEES</v>
    <v>Daily</v>
    <v>45196</v>
    <v>45196</v>
    <v>0</v>
    <v>1</v>
    <v>638313696000000000,639087303753297134,0</v>
    <v>0</v>
    <v>ahj6w7</v>
    <v>XNSE:NIFTYBEES</v>
    <v>138</v>
  </rv>
  <rv s="1">
    <v>1</v>
    <v>NIFTYBEES</v>
    <v>Daily</v>
    <v>45119</v>
    <v>45119</v>
    <v>0</v>
    <v>1</v>
    <v>638247168000000000,639087303750557239,0</v>
    <v>0</v>
    <v>ahj6w7</v>
    <v>XNSE:NIFTYBEES</v>
    <v>139</v>
  </rv>
  <rv s="1">
    <v>1</v>
    <v>NIFTYBEES</v>
    <v>Daily</v>
    <v>45001</v>
    <v>45001</v>
    <v>0</v>
    <v>1</v>
    <v>638145216000000000,639087303750929678,0</v>
    <v>0</v>
    <v>ahj6w7</v>
    <v>XNSE:NIFTYBEES</v>
    <v>140</v>
  </rv>
  <rv s="1">
    <v>1</v>
    <v>NIFTYBEES</v>
    <v>Daily</v>
    <v>44686</v>
    <v>44686</v>
    <v>0</v>
    <v>1</v>
    <v>637873056000000000,639087303754509918,0</v>
    <v>0</v>
    <v>ahj6w7</v>
    <v>XNSE:NIFTYBEES</v>
    <v>141</v>
  </rv>
  <rv s="1">
    <v>1</v>
    <v>NIFTYBEES</v>
    <v>Daily</v>
    <v>44567</v>
    <v>44567</v>
    <v>0</v>
    <v>1</v>
    <v>637770240000000000,639087303755159167,0</v>
    <v>0</v>
    <v>ahj6w7</v>
    <v>XNSE:NIFTYBEES</v>
    <v>142</v>
  </rv>
  <rv s="1">
    <v>1</v>
    <v>NIFTYBEES</v>
    <v>Daily</v>
    <v>45455</v>
    <v>45455</v>
    <v>0</v>
    <v>1</v>
    <v>638537472000000000,639087303755208945,0</v>
    <v>0</v>
    <v>ahj6w7</v>
    <v>XNSE:NIFTYBEES</v>
    <v>143</v>
  </rv>
  <rv s="1">
    <v>1</v>
    <v>NIFTYBEES</v>
    <v>Daily</v>
    <v>45211</v>
    <v>45211</v>
    <v>0</v>
    <v>1</v>
    <v>638326656000000000,639087303755228862,0</v>
    <v>0</v>
    <v>ahj6w7</v>
    <v>XNSE:NIFTYBEES</v>
    <v>144</v>
  </rv>
  <rv s="1">
    <v>1</v>
    <v>NIFTYBEES</v>
    <v>Daily</v>
    <v>44938</v>
    <v>44938</v>
    <v>0</v>
    <v>1</v>
    <v>638090784000000000,639087303755268681,0</v>
    <v>0</v>
    <v>ahj6w7</v>
    <v>XNSE:NIFTYBEES</v>
    <v>145</v>
  </rv>
  <rv s="1">
    <v>1</v>
    <v>NIFTYBEES</v>
    <v>Daily</v>
    <v>45337</v>
    <v>45337</v>
    <v>0</v>
    <v>1</v>
    <v>638435520000000000,639087303758372969,0</v>
    <v>0</v>
    <v>ahj6w7</v>
    <v>XNSE:NIFTYBEES</v>
    <v>146</v>
  </rv>
  <rv s="1">
    <v>1</v>
    <v>NIFTYBEES</v>
    <v>Daily</v>
    <v>44957</v>
    <v>44957</v>
    <v>0</v>
    <v>1</v>
    <v>638107200000000000,639087303757518806,0</v>
    <v>0</v>
    <v>ahj6w7</v>
    <v>XNSE:NIFTYBEES</v>
    <v>147</v>
  </rv>
  <rv s="1">
    <v>1</v>
    <v>NIFTYBEES</v>
    <v>Daily</v>
    <v>45489</v>
    <v>45489</v>
    <v>0</v>
    <v>1</v>
    <v>638566848000000000,639087303757521116,0</v>
    <v>0</v>
    <v>ahj6w7</v>
    <v>XNSE:NIFTYBEES</v>
    <v>148</v>
  </rv>
  <rv s="1">
    <v>1</v>
    <v>NIFTYBEES</v>
    <v>Daily</v>
    <v>45160</v>
    <v>45160</v>
    <v>0</v>
    <v>1</v>
    <v>638282592000000000,639087303757655553,0</v>
    <v>0</v>
    <v>ahj6w7</v>
    <v>XNSE:NIFTYBEES</v>
    <v>149</v>
  </rv>
  <rv s="1">
    <v>1</v>
    <v>NIFTYBEES</v>
    <v>Daily</v>
    <v>45421</v>
    <v>45421</v>
    <v>0</v>
    <v>1</v>
    <v>638508096000000000,639087303757705318,0</v>
    <v>0</v>
    <v>ahj6w7</v>
    <v>XNSE:NIFTYBEES</v>
    <v>150</v>
  </rv>
  <rv s="1">
    <v>1</v>
    <v>NIFTYBEES</v>
    <v>Daily</v>
    <v>45295</v>
    <v>45295</v>
    <v>0</v>
    <v>1</v>
    <v>638399232000000000,639087303759068387,0</v>
    <v>0</v>
    <v>ahj6w7</v>
    <v>XNSE:NIFTYBEES</v>
    <v>151</v>
  </rv>
  <rv s="1">
    <v>1</v>
    <v>NIFTYBEES</v>
    <v>Daily</v>
    <v>45398</v>
    <v>45398</v>
    <v>0</v>
    <v>1</v>
    <v>638488224000000000,639087303759538486,0</v>
    <v>0</v>
    <v>ahj6w7</v>
    <v>XNSE:NIFTYBEES</v>
    <v>152</v>
  </rv>
  <rv s="1">
    <v>1</v>
    <v>NIFTYBEES</v>
    <v>Daily</v>
    <v>44742</v>
    <v>44742</v>
    <v>0</v>
    <v>1</v>
    <v>637921440000000000,639087303760008591,0</v>
    <v>0</v>
    <v>ahj6w7</v>
    <v>XNSE:NIFTYBEES</v>
    <v>153</v>
  </rv>
  <rv s="1">
    <v>1</v>
    <v>NIFTYBEES</v>
    <v>Daily</v>
    <v>45517</v>
    <v>45517</v>
    <v>0</v>
    <v>1</v>
    <v>638591040000000000,639087303761418899,0</v>
    <v>0</v>
    <v>ahj6w7</v>
    <v>XNSE:NIFTYBEES</v>
    <v>154</v>
  </rv>
  <rv s="1">
    <v>1</v>
    <v>NIFTYBEES</v>
    <v>Daily</v>
    <v>45225</v>
    <v>45225</v>
    <v>0</v>
    <v>1</v>
    <v>638338752000000000,639087303760646454,0</v>
    <v>0</v>
    <v>ahj6w7</v>
    <v>XNSE:NIFTYBEES</v>
    <v>155</v>
  </rv>
  <rv s="1">
    <v>1</v>
    <v>NIFTYBEES</v>
    <v>Daily</v>
    <v>45154</v>
    <v>45154</v>
    <v>0</v>
    <v>1</v>
    <v>638277408000000000,639087303761478909,0</v>
    <v>0</v>
    <v>ahj6w7</v>
    <v>XNSE:NIFTYBEES</v>
    <v>156</v>
  </rv>
  <rv s="1">
    <v>1</v>
    <v>NIFTYBEES</v>
    <v>Daily</v>
    <v>45140</v>
    <v>45140</v>
    <v>0</v>
    <v>1</v>
    <v>638265312000000000,639087303761895981,0</v>
    <v>0</v>
    <v>ahj6w7</v>
    <v>XNSE:NIFTYBEES</v>
    <v>157</v>
  </rv>
  <rv s="1">
    <v>1</v>
    <v>NIFTYBEES</v>
    <v>Daily</v>
    <v>45195</v>
    <v>45195</v>
    <v>0</v>
    <v>1</v>
    <v>638312832000000000,639087303761936736,0</v>
    <v>0</v>
    <v>ahj6w7</v>
    <v>XNSE:NIFTYBEES</v>
    <v>158</v>
  </rv>
  <rv s="1">
    <v>1</v>
    <v>NIFTYBEES</v>
    <v>Daily</v>
    <v>45596</v>
    <v>45596</v>
    <v>0</v>
    <v>1</v>
    <v>638659296000000000,639087303762869222,0</v>
    <v>0</v>
    <v>ahj6w7</v>
    <v>XNSE:NIFTYBEES</v>
    <v>159</v>
  </rv>
  <rv s="1">
    <v>1</v>
    <v>NIFTYBEES</v>
    <v>Daily</v>
    <v>44761</v>
    <v>44761</v>
    <v>0</v>
    <v>1</v>
    <v>637937856000000000,639087303763799411,0</v>
    <v>0</v>
    <v>ahj6w7</v>
    <v>XNSE:NIFTYBEES</v>
    <v>160</v>
  </rv>
  <rv s="1">
    <v>1</v>
    <v>NIFTYBEES</v>
    <v>Daily</v>
    <v>45043</v>
    <v>45043</v>
    <v>0</v>
    <v>1</v>
    <v>638181504000000000,639087303764259516,0</v>
    <v>0</v>
    <v>ahj6w7</v>
    <v>XNSE:NIFTYBEES</v>
    <v>161</v>
  </rv>
  <rv s="1">
    <v>1</v>
    <v>NIFTYBEES</v>
    <v>Daily</v>
    <v>45168</v>
    <v>45168</v>
    <v>0</v>
    <v>1</v>
    <v>638289504000000000,639087303764017191,0</v>
    <v>0</v>
    <v>ahj6w7</v>
    <v>XNSE:NIFTYBEES</v>
    <v>162</v>
  </rv>
  <rv s="1">
    <v>1</v>
    <v>NIFTYBEES</v>
    <v>Daily</v>
    <v>44581</v>
    <v>44581</v>
    <v>0</v>
    <v>1</v>
    <v>637782336000000000,639087303761538537,0</v>
    <v>0</v>
    <v>ahj6w7</v>
    <v>XNSE:NIFTYBEES</v>
    <v>163</v>
  </rv>
  <rv s="1">
    <v>1</v>
    <v>NIFTYBEES</v>
    <v>Daily</v>
    <v>45203</v>
    <v>45203</v>
    <v>0</v>
    <v>1</v>
    <v>638319744000000000,639087303761561045,0</v>
    <v>0</v>
    <v>ahj6w7</v>
    <v>XNSE:NIFTYBEES</v>
    <v>164</v>
  </rv>
  <rv s="1">
    <v>1</v>
    <v>NIFTYBEES</v>
    <v>Daily</v>
    <v>45561</v>
    <v>45561</v>
    <v>0</v>
    <v>1</v>
    <v>638629056000000000,639087303761600872,0</v>
    <v>0</v>
    <v>ahj6w7</v>
    <v>XNSE:NIFTYBEES</v>
    <v>165</v>
  </rv>
  <rv s="1">
    <v>1</v>
    <v>NIFTYBEES</v>
    <v>Daily</v>
    <v>45181</v>
    <v>45181</v>
    <v>0</v>
    <v>1</v>
    <v>638300736000000000,639087303764039465,0</v>
    <v>0</v>
    <v>ahj6w7</v>
    <v>XNSE:NIFTYBEES</v>
    <v>166</v>
  </rv>
  <rv s="1">
    <v>1</v>
    <v>NIFTYBEES</v>
    <v>Daily</v>
    <v>45708</v>
    <v>45708</v>
    <v>0</v>
    <v>1</v>
    <v>638756064000000000,639087303764509567,0</v>
    <v>0</v>
    <v>ahj6w7</v>
    <v>XNSE:NIFTYBEES</v>
    <v>167</v>
  </rv>
  <rv s="1">
    <v>1</v>
    <v>NIFTYBEES</v>
    <v>Daily</v>
    <v>45286</v>
    <v>45286</v>
    <v>0</v>
    <v>1</v>
    <v>638391456000000000,639087303763746401,0</v>
    <v>0</v>
    <v>ahj6w7</v>
    <v>XNSE:NIFTYBEES</v>
    <v>168</v>
  </rv>
  <rv s="1">
    <v>1</v>
    <v>NIFTYBEES</v>
    <v>Daily</v>
    <v>44756</v>
    <v>44756</v>
    <v>0</v>
    <v>1</v>
    <v>637933536000000000,639087303764216517,0</v>
    <v>0</v>
    <v>ahj6w7</v>
    <v>XNSE:NIFTYBEES</v>
    <v>169</v>
  </rv>
  <rv s="1">
    <v>1</v>
    <v>NIFTYBEES</v>
    <v>Daily</v>
    <v>44812</v>
    <v>44812</v>
    <v>0</v>
    <v>1</v>
    <v>637981920000000000,639087303765619807,0</v>
    <v>0</v>
    <v>ahj6w7</v>
    <v>XNSE:NIFTYBEES</v>
    <v>170</v>
  </rv>
  <rv s="1">
    <v>1</v>
    <v>NIFTYBEES</v>
    <v>Daily</v>
    <v>45652</v>
    <v>45652</v>
    <v>0</v>
    <v>1</v>
    <v>638707680000000000,639087303764749625,0</v>
    <v>0</v>
    <v>ahj6w7</v>
    <v>XNSE:NIFTYBEES</v>
    <v>171</v>
  </rv>
  <rv s="1">
    <v>1</v>
    <v>NIFTYBEES</v>
    <v>Daily</v>
    <v>45342</v>
    <v>45342</v>
    <v>0</v>
    <v>1</v>
    <v>638439840000000000,639087303765209718,0</v>
    <v>0</v>
    <v>ahj6w7</v>
    <v>XNSE:NIFTYBEES</v>
    <v>172</v>
  </rv>
  <rv s="1">
    <v>1</v>
    <v>NIFTYBEES</v>
    <v>Daily</v>
    <v>45673</v>
    <v>45673</v>
    <v>0</v>
    <v>1</v>
    <v>638725824000000000,639087303766149923,0</v>
    <v>0</v>
    <v>ahj6w7</v>
    <v>XNSE:NIFTYBEES</v>
    <v>173</v>
  </rv>
  <rv s="1">
    <v>1</v>
    <v>NIFTYBEES</v>
    <v>Daily</v>
    <v>45721</v>
    <v>45721</v>
    <v>0</v>
    <v>1</v>
    <v>638767296000000000,639087303766620023,0</v>
    <v>0</v>
    <v>ahj6w7</v>
    <v>XNSE:NIFTYBEES</v>
    <v>174</v>
  </rv>
  <rv s="1">
    <v>1</v>
    <v>NIFTYBEES</v>
    <v>Daily</v>
    <v>45371</v>
    <v>45371</v>
    <v>0</v>
    <v>1</v>
    <v>638464896000000000,639087303767557966,0</v>
    <v>0</v>
    <v>ahj6w7</v>
    <v>XNSE:NIFTYBEES</v>
    <v>175</v>
  </rv>
  <rv s="1">
    <v>1</v>
    <v>NIFTYBEES</v>
    <v>Daily</v>
    <v>45601</v>
    <v>45601</v>
    <v>0</v>
    <v>1</v>
    <v>638663616000000000,639087303765115428,0</v>
    <v>0</v>
    <v>ahj6w7</v>
    <v>XNSE:NIFTYBEES</v>
    <v>176</v>
  </rv>
  <rv s="1">
    <v>1</v>
    <v>NIFTYBEES</v>
    <v>Daily</v>
    <v>44803</v>
    <v>44803</v>
    <v>0</v>
    <v>1</v>
    <v>637974144000000000,639087303765782486,0</v>
    <v>0</v>
    <v>ahj6w7</v>
    <v>XNSE:NIFTYBEES</v>
    <v>177</v>
  </rv>
  <rv s="1">
    <v>1</v>
    <v>NIFTYBEES</v>
    <v>Daily</v>
    <v>45470</v>
    <v>45470</v>
    <v>0</v>
    <v>1</v>
    <v>638550432000000000,639087303768451998,0</v>
    <v>0</v>
    <v>ahj6w7</v>
    <v>XNSE:NIFTYBEES</v>
    <v>178</v>
  </rv>
  <rv s="1">
    <v>1</v>
    <v>NIFTYBEES</v>
    <v>Daily</v>
    <v>44595</v>
    <v>44595</v>
    <v>0</v>
    <v>1</v>
    <v>637794432000000000,639087303769573754,0</v>
    <v>0</v>
    <v>ahj6w7</v>
    <v>XNSE:NIFTYBEES</v>
    <v>179</v>
  </rv>
  <rv s="1">
    <v>1</v>
    <v>NIFTYBEES</v>
    <v>Daily</v>
    <v>45237</v>
    <v>45237</v>
    <v>0</v>
    <v>1</v>
    <v>638349120000000000,639087303769723100,0</v>
    <v>0</v>
    <v>ahj6w7</v>
    <v>XNSE:NIFTYBEES</v>
    <v>180</v>
  </rv>
  <rv s="1">
    <v>1</v>
    <v>NIFTYBEES</v>
    <v>Daily</v>
    <v>45412</v>
    <v>45412</v>
    <v>0</v>
    <v>1</v>
    <v>638500320000000000,639087303770469805,0</v>
    <v>0</v>
    <v>ahj6w7</v>
    <v>XNSE:NIFTYBEES</v>
    <v>181</v>
  </rv>
  <rv s="1">
    <v>1</v>
    <v>NIFTYBEES</v>
    <v>Daily</v>
    <v>45483</v>
    <v>45483</v>
    <v>0</v>
    <v>1</v>
    <v>638561664000000000,639087303769038206,0</v>
    <v>0</v>
    <v>ahj6w7</v>
    <v>XNSE:NIFTYBEES</v>
    <v>182</v>
  </rv>
  <rv s="1">
    <v>1</v>
    <v>NIFTYBEES</v>
    <v>Daily</v>
    <v>45133</v>
    <v>45133</v>
    <v>0</v>
    <v>1</v>
    <v>638259264000000000,639087303769187553,0</v>
    <v>0</v>
    <v>ahj6w7</v>
    <v>XNSE:NIFTYBEES</v>
    <v>183</v>
  </rv>
  <rv s="1">
    <v>1</v>
    <v>NIFTYBEES</v>
    <v>Daily</v>
    <v>45357</v>
    <v>45357</v>
    <v>0</v>
    <v>1</v>
    <v>638452800000000000,639087303770760929,0</v>
    <v>0</v>
    <v>ahj6w7</v>
    <v>XNSE:NIFTYBEES</v>
    <v>184</v>
  </rv>
  <rv s="1">
    <v>1</v>
    <v>NIFTYBEES</v>
    <v>Daily</v>
    <v>45036</v>
    <v>45036</v>
    <v>0</v>
    <v>1</v>
    <v>638175456000000000,639087303771591104,0</v>
    <v>0</v>
    <v>ahj6w7</v>
    <v>XNSE:NIFTYBEES</v>
    <v>185</v>
  </rv>
  <rv s="1">
    <v>1</v>
    <v>NIFTYBEES</v>
    <v>Daily</v>
    <v>45370</v>
    <v>45370</v>
    <v>0</v>
    <v>1</v>
    <v>638464032000000000,639087303773251469,0</v>
    <v>0</v>
    <v>ahj6w7</v>
    <v>XNSE:NIFTYBEES</v>
    <v>186</v>
  </rv>
  <rv s="1">
    <v>1</v>
    <v>NIFTYBEES</v>
    <v>Daily</v>
    <v>45456</v>
    <v>45456</v>
    <v>0</v>
    <v>1</v>
    <v>638538336000000000,639087303770175108,0</v>
    <v>0</v>
    <v>ahj6w7</v>
    <v>XNSE:NIFTYBEES</v>
    <v>187</v>
  </rv>
  <rv s="1">
    <v>1</v>
    <v>NIFTYBEES</v>
    <v>Daily</v>
    <v>45476</v>
    <v>45476</v>
    <v>0</v>
    <v>1</v>
    <v>638555616000000000,639087303770195045,0</v>
    <v>0</v>
    <v>ahj6w7</v>
    <v>XNSE:NIFTYBEES</v>
    <v>188</v>
  </rv>
  <rv s="1">
    <v>1</v>
    <v>NIFTYBEES</v>
    <v>Daily</v>
    <v>45533</v>
    <v>45533</v>
    <v>0</v>
    <v>1</v>
    <v>638604864000000000,639087303770214935,0</v>
    <v>0</v>
    <v>ahj6w7</v>
    <v>XNSE:NIFTYBEES</v>
    <v>189</v>
  </rv>
  <rv s="1">
    <v>1</v>
    <v>NIFTYBEES</v>
    <v>Daily</v>
    <v>45687</v>
    <v>45687</v>
    <v>0</v>
    <v>1</v>
    <v>638737920000000000,639087303772481171,0</v>
    <v>0</v>
    <v>ahj6w7</v>
    <v>XNSE:NIFTYBEES</v>
    <v>190</v>
  </rv>
  <rv s="1">
    <v>1</v>
    <v>NIFTYBEES</v>
    <v>Daily</v>
    <v>45406</v>
    <v>45406</v>
    <v>0</v>
    <v>1</v>
    <v>638495136000000000,639087303772819104,0</v>
    <v>0</v>
    <v>ahj6w7</v>
    <v>XNSE:NIFTYBEES</v>
    <v>191</v>
  </rv>
  <rv s="1">
    <v>1</v>
    <v>NIFTYBEES</v>
    <v>Daily</v>
    <v>44763</v>
    <v>44763</v>
    <v>0</v>
    <v>1</v>
    <v>637939584000000000,639087303773759305,0</v>
    <v>0</v>
    <v>ahj6w7</v>
    <v>XNSE:NIFTYBEES</v>
    <v>192</v>
  </rv>
  <rv s="1">
    <v>1</v>
    <v>NIFTYBEES</v>
    <v>Daily</v>
    <v>45372</v>
    <v>45372</v>
    <v>0</v>
    <v>1</v>
    <v>638465760000000000,639087303776069797,0</v>
    <v>0</v>
    <v>ahj6w7</v>
    <v>XNSE:NIFTYBEES</v>
    <v>193</v>
  </rv>
  <rv s="1">
    <v>1</v>
    <v>NIFTYBEES</v>
    <v>Daily</v>
    <v>45722</v>
    <v>45722</v>
    <v>0</v>
    <v>1</v>
    <v>638768160000000000,639087303772594997,0</v>
    <v>0</v>
    <v>ahj6w7</v>
    <v>XNSE:NIFTYBEES</v>
    <v>194</v>
  </rv>
  <rv s="1">
    <v>1</v>
    <v>NIFTYBEES</v>
    <v>Daily</v>
    <v>45092</v>
    <v>45092</v>
    <v>0</v>
    <v>1</v>
    <v>638223840000000000,639087303776602191,0</v>
    <v>0</v>
    <v>ahj6w7</v>
    <v>XNSE:NIFTYBEES</v>
    <v>195</v>
  </rv>
  <rv s="1">
    <v>1</v>
    <v>NIFTYBEES</v>
    <v>Daily</v>
    <v>45182</v>
    <v>45182</v>
    <v>0</v>
    <v>1</v>
    <v>638301600000000000,639087303775399654,0</v>
    <v>0</v>
    <v>ahj6w7</v>
    <v>XNSE:NIFTYBEES</v>
    <v>196</v>
  </rv>
  <rv s="1">
    <v>1</v>
    <v>NIFTYBEES</v>
    <v>Daily</v>
    <v>44980</v>
    <v>44980</v>
    <v>0</v>
    <v>1</v>
    <v>638127072000000000,639087303776329851,0</v>
    <v>0</v>
    <v>ahj6w7</v>
    <v>XNSE:NIFTYBEES</v>
    <v>197</v>
  </rv>
  <rv s="1">
    <v>1</v>
    <v>NIFTYBEES</v>
    <v>Daily</v>
    <v>45071</v>
    <v>45071</v>
    <v>0</v>
    <v>1</v>
    <v>638205696000000000,639087303775021955,0</v>
    <v>0</v>
    <v>ahj6w7</v>
    <v>XNSE:NIFTYBEES</v>
    <v>198</v>
  </rv>
  <rv s="1">
    <v>1</v>
    <v>NIFTYBEES</v>
    <v>Daily</v>
    <v>44789</v>
    <v>44789</v>
    <v>0</v>
    <v>1</v>
    <v>637962048000000000,639087303775101602,0</v>
    <v>0</v>
    <v>ahj6w7</v>
    <v>XNSE:NIFTYBEES</v>
    <v>199</v>
  </rv>
  <rv s="1">
    <v>1</v>
    <v>NIFTYBEES</v>
    <v>Daily</v>
    <v>45624</v>
    <v>45624</v>
    <v>0</v>
    <v>1</v>
    <v>638683488000000000,639087303778269671,0</v>
    <v>0</v>
    <v>ahj6w7</v>
    <v>XNSE:NIFTYBEES</v>
    <v>200</v>
  </rv>
  <rv s="1">
    <v>1</v>
    <v>NIFTYBEES</v>
    <v>Daily</v>
    <v>45301</v>
    <v>45301</v>
    <v>0</v>
    <v>1</v>
    <v>638404416000000000,639087303779070433,0</v>
    <v>0</v>
    <v>ahj6w7</v>
    <v>XNSE:NIFTYBEES</v>
    <v>201</v>
  </rv>
  <rv s="1">
    <v>1</v>
    <v>NIFTYBEES</v>
    <v>Daily</v>
    <v>44859</v>
    <v>44859</v>
    <v>0</v>
    <v>1</v>
    <v>638022528000000000,639087303781000846,0</v>
    <v>0</v>
    <v>ahj6w7</v>
    <v>XNSE:NIFTYBEES</v>
    <v>202</v>
  </rv>
  <rv s="1">
    <v>1</v>
    <v>NIFTYBEES</v>
    <v>Daily</v>
    <v>45547</v>
    <v>45547</v>
    <v>0</v>
    <v>1</v>
    <v>638616960000000000,639087303781393234,0</v>
    <v>0</v>
    <v>ahj6w7</v>
    <v>XNSE:NIFTYBEES</v>
    <v>203</v>
  </rv>
  <rv s="1">
    <v>1</v>
    <v>NIFTYBEES</v>
    <v>Daily</v>
    <v>44497</v>
    <v>44497</v>
    <v>0</v>
    <v>1</v>
    <v>637709760000000000,639087303779520291,0</v>
    <v>0</v>
    <v>ahj6w7</v>
    <v>XNSE:NIFTYBEES</v>
    <v>204</v>
  </rv>
  <rv s="1">
    <v>1</v>
    <v>NIFTYBEES</v>
    <v>Daily</v>
    <v>45176</v>
    <v>45176</v>
    <v>0</v>
    <v>1</v>
    <v>638296416000000000,639087303779749288,0</v>
    <v>0</v>
    <v>ahj6w7</v>
    <v>XNSE:NIFTYBEES</v>
    <v>205</v>
  </rv>
  <rv s="1">
    <v>1</v>
    <v>NIFTYBEES</v>
    <v>Daily</v>
    <v>45118</v>
    <v>45118</v>
    <v>0</v>
    <v>1</v>
    <v>638246304000000000,639087303780227187,0</v>
    <v>0</v>
    <v>ahj6w7</v>
    <v>XNSE:NIFTYBEES</v>
    <v>206</v>
  </rv>
  <rv s="1">
    <v>1</v>
    <v>NIFTYBEES</v>
    <v>Daily</v>
    <v>45230</v>
    <v>45230</v>
    <v>0</v>
    <v>1</v>
    <v>638343072000000000,639087303781383235,0</v>
    <v>0</v>
    <v>ahj6w7</v>
    <v>XNSE:NIFTYBEES</v>
    <v>207</v>
  </rv>
  <rv s="1">
    <v>1</v>
    <v>NIFTYBEES</v>
    <v>Daily</v>
    <v>45335</v>
    <v>45335</v>
    <v>0</v>
    <v>1</v>
    <v>638433792000000000,639087303780460727,0</v>
    <v>0</v>
    <v>ahj6w7</v>
    <v>XNSE:NIFTYBEES</v>
    <v>208</v>
  </rv>
  <rv s="1">
    <v>1</v>
    <v>NIFTYBEES</v>
    <v>Daily</v>
    <v>45216</v>
    <v>45216</v>
    <v>0</v>
    <v>1</v>
    <v>638330976000000000,639087303780920829,0</v>
    <v>0</v>
    <v>ahj6w7</v>
    <v>XNSE:NIFTYBEES</v>
    <v>209</v>
  </rv>
  <rv s="1">
    <v>1</v>
    <v>NIFTYBEES</v>
    <v>Daily</v>
    <v>45449</v>
    <v>45449</v>
    <v>0</v>
    <v>1</v>
    <v>638532288000000000,639087303782771235,0</v>
    <v>0</v>
    <v>ahj6w7</v>
    <v>XNSE:NIFTYBEES</v>
    <v>210</v>
  </rv>
  <rv s="1">
    <v>1</v>
    <v>NIFTYBEES</v>
    <v>Daily</v>
    <v>44602</v>
    <v>44602</v>
    <v>0</v>
    <v>1</v>
    <v>637800480000000000,639087303779474228,0</v>
    <v>0</v>
    <v>ahj6w7</v>
    <v>XNSE:NIFTYBEES</v>
    <v>211</v>
  </rv>
  <rv s="1">
    <v>1</v>
    <v>NIFTYBEES</v>
    <v>Daily</v>
    <v>45637</v>
    <v>45637</v>
    <v>0</v>
    <v>1</v>
    <v>638694720000000000,639087303780396207,0</v>
    <v>0</v>
    <v>ahj6w7</v>
    <v>XNSE:NIFTYBEES</v>
    <v>212</v>
  </rv>
  <rv s="1">
    <v>1</v>
    <v>NIFTYBEES</v>
    <v>Daily</v>
    <v>45665</v>
    <v>45665</v>
    <v>0</v>
    <v>1</v>
    <v>638718912000000000,639087303780704846,0</v>
    <v>0</v>
    <v>ahj6w7</v>
    <v>XNSE:NIFTYBEES</v>
    <v>213</v>
  </rv>
  <rv s="1">
    <v>1</v>
    <v>NIFTYBEES</v>
    <v>Daily</v>
    <v>44847</v>
    <v>44847</v>
    <v>0</v>
    <v>1</v>
    <v>638012160000000000,639087303781162837,0</v>
    <v>0</v>
    <v>ahj6w7</v>
    <v>XNSE:NIFTYBEES</v>
    <v>140</v>
  </rv>
  <rv s="1">
    <v>1</v>
    <v>NIFTYBEES</v>
    <v>Daily</v>
    <v>44770</v>
    <v>44770</v>
    <v>0</v>
    <v>1</v>
    <v>637945632000000000,639087303782691214,0</v>
    <v>0</v>
    <v>ahj6w7</v>
    <v>XNSE:NIFTYBEES</v>
    <v>214</v>
  </rv>
  <rv s="1">
    <v>1</v>
    <v>NIFTYBEES</v>
    <v>Daily</v>
    <v>45386</v>
    <v>45386</v>
    <v>0</v>
    <v>1</v>
    <v>638477856000000000,639087303783161323,0</v>
    <v>0</v>
    <v>ahj6w7</v>
    <v>XNSE:NIFTYBEES</v>
    <v>215</v>
  </rv>
  <rv s="1">
    <v>1</v>
    <v>NIFTYBEES</v>
    <v>Daily</v>
    <v>45454</v>
    <v>45454</v>
    <v>0</v>
    <v>1</v>
    <v>638536608000000000,639087303784581630,0</v>
    <v>0</v>
    <v>ahj6w7</v>
    <v>XNSE:NIFTYBEES</v>
    <v>216</v>
  </rv>
  <rv s="1">
    <v>1</v>
    <v>NIFTYBEES</v>
    <v>Daily</v>
    <v>45686</v>
    <v>45686</v>
    <v>0</v>
    <v>1</v>
    <v>638737056000000000,639087303785051733,0</v>
    <v>0</v>
    <v>ahj6w7</v>
    <v>XNSE:NIFTYBEES</v>
    <v>217</v>
  </rv>
  <rv s="1">
    <v>1</v>
    <v>NIFTYBEES</v>
    <v>Daily</v>
    <v>45498</v>
    <v>45498</v>
    <v>0</v>
    <v>1</v>
    <v>638574624000000000,639087303785531837,0</v>
    <v>0</v>
    <v>ahj6w7</v>
    <v>XNSE:NIFTYBEES</v>
    <v>218</v>
  </rv>
  <rv s="1">
    <v>1</v>
    <v>NIFTYBEES</v>
    <v>Daily</v>
    <v>45568</v>
    <v>45568</v>
    <v>0</v>
    <v>1</v>
    <v>638635104000000000,639087303781247049,0</v>
    <v>0</v>
    <v>ahj6w7</v>
    <v>XNSE:NIFTYBEES</v>
    <v>219</v>
  </rv>
  <rv s="1">
    <v>1</v>
    <v>NIFTYBEES</v>
    <v>Daily</v>
    <v>45027</v>
    <v>45027</v>
    <v>0</v>
    <v>1</v>
    <v>638167680000000000,639087303781286906,0</v>
    <v>0</v>
    <v>ahj6w7</v>
    <v>XNSE:NIFTYBEES</v>
    <v>220</v>
  </rv>
  <rv s="1">
    <v>1</v>
    <v>NIFTYBEES</v>
    <v>Daily</v>
    <v>44922</v>
    <v>44922</v>
    <v>0</v>
    <v>1</v>
    <v>638076960000000000,639087303781326095,0</v>
    <v>0</v>
    <v>ahj6w7</v>
    <v>XNSE:NIFTYBEES</v>
    <v>221</v>
  </rv>
  <rv s="1">
    <v>1</v>
    <v>NIFTYBEES</v>
    <v>Daily</v>
    <v>45189</v>
    <v>45189</v>
    <v>0</v>
    <v>1</v>
    <v>638307648000000000,639087303781381514,0</v>
    <v>0</v>
    <v>ahj6w7</v>
    <v>XNSE:NIFTYBEES</v>
    <v>222</v>
  </rv>
  <rv s="1">
    <v>1</v>
    <v>NIFTYBEES</v>
    <v>Daily</v>
    <v>45281</v>
    <v>45281</v>
    <v>0</v>
    <v>1</v>
    <v>638387136000000000,639087303781441612,0</v>
    <v>0</v>
    <v>ahj6w7</v>
    <v>XNSE:NIFTYBEES</v>
    <v>223</v>
  </rv>
  <rv s="1">
    <v>1</v>
    <v>NIFTYBEES</v>
    <v>Daily</v>
    <v>44635</v>
    <v>44635</v>
    <v>0</v>
    <v>1</v>
    <v>637828992000000000,639087303781561089,0</v>
    <v>0</v>
    <v>ahj6w7</v>
    <v>XNSE:NIFTYBEES</v>
    <v>224</v>
  </rv>
  <rv s="1">
    <v>1</v>
    <v>NIFTYBEES</v>
    <v>Daily</v>
    <v>45728</v>
    <v>45728</v>
    <v>0</v>
    <v>1</v>
    <v>638773344000000000,639087303781581004,0</v>
    <v>0</v>
    <v>ahj6w7</v>
    <v>XNSE:NIFTYBEES</v>
    <v>225</v>
  </rv>
  <rv s="1">
    <v>1</v>
    <v>NIFTYBEES</v>
    <v>Daily</v>
    <v>45617</v>
    <v>45617</v>
    <v>0</v>
    <v>1</v>
    <v>638677440000000000,639087303784368318,0</v>
    <v>0</v>
    <v>ahj6w7</v>
    <v>XNSE:NIFTYBEES</v>
    <v>226</v>
  </rv>
  <rv s="1">
    <v>1</v>
    <v>NIFTYBEES</v>
    <v>Daily</v>
    <v>44861</v>
    <v>44861</v>
    <v>0</v>
    <v>1</v>
    <v>638024256000000000,639087303784390805,0</v>
    <v>0</v>
    <v>ahj6w7</v>
    <v>XNSE:NIFTYBEES</v>
    <v>227</v>
  </rv>
  <rv s="1">
    <v>1</v>
    <v>NIFTYBEES</v>
    <v>Daily</v>
    <v>45258</v>
    <v>45258</v>
    <v>0</v>
    <v>1</v>
    <v>638367264000000000,639087303785314621,0</v>
    <v>0</v>
    <v>ahj6w7</v>
    <v>XNSE:NIFTYBEES</v>
    <v>228</v>
  </rv>
  <rv s="1">
    <v>1</v>
    <v>NIFTYBEES</v>
    <v>Daily</v>
    <v>45400</v>
    <v>45400</v>
    <v>0</v>
    <v>1</v>
    <v>638489952000000000,639087303786741554,0</v>
    <v>0</v>
    <v>ahj6w7</v>
    <v>XNSE:NIFTYBEES</v>
    <v>229</v>
  </rv>
  <rv s="1">
    <v>1</v>
    <v>NIFTYBEES</v>
    <v>Daily</v>
    <v>45491</v>
    <v>45491</v>
    <v>0</v>
    <v>1</v>
    <v>638568576000000000,639087303788161868,0</v>
    <v>0</v>
    <v>ahj6w7</v>
    <v>XNSE:NIFTYBEES</v>
    <v>230</v>
  </rv>
  <rv s="1">
    <v>1</v>
    <v>NIFTYBEES</v>
    <v>Daily</v>
    <v>45309</v>
    <v>45309</v>
    <v>0</v>
    <v>1</v>
    <v>638411328000000000,639087303789102084,0</v>
    <v>0</v>
    <v>ahj6w7</v>
    <v>XNSE:NIFTYBEES</v>
    <v>231</v>
  </rv>
  <rv s="1">
    <v>1</v>
    <v>NIFTYBEES</v>
    <v>Daily</v>
    <v>44658</v>
    <v>44658</v>
    <v>0</v>
    <v>1</v>
    <v>637848864000000000,639087303790042304,0</v>
    <v>0</v>
    <v>ahj6w7</v>
    <v>XNSE:NIFTYBEES</v>
    <v>232</v>
  </rv>
  <rv s="1">
    <v>1</v>
    <v>NIFTYBEES</v>
    <v>Daily</v>
    <v>45518</v>
    <v>45518</v>
    <v>0</v>
    <v>1</v>
    <v>638591904000000000,639087303790512410,0</v>
    <v>0</v>
    <v>ahj6w7</v>
    <v>XNSE:NIFTYBEES</v>
    <v>233</v>
  </rv>
  <rv s="1">
    <v>1</v>
    <v>NIFTYBEES</v>
    <v>Daily</v>
    <v>44623</v>
    <v>44623</v>
    <v>0</v>
    <v>1</v>
    <v>637818624000000000,639087303790982519,0</v>
    <v>0</v>
    <v>ahj6w7</v>
    <v>XNSE:NIFTYBEES</v>
    <v>234</v>
  </rv>
  <rv s="1">
    <v>1</v>
    <v>NIFTYBEES</v>
    <v>Daily</v>
    <v>45763</v>
    <v>45763</v>
    <v>0</v>
    <v>1</v>
    <v>638803584000000000,639087303786292446,0</v>
    <v>0</v>
    <v>ahj6w7</v>
    <v>XNSE:NIFTYBEES</v>
    <v>235</v>
  </rv>
  <rv s="1">
    <v>1</v>
    <v>NIFTYBEES</v>
    <v>Daily</v>
    <v>45743</v>
    <v>45743</v>
    <v>0</v>
    <v>1</v>
    <v>638786304000000000,639087303787108858,0</v>
    <v>0</v>
    <v>ahj6w7</v>
    <v>XNSE:NIFTYBEES</v>
    <v>236</v>
  </rv>
  <rv s="1">
    <v>1</v>
    <v>NIFTYBEES</v>
    <v>Daily</v>
    <v>44740</v>
    <v>44740</v>
    <v>0</v>
    <v>1</v>
    <v>637919712000000000,639087303787268159,0</v>
    <v>0</v>
    <v>ahj6w7</v>
    <v>XNSE:NIFTYBEES</v>
    <v>237</v>
  </rv>
  <rv s="1">
    <v>1</v>
    <v>NIFTYBEES</v>
    <v>Daily</v>
    <v>44796</v>
    <v>44796</v>
    <v>0</v>
    <v>1</v>
    <v>637968096000000000,639087303786349712,0</v>
    <v>0</v>
    <v>ahj6w7</v>
    <v>XNSE:NIFTYBEES</v>
    <v>238</v>
  </rv>
  <rv s="1">
    <v>1</v>
    <v>NIFTYBEES</v>
    <v>Daily</v>
    <v>45245</v>
    <v>45245</v>
    <v>0</v>
    <v>1</v>
    <v>638356032000000000,639087303786622077,0</v>
    <v>0</v>
    <v>ahj6w7</v>
    <v>XNSE:NIFTYBEES</v>
    <v>239</v>
  </rv>
  <rv s="1">
    <v>1</v>
    <v>NIFTYBEES</v>
    <v>Daily</v>
    <v>45587</v>
    <v>45587</v>
    <v>0</v>
    <v>1</v>
    <v>638651520000000000,639087303786982156,0</v>
    <v>0</v>
    <v>ahj6w7</v>
    <v>XNSE:NIFTYBEES</v>
    <v>240</v>
  </rv>
  <rv s="1">
    <v>1</v>
    <v>NIFTYBEES</v>
    <v>Daily</v>
    <v>45426</v>
    <v>45426</v>
    <v>0</v>
    <v>1</v>
    <v>638512416000000000,639087303788422461,0</v>
    <v>0</v>
    <v>ahj6w7</v>
    <v>XNSE:NIFTYBEES</v>
    <v>241</v>
  </rv>
  <rv s="1">
    <v>1</v>
    <v>NIFTYBEES</v>
    <v>Daily</v>
    <v>45482</v>
    <v>45482</v>
    <v>0</v>
    <v>1</v>
    <v>638560800000000000,639087303787216596,0</v>
    <v>0</v>
    <v>ahj6w7</v>
    <v>XNSE:NIFTYBEES</v>
    <v>242</v>
  </rv>
  <rv s="1">
    <v>1</v>
    <v>NIFTYBEES</v>
    <v>Daily</v>
    <v>45239</v>
    <v>45239</v>
    <v>0</v>
    <v>1</v>
    <v>638350848000000000,639087303787751785,0</v>
    <v>0</v>
    <v>ahj6w7</v>
    <v>XNSE:NIFTYBEES</v>
    <v>243</v>
  </rv>
  <rv s="1">
    <v>1</v>
    <v>NIFTYBEES</v>
    <v>Daily</v>
    <v>45512</v>
    <v>45512</v>
    <v>0</v>
    <v>1</v>
    <v>638586720000000000,639087303789004840,0</v>
    <v>0</v>
    <v>ahj6w7</v>
    <v>XNSE:NIFTYBEES</v>
    <v>244</v>
  </rv>
  <rv s="1">
    <v>1</v>
    <v>NIFTYBEES</v>
    <v>Daily</v>
    <v>45328</v>
    <v>45328</v>
    <v>0</v>
    <v>1</v>
    <v>638427744000000000,639087303789184878,0</v>
    <v>0</v>
    <v>ahj6w7</v>
    <v>XNSE:NIFTYBEES</v>
    <v>245</v>
  </rv>
  <rv s="1">
    <v>1</v>
    <v>NIFTYBEES</v>
    <v>Daily</v>
    <v>45104</v>
    <v>45104</v>
    <v>0</v>
    <v>1</v>
    <v>638234208000000000,639087303791273096,0</v>
    <v>0</v>
    <v>ahj6w7</v>
    <v>XNSE:NIFTYBEES</v>
    <v>246</v>
  </rv>
  <rv s="1">
    <v>1</v>
    <v>NIFTYBEES</v>
    <v>Daily</v>
    <v>44700</v>
    <v>44700</v>
    <v>0</v>
    <v>1</v>
    <v>637885152000000000,639087303788930859,0</v>
    <v>0</v>
    <v>ahj6w7</v>
    <v>XNSE:NIFTYBEES</v>
    <v>247</v>
  </rv>
  <rv s="1">
    <v>1</v>
    <v>NIFTYBEES</v>
    <v>Daily</v>
    <v>45693</v>
    <v>45693</v>
    <v>0</v>
    <v>1</v>
    <v>638743104000000000,639087303789665059,0</v>
    <v>0</v>
    <v>ahj6w7</v>
    <v>XNSE:NIFTYBEES</v>
    <v>248</v>
  </rv>
  <rv s="1">
    <v>1</v>
    <v>NIFTYBEES</v>
    <v>Daily</v>
    <v>45356</v>
    <v>45356</v>
    <v>0</v>
    <v>1</v>
    <v>638451936000000000,639087303790153395,0</v>
    <v>0</v>
    <v>ahj6w7</v>
    <v>XNSE:NIFTYBEES</v>
    <v>249</v>
  </rv>
  <rv s="1">
    <v>1</v>
    <v>NIFTYBEES</v>
    <v>Daily</v>
    <v>45525</v>
    <v>45525</v>
    <v>0</v>
    <v>1</v>
    <v>638597952000000000,639087303790322170,0</v>
    <v>0</v>
    <v>ahj6w7</v>
    <v>XNSE:NIFTYBEES</v>
    <v>250</v>
  </rv>
  <rv s="1">
    <v>1</v>
    <v>NIFTYBEES</v>
    <v>Daily</v>
    <v>45644</v>
    <v>45644</v>
    <v>0</v>
    <v>1</v>
    <v>638700768000000000,639087303790640771,0</v>
    <v>0</v>
    <v>ahj6w7</v>
    <v>XNSE:NIFTYBEES</v>
    <v>77</v>
  </rv>
  <rv s="1">
    <v>1</v>
    <v>NIFTYBEES</v>
    <v>Daily</v>
    <v>44721</v>
    <v>44721</v>
    <v>0</v>
    <v>1</v>
    <v>637903296000000000,639087303790989248,0</v>
    <v>0</v>
    <v>ahj6w7</v>
    <v>XNSE:NIFTYBEES</v>
    <v>251</v>
  </rv>
  <rv s="1">
    <v>1</v>
    <v>NIFTYBEES</v>
    <v>Daily</v>
    <v>45658</v>
    <v>45658</v>
    <v>0</v>
    <v>1</v>
    <v>638712864000000000,639087303789938923,0</v>
    <v>0</v>
    <v>ahj6w7</v>
    <v>XNSE:NIFTYBEES</v>
    <v>252</v>
  </rv>
  <rv s="1">
    <v>1</v>
    <v>NIFTYBEES</v>
    <v>Daily</v>
    <v>44525</v>
    <v>44525</v>
    <v>0</v>
    <v>1</v>
    <v>637733952000000000,639087303790973743,0</v>
    <v>0</v>
    <v>ahj6w7</v>
    <v>XNSE:NIFTYBEES</v>
    <v>253</v>
  </rv>
  <rv s="1">
    <v>1</v>
    <v>NIFTYBEES</v>
    <v>Daily</v>
    <v>45385</v>
    <v>45385</v>
    <v>0</v>
    <v>1</v>
    <v>638476992000000000,639087303790994297,0</v>
    <v>0</v>
    <v>ahj6w7</v>
    <v>XNSE:NIFTYBEES</v>
    <v>254</v>
  </rv>
  <rv s="1">
    <v>1</v>
    <v>NIFTYBEES</v>
    <v>Daily</v>
    <v>45615</v>
    <v>45615</v>
    <v>0</v>
    <v>1</v>
    <v>638675712000000000,639087303791024162,0</v>
    <v>0</v>
    <v>ahj6w7</v>
    <v>XNSE:NIFTYBEES</v>
    <v>255</v>
  </rv>
  <rv s="1">
    <v>1</v>
    <v>NIFTYBEES</v>
    <v>Daily</v>
    <v>45384</v>
    <v>45384</v>
    <v>0</v>
    <v>1</v>
    <v>638476128000000000,639087303791044074,0</v>
    <v>0</v>
    <v>ahj6w7</v>
    <v>XNSE:NIFTYBEES</v>
    <v>256</v>
  </rv>
  <rv s="1">
    <v>1</v>
    <v>NIFTYBEES</v>
    <v>Daily</v>
    <v>45589</v>
    <v>45589</v>
    <v>0</v>
    <v>1</v>
    <v>638653248000000000,639087303791451618,0</v>
    <v>0</v>
    <v>ahj6w7</v>
    <v>XNSE:NIFTYBEES</v>
    <v>257</v>
  </rv>
  <rv s="1">
    <v>1</v>
    <v>NIFTYBEES</v>
    <v>Daily</v>
    <v>45210</v>
    <v>45210</v>
    <v>0</v>
    <v>1</v>
    <v>638325792000000000,639087303794473301,0</v>
    <v>0</v>
    <v>ahj6w7</v>
    <v>XNSE:NIFTYBEES</v>
    <v>258</v>
  </rv>
  <rv s="1">
    <v>1</v>
    <v>NIFTYBEES</v>
    <v>Daily</v>
    <v>45252</v>
    <v>45252</v>
    <v>0</v>
    <v>1</v>
    <v>638362080000000000,639087303796404218,0</v>
    <v>0</v>
    <v>ahj6w7</v>
    <v>XNSE:NIFTYBEES</v>
    <v>259</v>
  </rv>
  <rv s="1">
    <v>1</v>
    <v>NIFTYBEES</v>
    <v>Daily</v>
    <v>45736</v>
    <v>45736</v>
    <v>0</v>
    <v>1</v>
    <v>638780256000000000,639087303797846734,0</v>
    <v>0</v>
    <v>ahj6w7</v>
    <v>XNSE:NIFTYBEES</v>
    <v>260</v>
  </rv>
  <rv s="1">
    <v>1</v>
    <v>NIFTYBEES</v>
    <v>Daily</v>
    <v>45307</v>
    <v>45307</v>
    <v>0</v>
    <v>1</v>
    <v>638409600000000000,639087303800245059,0</v>
    <v>0</v>
    <v>ahj6w7</v>
    <v>XNSE:NIFTYBEES</v>
    <v>261</v>
  </rv>
  <rv s="1">
    <v>1</v>
    <v>NIFTYBEES</v>
    <v>Daily</v>
    <v>45475</v>
    <v>45475</v>
    <v>0</v>
    <v>1</v>
    <v>638554752000000000,639087303795270916,0</v>
    <v>0</v>
    <v>ahj6w7</v>
    <v>XNSE:NIFTYBEES</v>
    <v>262</v>
  </rv>
  <rv s="1">
    <v>1</v>
    <v>NIFTYBEES</v>
    <v>Daily</v>
    <v>45650</v>
    <v>45650</v>
    <v>0</v>
    <v>1</v>
    <v>638705952000000000,639087303796246375,0</v>
    <v>0</v>
    <v>ahj6w7</v>
    <v>XNSE:NIFTYBEES</v>
    <v>263</v>
  </rv>
  <rv s="1">
    <v>1</v>
    <v>NIFTYBEES</v>
    <v>Daily</v>
    <v>45540</v>
    <v>45540</v>
    <v>0</v>
    <v>1</v>
    <v>638610912000000000,639087303796286192,0</v>
    <v>0</v>
    <v>ahj6w7</v>
    <v>XNSE:NIFTYBEES</v>
    <v>264</v>
  </rv>
  <rv s="1">
    <v>1</v>
    <v>NIFTYBEES</v>
    <v>Daily</v>
    <v>44915</v>
    <v>44915</v>
    <v>0</v>
    <v>1</v>
    <v>638070912000000000,639087303795151178,0</v>
    <v>0</v>
    <v>ahj6w7</v>
    <v>XNSE:NIFTYBEES</v>
    <v>265</v>
  </rv>
  <rv s="1">
    <v>1</v>
    <v>NIFTYBEES</v>
    <v>Daily</v>
    <v>45701</v>
    <v>45701</v>
    <v>0</v>
    <v>1</v>
    <v>638750016000000000,639087303796543756,0</v>
    <v>0</v>
    <v>ahj6w7</v>
    <v>XNSE:NIFTYBEES</v>
    <v>266</v>
  </rv>
  <rv s="1">
    <v>1</v>
    <v>NIFTYBEES</v>
    <v>Daily</v>
    <v>45469</v>
    <v>45469</v>
    <v>0</v>
    <v>1</v>
    <v>638549568000000000,639087303797333930,0</v>
    <v>0</v>
    <v>ahj6w7</v>
    <v>XNSE:NIFTYBEES</v>
    <v>267</v>
  </rv>
  <rv s="1">
    <v>1</v>
    <v>NIFTYBEES</v>
    <v>Daily</v>
    <v>44824</v>
    <v>44824</v>
    <v>0</v>
    <v>1</v>
    <v>637992288000000000,639087303798154111,0</v>
    <v>0</v>
    <v>ahj6w7</v>
    <v>XNSE:NIFTYBEES</v>
    <v>268</v>
  </rv>
  <rv s="1">
    <v>1</v>
    <v>NIFTYBEES</v>
    <v>Daily</v>
    <v>45224</v>
    <v>45224</v>
    <v>0</v>
    <v>1</v>
    <v>638337888000000000,639087303799724457,0</v>
    <v>0</v>
    <v>ahj6w7</v>
    <v>XNSE:NIFTYBEES</v>
    <v>269</v>
  </rv>
  <rv s="1">
    <v>1</v>
    <v>NIFTYBEES</v>
    <v>Daily</v>
    <v>45580</v>
    <v>45580</v>
    <v>0</v>
    <v>1</v>
    <v>638645472000000000,639087303796340171,0</v>
    <v>0</v>
    <v>ahj6w7</v>
    <v>XNSE:NIFTYBEES</v>
    <v>270</v>
  </rv>
  <rv s="1">
    <v>1</v>
    <v>NIFTYBEES</v>
    <v>Daily</v>
    <v>45442</v>
    <v>45442</v>
    <v>0</v>
    <v>1</v>
    <v>638526240000000000,639087303796653781,0</v>
    <v>0</v>
    <v>ahj6w7</v>
    <v>XNSE:NIFTYBEES</v>
    <v>271</v>
  </rv>
  <rv s="1">
    <v>1</v>
    <v>NIFTYBEES</v>
    <v>Daily</v>
    <v>44978</v>
    <v>44978</v>
    <v>0</v>
    <v>1</v>
    <v>638125344000000000,639087303798334151,0</v>
    <v>0</v>
    <v>ahj6w7</v>
    <v>XNSE:NIFTYBEES</v>
    <v>272</v>
  </rv>
  <rv s="1">
    <v>1</v>
    <v>NIFTYBEES</v>
    <v>Daily</v>
    <v>45132</v>
    <v>45132</v>
    <v>0</v>
    <v>1</v>
    <v>638258400000000000,639087303799174336,0</v>
    <v>0</v>
    <v>ahj6w7</v>
    <v>XNSE:NIFTYBEES</v>
    <v>273</v>
  </rv>
  <rv s="1">
    <v>1</v>
    <v>NIFTYBEES</v>
    <v>Daily</v>
    <v>44852</v>
    <v>44852</v>
    <v>0</v>
    <v>1</v>
    <v>638016480000000000,639087303796166991,0</v>
    <v>0</v>
    <v>ahj6w7</v>
    <v>XNSE:NIFTYBEES</v>
    <v>274</v>
  </rv>
  <rv s="1">
    <v>1</v>
    <v>NIFTYBEES</v>
    <v>Daily</v>
    <v>44910</v>
    <v>44910</v>
    <v>0</v>
    <v>1</v>
    <v>638066592000000000,639087303796467803,0</v>
    <v>0</v>
    <v>ahj6w7</v>
    <v>XNSE:NIFTYBEES</v>
    <v>275</v>
  </rv>
  <rv s="1">
    <v>1</v>
    <v>NIFTYBEES</v>
    <v>Daily</v>
    <v>45330</v>
    <v>45330</v>
    <v>0</v>
    <v>1</v>
    <v>638429472000000000,639087303797072513,0</v>
    <v>0</v>
    <v>ahj6w7</v>
    <v>XNSE:NIFTYBEES</v>
    <v>276</v>
  </rv>
  <rv s="1">
    <v>1</v>
    <v>NIFTYBEES</v>
    <v>Daily</v>
    <v>44768</v>
    <v>44768</v>
    <v>0</v>
    <v>1</v>
    <v>637943904000000000,639087303797224483,0</v>
    <v>0</v>
    <v>ahj6w7</v>
    <v>XNSE:NIFTYBEES</v>
    <v>277</v>
  </rv>
  <rv s="1">
    <v>1</v>
    <v>NIFTYBEES</v>
    <v>Daily</v>
    <v>45090</v>
    <v>45090</v>
    <v>0</v>
    <v>1</v>
    <v>638222112000000000,639087303796161623,0</v>
    <v>0</v>
    <v>ahj6w7</v>
    <v>XNSE:NIFTYBEES</v>
    <v>278</v>
  </rv>
  <rv s="1">
    <v>1</v>
    <v>NIFTYBEES</v>
    <v>Daily</v>
    <v>45161</v>
    <v>45161</v>
    <v>0</v>
    <v>1</v>
    <v>638283456000000000,639087303796231312,0</v>
    <v>0</v>
    <v>ahj6w7</v>
    <v>XNSE:NIFTYBEES</v>
    <v>279</v>
  </rv>
  <rv s="1">
    <v>1</v>
    <v>NIFTYBEES</v>
    <v>Daily</v>
    <v>45531</v>
    <v>45531</v>
    <v>0</v>
    <v>1</v>
    <v>638603136000000000,639087303796250539,0</v>
    <v>0</v>
    <v>ahj6w7</v>
    <v>XNSE:NIFTYBEES</v>
    <v>280</v>
  </rv>
  <rv s="1">
    <v>1</v>
    <v>NIFTYBEES</v>
    <v>Daily</v>
    <v>45610</v>
    <v>45610</v>
    <v>0</v>
    <v>1</v>
    <v>638671392000000000,639087303796270455,0</v>
    <v>0</v>
    <v>ahj6w7</v>
    <v>XNSE:NIFTYBEES</v>
    <v>281</v>
  </rv>
  <rv s="1">
    <v>1</v>
    <v>NIFTYBEES</v>
    <v>Daily</v>
    <v>45265</v>
    <v>45265</v>
    <v>0</v>
    <v>1</v>
    <v>638373312000000000,639087303796290350,0</v>
    <v>0</v>
    <v>ahj6w7</v>
    <v>XNSE:NIFTYBEES</v>
    <v>282</v>
  </rv>
  <rv s="1">
    <v>1</v>
    <v>NIFTYBEES</v>
    <v>Daily</v>
    <v>45085</v>
    <v>45085</v>
    <v>0</v>
    <v>1</v>
    <v>638217792000000000,639087303796310281,0</v>
    <v>0</v>
    <v>ahj6w7</v>
    <v>XNSE:NIFTYBEES</v>
    <v>283</v>
  </rv>
  <rv s="1">
    <v>1</v>
    <v>NIFTYBEES</v>
    <v>Daily</v>
    <v>44651</v>
    <v>44651</v>
    <v>0</v>
    <v>1</v>
    <v>637842816000000000,639087303835792509,0</v>
    <v>0</v>
    <v>ahj6w7</v>
    <v>XNSE:NIFTYBEES</v>
    <v>284</v>
  </rv>
  <rv s="1">
    <v>1</v>
    <v>NIFTYBEES</v>
    <v>Daily</v>
    <v>45266</v>
    <v>45266</v>
    <v>0</v>
    <v>1</v>
    <v>638374176000000000,639087303835911974,0</v>
    <v>0</v>
    <v>ahj6w7</v>
    <v>XNSE:NIFTYBEES</v>
    <v>285</v>
  </rv>
  <rv s="1">
    <v>1</v>
    <v>NIFTYBEES</v>
    <v>Daily</v>
    <v>45272</v>
    <v>45272</v>
    <v>0</v>
    <v>1</v>
    <v>638379360000000000,639087303835931899,0</v>
    <v>0</v>
    <v>ahj6w7</v>
    <v>XNSE:NIFTYBEES</v>
    <v>286</v>
  </rv>
  <rv s="1">
    <v>1</v>
    <v>NIFTYBEES</v>
    <v>Daily</v>
    <v>44868</v>
    <v>44868</v>
    <v>0</v>
    <v>1</v>
    <v>638030304000000000,639087303800437295,0</v>
    <v>0</v>
    <v>ahj6w7</v>
    <v>XNSE:NIFTYBEES</v>
    <v>287</v>
  </rv>
  <rv s="1">
    <v>1</v>
    <v>NIFTYBEES</v>
    <v>Daily</v>
    <v>44817</v>
    <v>44817</v>
    <v>0</v>
    <v>1</v>
    <v>637986240000000000,639087303802117666,0</v>
    <v>0</v>
    <v>ahj6w7</v>
    <v>XNSE:NIFTYBEES</v>
    <v>288</v>
  </rv>
  <rv s="1">
    <v>1</v>
    <v>NIFTYBEES</v>
    <v>Daily</v>
    <v>44784</v>
    <v>44784</v>
    <v>0</v>
    <v>1</v>
    <v>637957728000000000,639087303801546997,0</v>
    <v>0</v>
    <v>ahj6w7</v>
    <v>XNSE:NIFTYBEES</v>
    <v>289</v>
  </rv>
  <rv s="1">
    <v>1</v>
    <v>NIFTYBEES</v>
    <v>Daily</v>
    <v>45253</v>
    <v>45253</v>
    <v>0</v>
    <v>1</v>
    <v>638362944000000000,639087303802452600,0</v>
    <v>0</v>
    <v>ahj6w7</v>
    <v>XNSE:NIFTYBEES</v>
    <v>290</v>
  </rv>
  <rv s="1">
    <v>1</v>
    <v>NIFTYBEES</v>
    <v>Daily</v>
    <v>44735</v>
    <v>44735</v>
    <v>0</v>
    <v>1</v>
    <v>637915392000000000,639087303802910590,0</v>
    <v>0</v>
    <v>ahj6w7</v>
    <v>XNSE:NIFTYBEES</v>
    <v>291</v>
  </rv>
  <rv s="1">
    <v>1</v>
    <v>NIFTYBEES</v>
    <v>Daily</v>
    <v>45204</v>
    <v>45204</v>
    <v>0</v>
    <v>1</v>
    <v>638320608000000000,639087303801587545,0</v>
    <v>0</v>
    <v>ahj6w7</v>
    <v>XNSE:NIFTYBEES</v>
    <v>292</v>
  </rv>
  <rv s="1">
    <v>1</v>
    <v>NIFTYBEES</v>
    <v>Daily</v>
    <v>45343</v>
    <v>45343</v>
    <v>0</v>
    <v>1</v>
    <v>638440704000000000,639087303802067649,0</v>
    <v>0</v>
    <v>ahj6w7</v>
    <v>XNSE:NIFTYBEES</v>
    <v>293</v>
  </rv>
  <rv s="1">
    <v>1</v>
    <v>NIFTYBEES</v>
    <v>Daily</v>
    <v>45351</v>
    <v>45351</v>
    <v>0</v>
    <v>1</v>
    <v>638447616000000000,639087303803968062,0</v>
    <v>0</v>
    <v>ahj6w7</v>
    <v>XNSE:NIFTYBEES</v>
    <v>294</v>
  </rv>
  <rv s="1">
    <v>1</v>
    <v>NIFTYBEES</v>
    <v>Daily</v>
    <v>44705</v>
    <v>44705</v>
    <v>0</v>
    <v>1</v>
    <v>637889472000000000,639087303805388369,0</v>
    <v>0</v>
    <v>ahj6w7</v>
    <v>XNSE:NIFTYBEES</v>
    <v>295</v>
  </rv>
  <rv s="1">
    <v>1</v>
    <v>NIFTYBEES</v>
    <v>Daily</v>
    <v>44616</v>
    <v>44616</v>
    <v>0</v>
    <v>1</v>
    <v>637812576000000000,639087303805868479,0</v>
    <v>0</v>
    <v>ahj6w7</v>
    <v>XNSE:NIFTYBEES</v>
    <v>296</v>
  </rv>
  <rv s="1">
    <v>1</v>
    <v>NIFTYBEES</v>
    <v>Daily</v>
    <v>45190</v>
    <v>45190</v>
    <v>0</v>
    <v>1</v>
    <v>638308512000000000,639087303802133998,0</v>
    <v>0</v>
    <v>ahj6w7</v>
    <v>XNSE:NIFTYBEES</v>
    <v>297</v>
  </rv>
  <rv s="1">
    <v>1</v>
    <v>NIFTYBEES</v>
    <v>Daily</v>
    <v>45497</v>
    <v>45497</v>
    <v>0</v>
    <v>1</v>
    <v>638573760000000000,639087303803288927,0</v>
    <v>0</v>
    <v>ahj6w7</v>
    <v>XNSE:NIFTYBEES</v>
    <v>298</v>
  </rv>
  <rv s="1">
    <v>1</v>
    <v>NIFTYBEES</v>
    <v>Daily</v>
    <v>44693</v>
    <v>44693</v>
    <v>0</v>
    <v>1</v>
    <v>637879104000000000,639087303802074268,0</v>
    <v>0</v>
    <v>ahj6w7</v>
    <v>XNSE:NIFTYBEES</v>
    <v>299</v>
  </rv>
  <rv s="1">
    <v>1</v>
    <v>NIFTYBEES</v>
    <v>Daily</v>
    <v>45526</v>
    <v>45526</v>
    <v>0</v>
    <v>1</v>
    <v>638598816000000000,639087303802552164,0</v>
    <v>0</v>
    <v>ahj6w7</v>
    <v>XNSE:NIFTYBEES</v>
    <v>300</v>
  </rv>
  <rv s="1">
    <v>1</v>
    <v>NIFTYBEES</v>
    <v>Daily</v>
    <v>45574</v>
    <v>45574</v>
    <v>0</v>
    <v>1</v>
    <v>638640288000000000,639087303803508390,0</v>
    <v>0</v>
    <v>ahj6w7</v>
    <v>XNSE:NIFTYBEES</v>
    <v>301</v>
  </rv>
  <rv s="1">
    <v>1</v>
    <v>NIFTYBEES</v>
    <v>Daily</v>
    <v>45419</v>
    <v>45419</v>
    <v>0</v>
    <v>1</v>
    <v>638506368000000000,639087303803747342,0</v>
    <v>0</v>
    <v>ahj6w7</v>
    <v>XNSE:NIFTYBEES</v>
    <v>302</v>
  </rv>
  <rv s="1">
    <v>1</v>
    <v>NIFTYBEES</v>
    <v>Daily</v>
    <v>45034</v>
    <v>45034</v>
    <v>0</v>
    <v>1</v>
    <v>638173728000000000,639087303802209940,0</v>
    <v>0</v>
    <v>ahj6w7</v>
    <v>XNSE:NIFTYBEES</v>
    <v>303</v>
  </rv>
  <rv s="1">
    <v>1</v>
    <v>NIFTYBEES</v>
    <v>Daily</v>
    <v>45183</v>
    <v>45183</v>
    <v>0</v>
    <v>1</v>
    <v>638302464000000000,639087303802269678,0</v>
    <v>0</v>
    <v>ahj6w7</v>
    <v>XNSE:NIFTYBEES</v>
    <v>304</v>
  </rv>
  <rv s="1">
    <v>1</v>
    <v>NIFTYBEES</v>
    <v>Daily</v>
    <v>45405</v>
    <v>45405</v>
    <v>0</v>
    <v>1</v>
    <v>638494272000000000,639087303803668699,0</v>
    <v>0</v>
    <v>ahj6w7</v>
    <v>XNSE:NIFTYBEES</v>
    <v>305</v>
  </rv>
  <rv s="1">
    <v>1</v>
    <v>NIFTYBEES</v>
    <v>Daily</v>
    <v>45713</v>
    <v>45713</v>
    <v>0</v>
    <v>1</v>
    <v>638760384000000000,639087303803707781,0</v>
    <v>0</v>
    <v>ahj6w7</v>
    <v>XNSE:NIFTYBEES</v>
    <v>194</v>
  </rv>
  <rv s="1">
    <v>1</v>
    <v>NIFTYBEES</v>
    <v>Daily</v>
    <v>44889</v>
    <v>44889</v>
    <v>0</v>
    <v>1</v>
    <v>638048448000000000,639087303804201491,0</v>
    <v>0</v>
    <v>ahj6w7</v>
    <v>XNSE:NIFTYBEES</v>
    <v>306</v>
  </rv>
  <rv s="1">
    <v>1</v>
    <v>NIFTYBEES</v>
    <v>Daily</v>
    <v>45462</v>
    <v>45462</v>
    <v>0</v>
    <v>1</v>
    <v>638543520000000000,639087303804236196,0</v>
    <v>0</v>
    <v>ahj6w7</v>
    <v>XNSE:NIFTYBEES</v>
    <v>307</v>
  </rv>
  <rv s="1">
    <v>1</v>
    <v>NIFTYBEES</v>
    <v>Daily</v>
    <v>45022</v>
    <v>45022</v>
    <v>0</v>
    <v>1</v>
    <v>638163360000000000,639087303804265359,0</v>
    <v>0</v>
    <v>ahj6w7</v>
    <v>XNSE:NIFTYBEES</v>
    <v>308</v>
  </rv>
  <rv s="1">
    <v>1</v>
    <v>NIFTYBEES</v>
    <v>Daily</v>
    <v>45174</v>
    <v>45174</v>
    <v>0</v>
    <v>1</v>
    <v>638294688000000000,639087303805336197,0</v>
    <v>0</v>
    <v>ahj6w7</v>
    <v>XNSE:NIFTYBEES</v>
    <v>309</v>
  </rv>
  <rv s="1">
    <v>1</v>
    <v>NIFTYBEES</v>
    <v>Daily</v>
    <v>45057</v>
    <v>45057</v>
    <v>0</v>
    <v>1</v>
    <v>638193600000000000,639087303805395943,0</v>
    <v>0</v>
    <v>ahj6w7</v>
    <v>XNSE:NIFTYBEES</v>
    <v>310</v>
  </rv>
  <rv s="1">
    <v>1</v>
    <v>NIFTYBEES</v>
    <v>Daily</v>
    <v>45217</v>
    <v>45217</v>
    <v>0</v>
    <v>1</v>
    <v>638331840000000000,639087303805485551,0</v>
    <v>0</v>
    <v>ahj6w7</v>
    <v>XNSE:NIFTYBEES</v>
    <v>311</v>
  </rv>
  <rv s="1">
    <v>1</v>
    <v>NIFTYBEES</v>
    <v>Daily</v>
    <v>45125</v>
    <v>45125</v>
    <v>0</v>
    <v>1</v>
    <v>638252352000000000,639087303807220558,0</v>
    <v>0</v>
    <v>ahj6w7</v>
    <v>XNSE:NIFTYBEES</v>
    <v>312</v>
  </rv>
  <rv s="1">
    <v>1</v>
    <v>NIFTYBEES</v>
    <v>Daily</v>
    <v>44854</v>
    <v>44854</v>
    <v>0</v>
    <v>1</v>
    <v>638018208000000000,639087303807678551,0</v>
    <v>0</v>
    <v>ahj6w7</v>
    <v>XNSE:NIFTYBEES</v>
    <v>313</v>
  </rv>
  <rv s="1">
    <v>1</v>
    <v>NIFTYBEES</v>
    <v>Daily</v>
    <v>45692</v>
    <v>45692</v>
    <v>0</v>
    <v>1</v>
    <v>638742240000000000,639087303811109606,0</v>
    <v>0</v>
    <v>ahj6w7</v>
    <v>XNSE:NIFTYBEES</v>
    <v>314</v>
  </rv>
  <rv s="1">
    <v>1</v>
    <v>NIFTYBEES</v>
    <v>Daily</v>
    <v>45595</v>
    <v>45595</v>
    <v>0</v>
    <v>1</v>
    <v>638658432000000000,639087303807995015,0</v>
    <v>0</v>
    <v>ahj6w7</v>
    <v>XNSE:NIFTYBEES</v>
    <v>315</v>
  </rv>
  <rv s="1">
    <v>1</v>
    <v>NIFTYBEES</v>
    <v>Daily</v>
    <v>45706</v>
    <v>45706</v>
    <v>0</v>
    <v>1</v>
    <v>638754336000000000,639087303808034848,0</v>
    <v>0</v>
    <v>ahj6w7</v>
    <v>XNSE:NIFTYBEES</v>
    <v>316</v>
  </rv>
  <rv s="1">
    <v>1</v>
    <v>NIFTYBEES</v>
    <v>Daily</v>
    <v>45699</v>
    <v>45699</v>
    <v>0</v>
    <v>1</v>
    <v>638748288000000000,639087303808074671,0</v>
    <v>0</v>
    <v>ahj6w7</v>
    <v>XNSE:NIFTYBEES</v>
    <v>317</v>
  </rv>
  <rv s="1">
    <v>1</v>
    <v>NIFTYBEES</v>
    <v>Daily</v>
    <v>45735</v>
    <v>45735</v>
    <v>0</v>
    <v>1</v>
    <v>638779392000000000,639087303808114490,0</v>
    <v>0</v>
    <v>ahj6w7</v>
    <v>XNSE:NIFTYBEES</v>
    <v>318</v>
  </rv>
  <rv s="1">
    <v>1</v>
    <v>NIFTYBEES</v>
    <v>Daily</v>
    <v>44838</v>
    <v>44838</v>
    <v>0</v>
    <v>1</v>
    <v>638004384000000000,639087303810208531,0</v>
    <v>0</v>
    <v>ahj6w7</v>
    <v>XNSE:NIFTYBEES</v>
    <v>319</v>
  </rv>
  <rv s="1">
    <v>1</v>
    <v>NIFTYBEES</v>
    <v>Daily</v>
    <v>45729</v>
    <v>45729</v>
    <v>0</v>
    <v>1</v>
    <v>638774208000000000,639087303810846177,0</v>
    <v>0</v>
    <v>ahj6w7</v>
    <v>XNSE:NIFTYBEES</v>
    <v>320</v>
  </rv>
  <rv s="1">
    <v>1</v>
    <v>NIFTYBEES</v>
    <v>Daily</v>
    <v>44714</v>
    <v>44714</v>
    <v>0</v>
    <v>1</v>
    <v>637897248000000000,639087303811074728,0</v>
    <v>0</v>
    <v>ahj6w7</v>
    <v>XNSE:NIFTYBEES</v>
    <v>321</v>
  </rv>
  <rv s="1">
    <v>1</v>
    <v>NIFTYBEES</v>
    <v>Daily</v>
    <v>44929</v>
    <v>44929</v>
    <v>0</v>
    <v>1</v>
    <v>638083008000000000,639087303811532706,0</v>
    <v>0</v>
    <v>ahj6w7</v>
    <v>XNSE:NIFTYBEES</v>
    <v>322</v>
  </rv>
  <rv s="1">
    <v>1</v>
    <v>NIFTYBEES</v>
    <v>Daily</v>
    <v>45202</v>
    <v>45202</v>
    <v>0</v>
    <v>1</v>
    <v>638318880000000000,639087303808751691,0</v>
    <v>0</v>
    <v>ahj6w7</v>
    <v>XNSE:NIFTYBEES</v>
    <v>323</v>
  </rv>
  <rv s="1">
    <v>1</v>
    <v>NIFTYBEES</v>
    <v>Daily</v>
    <v>45314</v>
    <v>45314</v>
    <v>0</v>
    <v>1</v>
    <v>638415648000000000,639087303808773745,0</v>
    <v>0</v>
    <v>ahj6w7</v>
    <v>XNSE:NIFTYBEES</v>
    <v>324</v>
  </rv>
  <rv s="1">
    <v>1</v>
    <v>NIFTYBEES</v>
    <v>Daily</v>
    <v>44950</v>
    <v>44950</v>
    <v>0</v>
    <v>1</v>
    <v>638101152000000000,639087303809392809,0</v>
    <v>0</v>
    <v>ahj6w7</v>
    <v>XNSE:NIFTYBEES</v>
    <v>325</v>
  </rv>
  <rv s="1">
    <v>1</v>
    <v>NIFTYBEES</v>
    <v>Daily</v>
    <v>45329</v>
    <v>45329</v>
    <v>0</v>
    <v>1</v>
    <v>638428608000000000,639087303809473241,0</v>
    <v>0</v>
    <v>ahj6w7</v>
    <v>XNSE:NIFTYBEES</v>
    <v>326</v>
  </rv>
  <rv s="1">
    <v>1</v>
    <v>NIFTYBEES</v>
    <v>Daily</v>
    <v>45433</v>
    <v>45433</v>
    <v>0</v>
    <v>1</v>
    <v>638518464000000000,639087303810876968,0</v>
    <v>0</v>
    <v>ahj6w7</v>
    <v>XNSE:NIFTYBEES</v>
    <v>327</v>
  </rv>
  <rv s="1">
    <v>1</v>
    <v>NIFTYBEES</v>
    <v>Daily</v>
    <v>44630</v>
    <v>44630</v>
    <v>0</v>
    <v>1</v>
    <v>637824672000000000,639087303812277695,0</v>
    <v>0</v>
    <v>ahj6w7</v>
    <v>XNSE:NIFTYBEES</v>
    <v>328</v>
  </rv>
  <rv s="1">
    <v>1</v>
    <v>NIFTYBEES</v>
    <v>Daily</v>
    <v>44628</v>
    <v>44628</v>
    <v>0</v>
    <v>1</v>
    <v>637822944000000000,639087303812737794,0</v>
    <v>0</v>
    <v>ahj6w7</v>
    <v>XNSE:NIFTYBEES</v>
    <v>329</v>
  </rv>
  <rv s="1">
    <v>1</v>
    <v>NIFTYBEES</v>
    <v>Daily</v>
    <v>45440</v>
    <v>45440</v>
    <v>0</v>
    <v>1</v>
    <v>638524512000000000,639087303813667596,0</v>
    <v>0</v>
    <v>ahj6w7</v>
    <v>XNSE:NIFTYBEES</v>
    <v>330</v>
  </rv>
  <rv s="1">
    <v>1</v>
    <v>NIFTYBEES</v>
    <v>Daily</v>
    <v>45715</v>
    <v>45715</v>
    <v>0</v>
    <v>1</v>
    <v>638762112000000000,639087303810786938,0</v>
    <v>0</v>
    <v>ahj6w7</v>
    <v>XNSE:NIFTYBEES</v>
    <v>331</v>
  </rv>
  <rv s="1">
    <v>1</v>
    <v>NIFTYBEES</v>
    <v>Daily</v>
    <v>44656</v>
    <v>44656</v>
    <v>0</v>
    <v>1</v>
    <v>637847136000000000,639087303813897645,0</v>
    <v>0</v>
    <v>ahj6w7</v>
    <v>XNSE:NIFTYBEES</v>
    <v>332</v>
  </rv>
  <rv s="1">
    <v>1</v>
    <v>NIFTYBEES</v>
    <v>Daily</v>
    <v>45447</v>
    <v>45447</v>
    <v>0</v>
    <v>1</v>
    <v>638530560000000000,639087303812527749,0</v>
    <v>0</v>
    <v>ahj6w7</v>
    <v>XNSE:NIFTYBEES</v>
    <v>174</v>
  </rv>
  <rv s="1">
    <v>1</v>
    <v>NIFTYBEES</v>
    <v>Daily</v>
    <v>44964</v>
    <v>44964</v>
    <v>0</v>
    <v>1</v>
    <v>638113248000000000,639087303814088089,0</v>
    <v>0</v>
    <v>ahj6w7</v>
    <v>XNSE:NIFTYBEES</v>
    <v>333</v>
  </rv>
  <rv s="1">
    <v>1</v>
    <v>NIFTYBEES</v>
    <v>Daily</v>
    <v>45076</v>
    <v>45076</v>
    <v>0</v>
    <v>1</v>
    <v>638210016000000000,639087303814457771,0</v>
    <v>0</v>
    <v>ahj6w7</v>
    <v>XNSE:NIFTYBEES</v>
    <v>334</v>
  </rv>
  <rv s="1">
    <v>1</v>
    <v>NIFTYBEES</v>
    <v>Daily</v>
    <v>44511</v>
    <v>44511</v>
    <v>0</v>
    <v>1</v>
    <v>637721856000000000,639087303813182794,0</v>
    <v>0</v>
    <v>ahj6w7</v>
    <v>XNSE:NIFTYBEES</v>
    <v>335</v>
  </rv>
  <rv s="1">
    <v>1</v>
    <v>NIFTYBEES</v>
    <v>Daily</v>
    <v>44840</v>
    <v>44840</v>
    <v>0</v>
    <v>1</v>
    <v>638006112000000000,639087303813653399,0</v>
    <v>0</v>
    <v>ahj6w7</v>
    <v>XNSE:NIFTYBEES</v>
    <v>336</v>
  </rv>
  <rv s="1">
    <v>1</v>
    <v>NIFTYBEES</v>
    <v>Daily</v>
    <v>45062</v>
    <v>45062</v>
    <v>0</v>
    <v>1</v>
    <v>638197920000000000,639087303814845506,0</v>
    <v>0</v>
    <v>ahj6w7</v>
    <v>XNSE:NIFTYBEES</v>
    <v>337</v>
  </rv>
  <rv s="1">
    <v>1</v>
    <v>NIFTYBEES</v>
    <v>Daily</v>
    <v>45013</v>
    <v>45013</v>
    <v>0</v>
    <v>1</v>
    <v>638155584000000000,639087303813770189,0</v>
    <v>0</v>
    <v>ahj6w7</v>
    <v>XNSE:NIFTYBEES</v>
    <v>338</v>
  </rv>
  <rv s="1">
    <v>1</v>
    <v>NIFTYBEES</v>
    <v>Daily</v>
    <v>44894</v>
    <v>44894</v>
    <v>0</v>
    <v>1</v>
    <v>638052768000000000,639087303817130918,0</v>
    <v>0</v>
    <v>ahj6w7</v>
    <v>XNSE:NIFTYBEES</v>
    <v>339</v>
  </rv>
  <rv s="1">
    <v>1</v>
    <v>NIFTYBEES</v>
    <v>Daily</v>
    <v>44966</v>
    <v>44966</v>
    <v>0</v>
    <v>1</v>
    <v>638114976000000000,639087303835941857,0</v>
    <v>0</v>
    <v>ahj6w7</v>
    <v>XNSE:NIFTYBEES</v>
    <v>340</v>
  </rv>
  <rv s="1">
    <v>1</v>
    <v>NIFTYBEES</v>
    <v>Daily</v>
    <v>45364</v>
    <v>45364</v>
    <v>0</v>
    <v>1</v>
    <v>638458848000000000,639087303835961768,0</v>
    <v>0</v>
    <v>ahj6w7</v>
    <v>XNSE:NIFTYBEES</v>
    <v>341</v>
  </rv>
  <rv s="1">
    <v>1</v>
    <v>NIFTYBEES</v>
    <v>Daily</v>
    <v>45378</v>
    <v>45378</v>
    <v>0</v>
    <v>1</v>
    <v>638470944000000000,639087303836001592,0</v>
    <v>0</v>
    <v>ahj6w7</v>
    <v>XNSE:NIFTYBEES</v>
    <v>342</v>
  </rv>
  <rv s="1">
    <v>1</v>
    <v>NIFTYBEES</v>
    <v>Daily</v>
    <v>44747</v>
    <v>44747</v>
    <v>0</v>
    <v>1</v>
    <v>637925760000000000,639087303836071290,0</v>
    <v>0</v>
    <v>ahj6w7</v>
    <v>XNSE:NIFTYBEES</v>
    <v>343</v>
  </rv>
  <rv s="1">
    <v>1</v>
    <v>NIFTYBEES</v>
    <v>Daily</v>
    <v>45377</v>
    <v>45377</v>
    <v>0</v>
    <v>1</v>
    <v>638470080000000000,639087303815524128,0</v>
    <v>0</v>
    <v>ahj6w7</v>
    <v>XNSE:NIFTYBEES</v>
    <v>344</v>
  </rv>
  <rv s="1">
    <v>1</v>
    <v>NIFTYBEES</v>
    <v>Daily</v>
    <v>45566</v>
    <v>45566</v>
    <v>0</v>
    <v>1</v>
    <v>638633376000000000,639087303815982120,0</v>
    <v>0</v>
    <v>ahj6w7</v>
    <v>XNSE:NIFTYBEES</v>
    <v>345</v>
  </rv>
  <rv s="1">
    <v>1</v>
    <v>NIFTYBEES</v>
    <v>Daily</v>
    <v>45146</v>
    <v>45146</v>
    <v>0</v>
    <v>1</v>
    <v>638270496000000000,639087303815613727,0</v>
    <v>0</v>
    <v>ahj6w7</v>
    <v>XNSE:NIFTYBEES</v>
    <v>346</v>
  </rv>
  <rv s="1">
    <v>1</v>
    <v>NIFTYBEES</v>
    <v>Daily</v>
    <v>44609</v>
    <v>44609</v>
    <v>0</v>
    <v>1</v>
    <v>637806528000000000,639087303818670303,0</v>
    <v>0</v>
    <v>ahj6w7</v>
    <v>XNSE:NIFTYBEES</v>
    <v>347</v>
  </rv>
  <rv s="1">
    <v>1</v>
    <v>NIFTYBEES</v>
    <v>Daily</v>
    <v>45560</v>
    <v>45560</v>
    <v>0</v>
    <v>1</v>
    <v>638628192000000000,639087303818969003,0</v>
    <v>0</v>
    <v>ahj6w7</v>
    <v>XNSE:NIFTYBEES</v>
    <v>348</v>
  </rv>
  <rv s="1">
    <v>1</v>
    <v>NIFTYBEES</v>
    <v>Daily</v>
    <v>45358</v>
    <v>45358</v>
    <v>0</v>
    <v>1</v>
    <v>638453664000000000,639087303819576324,0</v>
    <v>0</v>
    <v>ahj6w7</v>
    <v>XNSE:NIFTYBEES</v>
    <v>349</v>
  </rv>
  <rv s="1">
    <v>1</v>
    <v>NIFTYBEES</v>
    <v>Daily</v>
    <v>45630</v>
    <v>45630</v>
    <v>0</v>
    <v>1</v>
    <v>638688672000000000,639087303819759332,0</v>
    <v>0</v>
    <v>ahj6w7</v>
    <v>XNSE:NIFTYBEES</v>
    <v>350</v>
  </rv>
  <rv s="1">
    <v>1</v>
    <v>NIFTYBEES</v>
    <v>Daily</v>
    <v>45069</v>
    <v>45069</v>
    <v>0</v>
    <v>1</v>
    <v>638203968000000000,639087303822079840,0</v>
    <v>0</v>
    <v>ahj6w7</v>
    <v>XNSE:NIFTYBEES</v>
    <v>351</v>
  </rv>
  <rv s="1">
    <v>1</v>
    <v>NIFTYBEES</v>
    <v>Daily</v>
    <v>45657</v>
    <v>45657</v>
    <v>0</v>
    <v>1</v>
    <v>638712000000000000,639087303821041456,0</v>
    <v>0</v>
    <v>ahj6w7</v>
    <v>XNSE:NIFTYBEES</v>
    <v>352</v>
  </rv>
  <rv s="1">
    <v>1</v>
    <v>NIFTYBEES</v>
    <v>Daily</v>
    <v>45048</v>
    <v>45048</v>
    <v>0</v>
    <v>1</v>
    <v>638185824000000000,639087303820749012,0</v>
    <v>0</v>
    <v>ahj6w7</v>
    <v>XNSE:NIFTYBEES</v>
    <v>353</v>
  </rv>
  <rv s="1">
    <v>1</v>
    <v>NIFTYBEES</v>
    <v>Daily</v>
    <v>45575</v>
    <v>45575</v>
    <v>0</v>
    <v>1</v>
    <v>638641152000000000,639087303820768465,0</v>
    <v>0</v>
    <v>ahj6w7</v>
    <v>XNSE:NIFTYBEES</v>
    <v>354</v>
  </rv>
  <rv s="1">
    <v>1</v>
    <v>NIFTYBEES</v>
    <v>Daily</v>
    <v>44805</v>
    <v>44805</v>
    <v>0</v>
    <v>1</v>
    <v>637975872000000000,639087303820868030,0</v>
    <v>0</v>
    <v>ahj6w7</v>
    <v>XNSE:NIFTYBEES</v>
    <v>355</v>
  </rv>
  <rv s="1">
    <v>1</v>
    <v>NIFTYBEES</v>
    <v>Daily</v>
    <v>44539</v>
    <v>44539</v>
    <v>0</v>
    <v>1</v>
    <v>637746048000000000,639087303822005663,0</v>
    <v>0</v>
    <v>ahj6w7</v>
    <v>XNSE:NIFTYBEES</v>
    <v>356</v>
  </rv>
  <rv s="1">
    <v>1</v>
    <v>NIFTYBEES</v>
    <v>Daily</v>
    <v>45750</v>
    <v>45750</v>
    <v>0</v>
    <v>1</v>
    <v>638792352000000000,639087303826920900,0</v>
    <v>0</v>
    <v>ahj6w7</v>
    <v>XNSE:NIFTYBEES</v>
    <v>357</v>
  </rv>
  <rv s="1">
    <v>1</v>
    <v>NIFTYBEES</v>
    <v>Daily</v>
    <v>44518</v>
    <v>44518</v>
    <v>0</v>
    <v>1</v>
    <v>637727904000000000,639087303827391004,0</v>
    <v>0</v>
    <v>ahj6w7</v>
    <v>XNSE:NIFTYBEES</v>
    <v>358</v>
  </rv>
  <rv s="1">
    <v>1</v>
    <v>NIFTYBEES</v>
    <v>Daily</v>
    <v>45169</v>
    <v>45169</v>
    <v>0</v>
    <v>1</v>
    <v>638290368000000000,639087303825288604,0</v>
    <v>0</v>
    <v>ahj6w7</v>
    <v>XNSE:NIFTYBEES</v>
    <v>359</v>
  </rv>
  <rv s="1">
    <v>1</v>
    <v>NIFTYBEES</v>
    <v>Daily</v>
    <v>44490</v>
    <v>44490</v>
    <v>0</v>
    <v>1</v>
    <v>637703712000000000,639087303825457863,0</v>
    <v>0</v>
    <v>ahj6w7</v>
    <v>XNSE:NIFTYBEES</v>
    <v>360</v>
  </rv>
  <rv s="1">
    <v>1</v>
    <v>NIFTYBEES</v>
    <v>Daily</v>
    <v>44483</v>
    <v>44483</v>
    <v>0</v>
    <v>1</v>
    <v>637697664000000000,639087303825151835,0</v>
    <v>0</v>
    <v>ahj6w7</v>
    <v>XNSE:NIFTYBEES</v>
    <v>361</v>
  </rv>
  <rv s="1">
    <v>1</v>
    <v>NIFTYBEES</v>
    <v>Daily</v>
    <v>45162</v>
    <v>45162</v>
    <v>0</v>
    <v>1</v>
    <v>638284320000000000,639087303825609832,0</v>
    <v>0</v>
    <v>ahj6w7</v>
    <v>XNSE:NIFTYBEES</v>
    <v>362</v>
  </rv>
  <rv s="1">
    <v>1</v>
    <v>NIFTYBEES</v>
    <v>Daily</v>
    <v>44476</v>
    <v>44476</v>
    <v>0</v>
    <v>1</v>
    <v>637691616000000000,639087303826396357,0</v>
    <v>0</v>
    <v>ahj6w7</v>
    <v>XNSE:NIFTYBEES</v>
    <v>355</v>
  </rv>
  <rv s="1">
    <v>1</v>
    <v>NIFTYBEES</v>
    <v>Daily</v>
    <v>45155</v>
    <v>45155</v>
    <v>0</v>
    <v>1</v>
    <v>638278272000000000,639087303824780835,0</v>
    <v>0</v>
    <v>ahj6w7</v>
    <v>XNSE:NIFTYBEES</v>
    <v>363</v>
  </rv>
  <rv s="1">
    <v>1</v>
    <v>NIFTYBEES</v>
    <v>Daily</v>
    <v>45148</v>
    <v>45148</v>
    <v>0</v>
    <v>1</v>
    <v>638272224000000000,639087303827757788,0</v>
    <v>0</v>
    <v>ahj6w7</v>
    <v>XNSE:NIFTYBEES</v>
    <v>364</v>
  </rv>
  <rv s="1">
    <v>1</v>
    <v>NIFTYBEES</v>
    <v>Daily</v>
    <v>44469</v>
    <v>44469</v>
    <v>0</v>
    <v>1</v>
    <v>637685568000000000,639087303827899793,0</v>
    <v>0</v>
    <v>ahj6w7</v>
    <v>XNSE:NIFTYBEES</v>
    <v>211</v>
  </rv>
  <rv s="1">
    <v>1</v>
    <v>NIFTYBEES</v>
    <v>Daily</v>
    <v>45141</v>
    <v>45141</v>
    <v>0</v>
    <v>1</v>
    <v>638266176000000000,639087303828825699,0</v>
    <v>0</v>
    <v>ahj6w7</v>
    <v>XNSE:NIFTYBEES</v>
    <v>365</v>
  </rv>
  <rv s="1">
    <v>1</v>
    <v>NIFTYBEES</v>
    <v>Daily</v>
    <v>44462</v>
    <v>44462</v>
    <v>0</v>
    <v>1</v>
    <v>637679520000000000,639087303828992343,0</v>
    <v>0</v>
    <v>ahj6w7</v>
    <v>XNSE:NIFTYBEES</v>
    <v>366</v>
  </rv>
  <rv s="1">
    <v>1</v>
    <v>NIFTYBEES</v>
    <v>Daily</v>
    <v>44455</v>
    <v>44455</v>
    <v>0</v>
    <v>1</v>
    <v>637673472000000000,639087303836432336,0</v>
    <v>0</v>
    <v>ahj6w7</v>
    <v>XNSE:NIFTYBEES</v>
    <v>367</v>
  </rv>
  <rv s="1">
    <v>1</v>
    <v>NIFTYBEES</v>
    <v>Daily</v>
    <v>45134</v>
    <v>45134</v>
    <v>0</v>
    <v>1</v>
    <v>638260128000000000,639087303828473377,0</v>
    <v>0</v>
    <v>ahj6w7</v>
    <v>XNSE:NIFTYBEES</v>
    <v>368</v>
  </rv>
  <rv s="1">
    <v>1</v>
    <v>NIFTYBEES</v>
    <v>Daily</v>
    <v>44448</v>
    <v>44448</v>
    <v>0</v>
    <v>1</v>
    <v>637667424000000000,639087303829713646,0</v>
    <v>0</v>
    <v>ahj6w7</v>
    <v>XNSE:NIFTYBEES</v>
    <v>369</v>
  </rv>
  <rv s="1">
    <v>1</v>
    <v>NIFTYBEES</v>
    <v>Daily</v>
    <v>45127</v>
    <v>45127</v>
    <v>0</v>
    <v>1</v>
    <v>638254080000000000,639087303831424018,0</v>
    <v>0</v>
    <v>ahj6w7</v>
    <v>XNSE:NIFTYBEES</v>
    <v>370</v>
  </rv>
  <rv s="1">
    <v>1</v>
    <v>NIFTYBEES</v>
    <v>Daily</v>
    <v>44441</v>
    <v>44441</v>
    <v>0</v>
    <v>1</v>
    <v>637661376000000000,639087303829493599,0</v>
    <v>0</v>
    <v>ahj6w7</v>
    <v>XNSE:NIFTYBEES</v>
    <v>371</v>
  </rv>
  <rv s="1">
    <v>1</v>
    <v>NIFTYBEES</v>
    <v>Daily</v>
    <v>45120</v>
    <v>45120</v>
    <v>0</v>
    <v>1</v>
    <v>638248032000000000,639087303831173965,0</v>
    <v>0</v>
    <v>ahj6w7</v>
    <v>XNSE:NIFTYBEES</v>
    <v>372</v>
  </rv>
  <rv s="1">
    <v>1</v>
    <v>NIFTYBEES</v>
    <v>Daily</v>
    <v>45113</v>
    <v>45113</v>
    <v>0</v>
    <v>1</v>
    <v>638241984000000000,639087303830211290,0</v>
    <v>0</v>
    <v>ahj6w7</v>
    <v>XNSE:NIFTYBEES</v>
    <v>373</v>
  </rv>
  <rv s="1">
    <v>1</v>
    <v>NIFTYBEES</v>
    <v>Daily</v>
    <v>44434</v>
    <v>44434</v>
    <v>0</v>
    <v>1</v>
    <v>637655328000000000,639087303830681396,0</v>
    <v>0</v>
    <v>ahj6w7</v>
    <v>XNSE:NIFTYBEES</v>
    <v>374</v>
  </rv>
  <rv s="1">
    <v>1</v>
    <v>NIFTYBEES</v>
    <v>Daily</v>
    <v>45099</v>
    <v>45099</v>
    <v>0</v>
    <v>1</v>
    <v>638229888000000000,639087303833482317,0</v>
    <v>0</v>
    <v>ahj6w7</v>
    <v>XNSE:NIFTYBEES</v>
    <v>375</v>
  </rv>
  <rv s="1">
    <v>1</v>
    <v>NIFTYBEES</v>
    <v>Daily</v>
    <v>44420</v>
    <v>44420</v>
    <v>0</v>
    <v>1</v>
    <v>637643232000000000,639087303831581601,0</v>
    <v>0</v>
    <v>ahj6w7</v>
    <v>XNSE:NIFTYBEES</v>
    <v>376</v>
  </rv>
  <rv s="1">
    <v>1</v>
    <v>NIFTYBEES</v>
    <v>Daily</v>
    <v>44634</v>
    <v>44634</v>
    <v>0</v>
    <v>1</v>
    <v>637828128000000000,639087303874184286,0</v>
    <v>0</v>
    <v>ahj6w7</v>
    <v>XNSE:NIFTYBEES</v>
    <v>377</v>
  </rv>
  <rv s="1">
    <v>1</v>
    <v>NIFTYBEES</v>
    <v>Daily</v>
    <v>44543</v>
    <v>44543</v>
    <v>0</v>
    <v>1</v>
    <v>637749504000000000,639087303875149712,0</v>
    <v>0</v>
    <v>ahj6w7</v>
    <v>XNSE:NIFTYBEES</v>
    <v>378</v>
  </rv>
  <rv s="1">
    <v>1</v>
    <v>NIFTYBEES</v>
    <v>Daily</v>
    <v>45572</v>
    <v>45572</v>
    <v>0</v>
    <v>1</v>
    <v>638638560000000000,639087303875299057,0</v>
    <v>0</v>
    <v>ahj6w7</v>
    <v>XNSE:NIFTYBEES</v>
    <v>379</v>
  </rv>
  <rv s="1">
    <v>1</v>
    <v>NIFTYBEES</v>
    <v>Daily</v>
    <v>45579</v>
    <v>45579</v>
    <v>0</v>
    <v>1</v>
    <v>638644608000000000,639087303876085606,0</v>
    <v>0</v>
    <v>ahj6w7</v>
    <v>XNSE:NIFTYBEES</v>
    <v>380</v>
  </rv>
  <rv s="1">
    <v>1</v>
    <v>NIFTYBEES</v>
    <v>Daily</v>
    <v>45649</v>
    <v>45649</v>
    <v>0</v>
    <v>1</v>
    <v>638705088000000000,639087303876416779,0</v>
    <v>0</v>
    <v>ahj6w7</v>
    <v>XNSE:NIFTYBEES</v>
    <v>381</v>
  </rv>
  <rv s="1">
    <v>1</v>
    <v>NIFTYBEES</v>
    <v>Daily</v>
    <v>44361</v>
    <v>44361</v>
    <v>0</v>
    <v>1</v>
    <v>637592256000000000,639087303876752682,0</v>
    <v>0</v>
    <v>ahj6w7</v>
    <v>XNSE:NIFTYBEES</v>
    <v>382</v>
  </rv>
  <rv s="1">
    <v>1</v>
    <v>NIFTYBEES</v>
    <v>Daily</v>
    <v>45208</v>
    <v>45208</v>
    <v>0</v>
    <v>1</v>
    <v>638324064000000000,639087303877230572,0</v>
    <v>0</v>
    <v>ahj6w7</v>
    <v>XNSE:NIFTYBEES</v>
    <v>383</v>
  </rv>
  <rv s="1">
    <v>1</v>
    <v>NIFTYBEES</v>
    <v>Daily</v>
    <v>45369</v>
    <v>45369</v>
    <v>0</v>
    <v>1</v>
    <v>638463168000000000,639087303875891973,0</v>
    <v>0</v>
    <v>ahj6w7</v>
    <v>XNSE:NIFTYBEES</v>
    <v>384</v>
  </rv>
  <rv s="1">
    <v>1</v>
    <v>NIFTYBEES</v>
    <v>Daily</v>
    <v>44410</v>
    <v>44410</v>
    <v>0</v>
    <v>1</v>
    <v>637634592000000000,639087303875921868,0</v>
    <v>0</v>
    <v>ahj6w7</v>
    <v>XNSE:NIFTYBEES</v>
    <v>385</v>
  </rv>
  <rv s="1">
    <v>1</v>
    <v>NIFTYBEES</v>
    <v>Daily</v>
    <v>45474</v>
    <v>45474</v>
    <v>0</v>
    <v>1</v>
    <v>638553888000000000,639087303875946924,0</v>
    <v>0</v>
    <v>ahj6w7</v>
    <v>XNSE:NIFTYBEES</v>
    <v>386</v>
  </rv>
  <rv s="1">
    <v>1</v>
    <v>NIFTYBEES</v>
    <v>Daily</v>
    <v>44326</v>
    <v>44326</v>
    <v>0</v>
    <v>1</v>
    <v>637562016000000000,639087303877393355,0</v>
    <v>0</v>
    <v>ahj6w7</v>
    <v>XNSE:NIFTYBEES</v>
    <v>387</v>
  </rv>
  <rv s="1">
    <v>1</v>
    <v>NIFTYBEES</v>
    <v>Daily</v>
    <v>44851</v>
    <v>44851</v>
    <v>0</v>
    <v>1</v>
    <v>638015616000000000,639087303879275068,0</v>
    <v>0</v>
    <v>ahj6w7</v>
    <v>XNSE:NIFTYBEES</v>
    <v>388</v>
  </rv>
  <rv s="1">
    <v>1</v>
    <v>NIFTYBEES</v>
    <v>Daily</v>
    <v>45026</v>
    <v>45026</v>
    <v>0</v>
    <v>1</v>
    <v>638166816000000000,639087303876927432,0</v>
    <v>0</v>
    <v>ahj6w7</v>
    <v>XNSE:NIFTYBEES</v>
    <v>53</v>
  </rv>
  <rv s="1">
    <v>1</v>
    <v>NIFTYBEES</v>
    <v>Daily</v>
    <v>44795</v>
    <v>44795</v>
    <v>0</v>
    <v>1</v>
    <v>637967232000000000,639087303876947347,0</v>
    <v>0</v>
    <v>ahj6w7</v>
    <v>XNSE:NIFTYBEES</v>
    <v>389</v>
  </rv>
  <rv s="1">
    <v>1</v>
    <v>NIFTYBEES</v>
    <v>Daily</v>
    <v>45180</v>
    <v>45180</v>
    <v>0</v>
    <v>1</v>
    <v>638299872000000000,639087303876982384,0</v>
    <v>0</v>
    <v>ahj6w7</v>
    <v>XNSE:NIFTYBEES</v>
    <v>390</v>
  </rv>
  <rv s="1">
    <v>1</v>
    <v>NIFTYBEES</v>
    <v>Daily</v>
    <v>45229</v>
    <v>45229</v>
    <v>0</v>
    <v>1</v>
    <v>638342208000000000,639087303877062034,0</v>
    <v>0</v>
    <v>ahj6w7</v>
    <v>XNSE:NIFTYBEES</v>
    <v>391</v>
  </rv>
  <rv s="1">
    <v>1</v>
    <v>NIFTYBEES</v>
    <v>Daily</v>
    <v>45762</v>
    <v>45762</v>
    <v>0</v>
    <v>1</v>
    <v>638802720000000000,639087303880124583,0</v>
    <v>0</v>
    <v>ahj6w7</v>
    <v>XNSE:NIFTYBEES</v>
    <v>392</v>
  </rv>
  <rv s="1">
    <v>1</v>
    <v>NIFTYBEES</v>
    <v>Daily</v>
    <v>45733</v>
    <v>45733</v>
    <v>0</v>
    <v>1</v>
    <v>638777664000000000,639087303880604687,0</v>
    <v>0</v>
    <v>ahj6w7</v>
    <v>XNSE:NIFTYBEES</v>
    <v>393</v>
  </rv>
  <rv s="1">
    <v>1</v>
    <v>NIFTYBEES</v>
    <v>Daily</v>
    <v>45702</v>
    <v>45702</v>
    <v>0</v>
    <v>1</v>
    <v>638750880000000000,639087303882024993,0</v>
    <v>0</v>
    <v>ahj6w7</v>
    <v>XNSE:NIFTYBEES</v>
    <v>394</v>
  </rv>
  <rv s="1">
    <v>1</v>
    <v>NIFTYBEES</v>
    <v>Daily</v>
    <v>44909</v>
    <v>44909</v>
    <v>0</v>
    <v>1</v>
    <v>638065728000000000,639087303880141266,0</v>
    <v>0</v>
    <v>ahj6w7</v>
    <v>XNSE:NIFTYBEES</v>
    <v>395</v>
  </rv>
  <rv s="1">
    <v>1</v>
    <v>NIFTYBEES</v>
    <v>Daily</v>
    <v>44683</v>
    <v>44683</v>
    <v>0</v>
    <v>1</v>
    <v>637870464000000000,639087303880609199,0</v>
    <v>0</v>
    <v>ahj6w7</v>
    <v>XNSE:NIFTYBEES</v>
    <v>396</v>
  </rv>
  <rv s="1">
    <v>1</v>
    <v>NIFTYBEES</v>
    <v>Daily</v>
    <v>45292</v>
    <v>45292</v>
    <v>0</v>
    <v>1</v>
    <v>638396640000000000,639087303879739877,0</v>
    <v>0</v>
    <v>ahj6w7</v>
    <v>XNSE:NIFTYBEES</v>
    <v>397</v>
  </rv>
  <rv s="1">
    <v>1</v>
    <v>NIFTYBEES</v>
    <v>Daily</v>
    <v>44354</v>
    <v>44354</v>
    <v>0</v>
    <v>1</v>
    <v>637586208000000000,639087303879799618,0</v>
    <v>0</v>
    <v>ahj6w7</v>
    <v>XNSE:NIFTYBEES</v>
    <v>398</v>
  </rv>
  <rv s="1">
    <v>1</v>
    <v>NIFTYBEES</v>
    <v>Daily</v>
    <v>45236</v>
    <v>45236</v>
    <v>0</v>
    <v>1</v>
    <v>638348256000000000,639087303879869307,0</v>
    <v>0</v>
    <v>ahj6w7</v>
    <v>XNSE:NIFTYBEES</v>
    <v>399</v>
  </rv>
  <rv s="1">
    <v>1</v>
    <v>NIFTYBEES</v>
    <v>Daily</v>
    <v>44502</v>
    <v>44502</v>
    <v>0</v>
    <v>1</v>
    <v>637714080000000000,639087303879899179,0</v>
    <v>0</v>
    <v>ahj6w7</v>
    <v>XNSE:NIFTYBEES</v>
    <v>400</v>
  </rv>
  <rv s="1">
    <v>1</v>
    <v>NIFTYBEES</v>
    <v>Daily</v>
    <v>44627</v>
    <v>44627</v>
    <v>0</v>
    <v>1</v>
    <v>637822080000000000,639087303880642554,0</v>
    <v>0</v>
    <v>ahj6w7</v>
    <v>XNSE:NIFTYBEES</v>
    <v>401</v>
  </rv>
  <rv s="1">
    <v>1</v>
    <v>NIFTYBEES</v>
    <v>Daily</v>
    <v>45502</v>
    <v>45502</v>
    <v>0</v>
    <v>1</v>
    <v>638578080000000000,639087303880487823,0</v>
    <v>0</v>
    <v>ahj6w7</v>
    <v>XNSE:NIFTYBEES</v>
    <v>402</v>
  </rv>
  <rv s="1">
    <v>1</v>
    <v>NIFTYBEES</v>
    <v>Daily</v>
    <v>45481</v>
    <v>45481</v>
    <v>0</v>
    <v>1</v>
    <v>638559936000000000,639087303880719646,0</v>
    <v>0</v>
    <v>ahj6w7</v>
    <v>XNSE:NIFTYBEES</v>
    <v>403</v>
  </rv>
  <rv s="1">
    <v>1</v>
    <v>NIFTYBEES</v>
    <v>Daily</v>
    <v>45222</v>
    <v>45222</v>
    <v>0</v>
    <v>1</v>
    <v>638336160000000000,639087303881674527,0</v>
    <v>0</v>
    <v>ahj6w7</v>
    <v>XNSE:NIFTYBEES</v>
    <v>404</v>
  </rv>
  <rv s="1">
    <v>1</v>
    <v>NIFTYBEES</v>
    <v>Daily</v>
    <v>45117</v>
    <v>45117</v>
    <v>0</v>
    <v>1</v>
    <v>638245440000000000,639087303882391372,0</v>
    <v>0</v>
    <v>ahj6w7</v>
    <v>XNSE:NIFTYBEES</v>
    <v>405</v>
  </rv>
  <rv s="1">
    <v>1</v>
    <v>NIFTYBEES</v>
    <v>Daily</v>
    <v>44389</v>
    <v>44389</v>
    <v>0</v>
    <v>1</v>
    <v>637616448000000000,639087303880351123,0</v>
    <v>0</v>
    <v>ahj6w7</v>
    <v>XNSE:NIFTYBEES</v>
    <v>406</v>
  </rv>
  <rv s="1">
    <v>1</v>
    <v>NIFTYBEES</v>
    <v>Daily</v>
    <v>44663</v>
    <v>44663</v>
    <v>0</v>
    <v>1</v>
    <v>637853184000000000,639087303880410861,0</v>
    <v>0</v>
    <v>ahj6w7</v>
    <v>XNSE:NIFTYBEES</v>
    <v>407</v>
  </rv>
  <rv s="1">
    <v>1</v>
    <v>NIFTYBEES</v>
    <v>Daily</v>
    <v>45593</v>
    <v>45593</v>
    <v>0</v>
    <v>1</v>
    <v>638656704000000000,639087303883146158,0</v>
    <v>0</v>
    <v>ahj6w7</v>
    <v>XNSE:NIFTYBEES</v>
    <v>408</v>
  </rv>
  <rv s="1">
    <v>1</v>
    <v>NIFTYBEES</v>
    <v>Daily</v>
    <v>45271</v>
    <v>45271</v>
    <v>0</v>
    <v>1</v>
    <v>638378496000000000,639087303882052858,0</v>
    <v>0</v>
    <v>ahj6w7</v>
    <v>XNSE:NIFTYBEES</v>
    <v>409</v>
  </rv>
  <rv s="1">
    <v>1</v>
    <v>NIFTYBEES</v>
    <v>Daily</v>
    <v>45306</v>
    <v>45306</v>
    <v>0</v>
    <v>1</v>
    <v>638408736000000000,639087303882299855,0</v>
    <v>0</v>
    <v>ahj6w7</v>
    <v>XNSE:NIFTYBEES</v>
    <v>410</v>
  </rv>
  <rv s="1">
    <v>1</v>
    <v>NIFTYBEES</v>
    <v>Daily</v>
    <v>45159</v>
    <v>45159</v>
    <v>0</v>
    <v>1</v>
    <v>638281728000000000,639087303882531696,0</v>
    <v>0</v>
    <v>ahj6w7</v>
    <v>XNSE:NIFTYBEES</v>
    <v>411</v>
  </rv>
  <rv s="1">
    <v>1</v>
    <v>NIFTYBEES</v>
    <v>Daily</v>
    <v>44530</v>
    <v>44530</v>
    <v>0</v>
    <v>1</v>
    <v>637738272000000000,639087303883006778,0</v>
    <v>0</v>
    <v>ahj6w7</v>
    <v>XNSE:NIFTYBEES</v>
    <v>412</v>
  </rv>
  <rv s="1">
    <v>1</v>
    <v>NIFTYBEES</v>
    <v>Daily</v>
    <v>44760</v>
    <v>44760</v>
    <v>0</v>
    <v>1</v>
    <v>637936992000000000,639087303885503662,0</v>
    <v>0</v>
    <v>ahj6w7</v>
    <v>XNSE:NIFTYBEES</v>
    <v>413</v>
  </rv>
  <rv s="1">
    <v>1</v>
    <v>NIFTYBEES</v>
    <v>Daily</v>
    <v>45061</v>
    <v>45061</v>
    <v>0</v>
    <v>1</v>
    <v>638197056000000000,639087303885903751,0</v>
    <v>0</v>
    <v>ahj6w7</v>
    <v>XNSE:NIFTYBEES</v>
    <v>414</v>
  </rv>
  <rv s="1">
    <v>1</v>
    <v>NIFTYBEES</v>
    <v>Daily</v>
    <v>44305</v>
    <v>44305</v>
    <v>0</v>
    <v>1</v>
    <v>637543872000000000,639087303884299844,0</v>
    <v>0</v>
    <v>ahj6w7</v>
    <v>XNSE:NIFTYBEES</v>
    <v>415</v>
  </rv>
  <rv s="1">
    <v>1</v>
    <v>NIFTYBEES</v>
    <v>Daily</v>
    <v>44767</v>
    <v>44767</v>
    <v>0</v>
    <v>1</v>
    <v>637943040000000000,639087303885116256,0</v>
    <v>0</v>
    <v>ahj6w7</v>
    <v>XNSE:NIFTYBEES</v>
    <v>416</v>
  </rv>
  <rv s="1">
    <v>1</v>
    <v>NIFTYBEES</v>
    <v>Daily</v>
    <v>45740</v>
    <v>45740</v>
    <v>0</v>
    <v>1</v>
    <v>638783712000000000,639087303884807610,0</v>
    <v>0</v>
    <v>ahj6w7</v>
    <v>XNSE:NIFTYBEES</v>
    <v>417</v>
  </rv>
  <rv s="1">
    <v>1</v>
    <v>NIFTYBEES</v>
    <v>Daily</v>
    <v>44368</v>
    <v>44368</v>
    <v>0</v>
    <v>1</v>
    <v>637598304000000000,639087303884886936,0</v>
    <v>0</v>
    <v>ahj6w7</v>
    <v>XNSE:NIFTYBEES</v>
    <v>418</v>
  </rv>
  <rv s="1">
    <v>1</v>
    <v>NIFTYBEES</v>
    <v>Daily</v>
    <v>45166</v>
    <v>45166</v>
    <v>0</v>
    <v>1</v>
    <v>638287776000000000,639087303884897220,0</v>
    <v>0</v>
    <v>ahj6w7</v>
    <v>XNSE:NIFTYBEES</v>
    <v>419</v>
  </rv>
  <rv s="1">
    <v>1</v>
    <v>NIFTYBEES</v>
    <v>Daily</v>
    <v>44516</v>
    <v>44516</v>
    <v>0</v>
    <v>1</v>
    <v>637726176000000000,639087303886505421,0</v>
    <v>0</v>
    <v>ahj6w7</v>
    <v>XNSE:NIFTYBEES</v>
    <v>420</v>
  </rv>
  <rv s="1">
    <v>1</v>
    <v>NIFTYBEES</v>
    <v>Daily</v>
    <v>44620</v>
    <v>44620</v>
    <v>0</v>
    <v>1</v>
    <v>637816032000000000,639087303886304972,0</v>
    <v>0</v>
    <v>ahj6w7</v>
    <v>XNSE:NIFTYBEES</v>
    <v>421</v>
  </rv>
  <rv s="1">
    <v>1</v>
    <v>NIFTYBEES</v>
    <v>Daily</v>
    <v>44677</v>
    <v>44677</v>
    <v>0</v>
    <v>1</v>
    <v>637865280000000000,639087303886404534,0</v>
    <v>0</v>
    <v>ahj6w7</v>
    <v>XNSE:NIFTYBEES</v>
    <v>422</v>
  </rv>
  <rv s="1">
    <v>1</v>
    <v>NIFTYBEES</v>
    <v>Daily</v>
    <v>44501</v>
    <v>44501</v>
    <v>0</v>
    <v>1</v>
    <v>637713216000000000,639087303886445708,0</v>
    <v>0</v>
    <v>ahj6w7</v>
    <v>XNSE:NIFTYBEES</v>
    <v>423</v>
  </rv>
  <rv s="1">
    <v>1</v>
    <v>NIFTYBEES</v>
    <v>Daily</v>
    <v>45695</v>
    <v>45695</v>
    <v>0</v>
    <v>1</v>
    <v>638744832000000000,639087303887656217,0</v>
    <v>0</v>
    <v>ahj6w7</v>
    <v>XNSE:NIFTYBEES</v>
    <v>424</v>
  </rv>
  <rv s="1">
    <v>1</v>
    <v>NIFTYBEES</v>
    <v>Daily</v>
    <v>44942</v>
    <v>44942</v>
    <v>0</v>
    <v>1</v>
    <v>638094240000000000,639087303888134245,0</v>
    <v>0</v>
    <v>ahj6w7</v>
    <v>XNSE:NIFTYBEES</v>
    <v>425</v>
  </rv>
  <rv s="1">
    <v>1</v>
    <v>NIFTYBEES</v>
    <v>Daily</v>
    <v>44277</v>
    <v>44277</v>
    <v>0</v>
    <v>1</v>
    <v>637519680000000000,639087303889564559,0</v>
    <v>0</v>
    <v>ahj6w7</v>
    <v>XNSE:NIFTYBEES</v>
    <v>426</v>
  </rv>
  <rv s="1">
    <v>1</v>
    <v>NIFTYBEES</v>
    <v>Daily</v>
    <v>44690</v>
    <v>44690</v>
    <v>0</v>
    <v>1</v>
    <v>637876512000000000,639087303890504756,0</v>
    <v>0</v>
    <v>ahj6w7</v>
    <v>XNSE:NIFTYBEES</v>
    <v>427</v>
  </rv>
  <rv s="1">
    <v>1</v>
    <v>NIFTYBEES</v>
    <v>Daily</v>
    <v>44900</v>
    <v>44900</v>
    <v>0</v>
    <v>1</v>
    <v>638057952000000000,639087303888726449,0</v>
    <v>0</v>
    <v>ahj6w7</v>
    <v>XNSE:NIFTYBEES</v>
    <v>428</v>
  </rv>
  <rv s="1">
    <v>1</v>
    <v>NIFTYBEES</v>
    <v>Daily</v>
    <v>45523</v>
    <v>45523</v>
    <v>0</v>
    <v>1</v>
    <v>638596224000000000,639087303890416815,0</v>
    <v>0</v>
    <v>ahj6w7</v>
    <v>XNSE:NIFTYBEES</v>
    <v>429</v>
  </rv>
  <rv s="1">
    <v>1</v>
    <v>NIFTYBEES</v>
    <v>Daily</v>
    <v>45628</v>
    <v>45628</v>
    <v>0</v>
    <v>1</v>
    <v>638686944000000000,639087303889834610,0</v>
    <v>0</v>
    <v>ahj6w7</v>
    <v>XNSE:NIFTYBEES</v>
    <v>242</v>
  </rv>
  <rv s="1">
    <v>1</v>
    <v>NIFTYBEES</v>
    <v>Daily</v>
    <v>44844</v>
    <v>44844</v>
    <v>0</v>
    <v>1</v>
    <v>638009568000000000,639087303887963432,0</v>
    <v>0</v>
    <v>ahj6w7</v>
    <v>XNSE:NIFTYBEES</v>
    <v>430</v>
  </rv>
  <rv s="1">
    <v>1</v>
    <v>NIFTYBEES</v>
    <v>Daily</v>
    <v>45068</v>
    <v>45068</v>
    <v>0</v>
    <v>1</v>
    <v>638203104000000000,639087303890584797,0</v>
    <v>0</v>
    <v>ahj6w7</v>
    <v>XNSE:NIFTYBEES</v>
    <v>431</v>
  </rv>
  <rv s="1">
    <v>1</v>
    <v>NIFTYBEES</v>
    <v>Daily</v>
    <v>45082</v>
    <v>45082</v>
    <v>0</v>
    <v>1</v>
    <v>638215200000000000,639087303892037167,0</v>
    <v>0</v>
    <v>ahj6w7</v>
    <v>XNSE:NIFTYBEES</v>
    <v>432</v>
  </rv>
  <rv s="1">
    <v>1</v>
    <v>NIFTYBEES</v>
    <v>Daily</v>
    <v>45552</v>
    <v>45552</v>
    <v>0</v>
    <v>1</v>
    <v>638621280000000000,639087303889158498,0</v>
    <v>0</v>
    <v>ahj6w7</v>
    <v>XNSE:NIFTYBEES</v>
    <v>433</v>
  </rv>
  <rv s="1">
    <v>1</v>
    <v>NIFTYBEES</v>
    <v>Daily</v>
    <v>44522</v>
    <v>44522</v>
    <v>0</v>
    <v>1</v>
    <v>637731360000000000,639087303889768142,0</v>
    <v>0</v>
    <v>ahj6w7</v>
    <v>XNSE:NIFTYBEES</v>
    <v>434</v>
  </rv>
  <rv s="1">
    <v>1</v>
    <v>NIFTYBEES</v>
    <v>Daily</v>
    <v>45418</v>
    <v>45418</v>
    <v>0</v>
    <v>1</v>
    <v>638505504000000000,639087303891678743,0</v>
    <v>0</v>
    <v>ahj6w7</v>
    <v>XNSE:NIFTYBEES</v>
    <v>435</v>
  </rv>
  <rv s="1">
    <v>1</v>
    <v>NIFTYBEES</v>
    <v>Daily</v>
    <v>45145</v>
    <v>45145</v>
    <v>0</v>
    <v>1</v>
    <v>638269632000000000,639087303891917693,0</v>
    <v>0</v>
    <v>ahj6w7</v>
    <v>XNSE:NIFTYBEES</v>
    <v>436</v>
  </rv>
  <rv s="1">
    <v>1</v>
    <v>NIFTYBEES</v>
    <v>Daily</v>
    <v>44746</v>
    <v>44746</v>
    <v>0</v>
    <v>1</v>
    <v>637924896000000000,639087303892146702,0</v>
    <v>0</v>
    <v>ahj6w7</v>
    <v>XNSE:NIFTYBEES</v>
    <v>437</v>
  </rv>
  <rv s="1">
    <v>1</v>
    <v>NIFTYBEES</v>
    <v>Daily</v>
    <v>44893</v>
    <v>44893</v>
    <v>0</v>
    <v>1</v>
    <v>638051904000000000,639087303893351426,0</v>
    <v>0</v>
    <v>ahj6w7</v>
    <v>XNSE:NIFTYBEES</v>
    <v>438</v>
  </rv>
  <rv s="1">
    <v>1</v>
    <v>NIFTYBEES</v>
    <v>Daily</v>
    <v>44774</v>
    <v>44774</v>
    <v>0</v>
    <v>1</v>
    <v>637949088000000000,639087303890920438,0</v>
    <v>0</v>
    <v>ahj6w7</v>
    <v>XNSE:NIFTYBEES</v>
    <v>439</v>
  </rv>
  <rv s="1">
    <v>1</v>
    <v>NIFTYBEES</v>
    <v>Daily</v>
    <v>44641</v>
    <v>44641</v>
    <v>0</v>
    <v>1</v>
    <v>637834176000000000,639087303891072417,0</v>
    <v>0</v>
    <v>ahj6w7</v>
    <v>XNSE:NIFTYBEES</v>
    <v>440</v>
  </rv>
  <rv s="1">
    <v>1</v>
    <v>NIFTYBEES</v>
    <v>Daily</v>
    <v>44580</v>
    <v>44580</v>
    <v>0</v>
    <v>1</v>
    <v>637781472000000000,639087303891381061,0</v>
    <v>0</v>
    <v>ahj6w7</v>
    <v>XNSE:NIFTYBEES</v>
    <v>441</v>
  </rv>
  <rv s="1">
    <v>1</v>
    <v>NIFTYBEES</v>
    <v>Daily</v>
    <v>44552</v>
    <v>44552</v>
    <v>0</v>
    <v>1</v>
    <v>637757280000000000,639087303891836414,0</v>
    <v>0</v>
    <v>ahj6w7</v>
    <v>XNSE:NIFTYBEES</v>
    <v>442</v>
  </rv>
  <rv s="1">
    <v>1</v>
    <v>NIFTYBEES</v>
    <v>Daily</v>
    <v>45586</v>
    <v>45586</v>
    <v>0</v>
    <v>1</v>
    <v>638650656000000000,639087303891917139,0</v>
    <v>0</v>
    <v>ahj6w7</v>
    <v>XNSE:NIFTYBEES</v>
    <v>443</v>
  </rv>
  <rv s="1">
    <v>1</v>
    <v>NIFTYBEES</v>
    <v>Daily</v>
    <v>44697</v>
    <v>44697</v>
    <v>0</v>
    <v>1</v>
    <v>637882560000000000,639087303892687307,0</v>
    <v>0</v>
    <v>ahj6w7</v>
    <v>XNSE:NIFTYBEES</v>
    <v>444</v>
  </rv>
  <rv s="1">
    <v>1</v>
    <v>NIFTYBEES</v>
    <v>Daily</v>
    <v>44523</v>
    <v>44523</v>
    <v>0</v>
    <v>1</v>
    <v>637732224000000000,639087303893132383,0</v>
    <v>0</v>
    <v>ahj6w7</v>
    <v>XNSE:NIFTYBEES</v>
    <v>445</v>
  </rv>
  <rv s="1">
    <v>1</v>
    <v>NIFTYBEES</v>
    <v>Daily</v>
    <v>44928</v>
    <v>44928</v>
    <v>0</v>
    <v>1</v>
    <v>638082144000000000,639087303893593159,0</v>
    <v>0</v>
    <v>ahj6w7</v>
    <v>XNSE:NIFTYBEES</v>
    <v>446</v>
  </rv>
  <rv s="1">
    <v>1</v>
    <v>NIFTYBEES</v>
    <v>Daily</v>
    <v>45453</v>
    <v>45453</v>
    <v>0</v>
    <v>1</v>
    <v>638535744000000000,639087303892038182,0</v>
    <v>0</v>
    <v>ahj6w7</v>
    <v>XNSE:NIFTYBEES</v>
    <v>447</v>
  </rv>
  <rv s="1">
    <v>1</v>
    <v>NIFTYBEES</v>
    <v>Daily</v>
    <v>44571</v>
    <v>44571</v>
    <v>0</v>
    <v>1</v>
    <v>637773696000000000,639087303892065726,0</v>
    <v>0</v>
    <v>ahj6w7</v>
    <v>XNSE:NIFTYBEES</v>
    <v>448</v>
  </rv>
  <rv s="1">
    <v>1</v>
    <v>NIFTYBEES</v>
    <v>Daily</v>
    <v>44971</v>
    <v>44971</v>
    <v>0</v>
    <v>1</v>
    <v>638119296000000000,639087303896688175,0</v>
    <v>0</v>
    <v>ahj6w7</v>
    <v>XNSE:NIFTYBEES</v>
    <v>449</v>
  </rv>
  <rv s="1">
    <v>1</v>
    <v>NIFTYBEES</v>
    <v>Daily</v>
    <v>45663</v>
    <v>45663</v>
    <v>0</v>
    <v>1</v>
    <v>638717184000000000,639087303898508570,0</v>
    <v>0</v>
    <v>ahj6w7</v>
    <v>XNSE:NIFTYBEES</v>
    <v>450</v>
  </rv>
  <rv s="1">
    <v>1</v>
    <v>NIFTYBEES</v>
    <v>Daily</v>
    <v>44445</v>
    <v>44445</v>
    <v>0</v>
    <v>1</v>
    <v>637664832000000000,639087303899516778,0</v>
    <v>0</v>
    <v>ahj6w7</v>
    <v>XNSE:NIFTYBEES</v>
    <v>451</v>
  </rv>
  <rv s="1">
    <v>1</v>
    <v>NIFTYBEES</v>
    <v>Daily</v>
    <v>44557</v>
    <v>44557</v>
    <v>0</v>
    <v>1</v>
    <v>637761600000000000,639087303899936867,0</v>
    <v>0</v>
    <v>ahj6w7</v>
    <v>XNSE:NIFTYBEES</v>
    <v>452</v>
  </rv>
  <rv s="1">
    <v>1</v>
    <v>NIFTYBEES</v>
    <v>Daily</v>
    <v>45173</v>
    <v>45173</v>
    <v>0</v>
    <v>1</v>
    <v>638293824000000000,639087303900767046,0</v>
    <v>0</v>
    <v>ahj6w7</v>
    <v>XNSE:NIFTYBEES</v>
    <v>453</v>
  </rv>
  <rv s="1">
    <v>1</v>
    <v>NIFTYBEES</v>
    <v>Daily</v>
    <v>45075</v>
    <v>45075</v>
    <v>0</v>
    <v>1</v>
    <v>638209152000000000,639087303898048471,0</v>
    <v>0</v>
    <v>ahj6w7</v>
    <v>XNSE:NIFTYBEES</v>
    <v>454</v>
  </rv>
  <rv s="1">
    <v>1</v>
    <v>NIFTYBEES</v>
    <v>Daily</v>
    <v>44916</v>
    <v>44916</v>
    <v>0</v>
    <v>1</v>
    <v>638071776000000000,639087303898508570,0</v>
    <v>0</v>
    <v>ahj6w7</v>
    <v>XNSE:NIFTYBEES</v>
    <v>455</v>
  </rv>
  <rv s="1">
    <v>1</v>
    <v>NIFTYBEES</v>
    <v>Daily</v>
    <v>44718</v>
    <v>44718</v>
    <v>0</v>
    <v>1</v>
    <v>637900704000000000,639087303899446763,0</v>
    <v>0</v>
    <v>ahj6w7</v>
    <v>XNSE:NIFTYBEES</v>
    <v>456</v>
  </rv>
  <rv s="1">
    <v>1</v>
    <v>NIFTYBEES</v>
    <v>Daily</v>
    <v>45138</v>
    <v>45138</v>
    <v>0</v>
    <v>1</v>
    <v>638263584000000000,639087303896816265,0</v>
    <v>0</v>
    <v>ahj6w7</v>
    <v>XNSE:NIFTYBEES</v>
    <v>457</v>
  </rv>
  <rv s="1">
    <v>1</v>
    <v>NIFTYBEES</v>
    <v>Daily</v>
    <v>45054</v>
    <v>45054</v>
    <v>0</v>
    <v>1</v>
    <v>638191008000000000,639087303897294161,0</v>
    <v>0</v>
    <v>ahj6w7</v>
    <v>XNSE:NIFTYBEES</v>
    <v>458</v>
  </rv>
  <rv s="1">
    <v>1</v>
    <v>NIFTYBEES</v>
    <v>Daily</v>
    <v>44648</v>
    <v>44648</v>
    <v>0</v>
    <v>1</v>
    <v>637840224000000000,639087303898885451,0</v>
    <v>0</v>
    <v>ahj6w7</v>
    <v>XNSE:NIFTYBEES</v>
    <v>459</v>
  </rv>
  <rv s="1">
    <v>1</v>
    <v>NIFTYBEES</v>
    <v>Daily</v>
    <v>45516</v>
    <v>45516</v>
    <v>0</v>
    <v>1</v>
    <v>638590176000000000,639087303899007589,0</v>
    <v>0</v>
    <v>ahj6w7</v>
    <v>XNSE:NIFTYBEES</v>
    <v>460</v>
  </rv>
  <rv s="1">
    <v>1</v>
    <v>NIFTYBEES</v>
    <v>Daily</v>
    <v>44998</v>
    <v>44998</v>
    <v>0</v>
    <v>1</v>
    <v>638142624000000000,639087303900969098,0</v>
    <v>0</v>
    <v>ahj6w7</v>
    <v>XNSE:NIFTYBEES</v>
    <v>461</v>
  </rv>
  <rv s="1">
    <v>1</v>
    <v>NIFTYBEES</v>
    <v>Daily</v>
    <v>45187</v>
    <v>45187</v>
    <v>0</v>
    <v>1</v>
    <v>638305920000000000,639087303901036311,0</v>
    <v>0</v>
    <v>ahj6w7</v>
    <v>XNSE:NIFTYBEES</v>
    <v>462</v>
  </rv>
  <rv s="1">
    <v>1</v>
    <v>NIFTYBEES</v>
    <v>Daily</v>
    <v>45341</v>
    <v>45341</v>
    <v>0</v>
    <v>1</v>
    <v>638438976000000000,639087303901040244,0</v>
    <v>0</v>
    <v>ahj6w7</v>
    <v>XNSE:NIFTYBEES</v>
    <v>463</v>
  </rv>
  <rv s="1">
    <v>1</v>
    <v>NIFTYBEES</v>
    <v>Daily</v>
    <v>45755</v>
    <v>45755</v>
    <v>0</v>
    <v>1</v>
    <v>638796672000000000,639087303901091445,0</v>
    <v>0</v>
    <v>ahj6w7</v>
    <v>XNSE:NIFTYBEES</v>
    <v>464</v>
  </rv>
  <rv s="1">
    <v>1</v>
    <v>NIFTYBEES</v>
    <v>Daily</v>
    <v>45446</v>
    <v>45446</v>
    <v>0</v>
    <v>1</v>
    <v>638529696000000000,639087303902041899,0</v>
    <v>0</v>
    <v>ahj6w7</v>
    <v>XNSE:NIFTYBEES</v>
    <v>465</v>
  </rv>
  <rv s="1">
    <v>1</v>
    <v>NIFTYBEES</v>
    <v>Daily</v>
    <v>45215</v>
    <v>45215</v>
    <v>0</v>
    <v>1</v>
    <v>638330112000000000,639087303902350546,0</v>
    <v>0</v>
    <v>ahj6w7</v>
    <v>XNSE:NIFTYBEES</v>
    <v>466</v>
  </rv>
  <rv s="1">
    <v>1</v>
    <v>NIFTYBEES</v>
    <v>Daily</v>
    <v>44473</v>
    <v>44473</v>
    <v>0</v>
    <v>1</v>
    <v>637689024000000000,639087303902492278,0</v>
    <v>0</v>
    <v>ahj6w7</v>
    <v>XNSE:NIFTYBEES</v>
    <v>467</v>
  </rv>
  <rv s="1">
    <v>1</v>
    <v>NIFTYBEES</v>
    <v>Daily</v>
    <v>45530</v>
    <v>45530</v>
    <v>0</v>
    <v>1</v>
    <v>638602272000000000,639087303903729697,0</v>
    <v>0</v>
    <v>ahj6w7</v>
    <v>XNSE:NIFTYBEES</v>
    <v>468</v>
  </rv>
  <rv s="1">
    <v>1</v>
    <v>NIFTYBEES</v>
    <v>Daily</v>
    <v>45635</v>
    <v>45635</v>
    <v>0</v>
    <v>1</v>
    <v>638692992000000000,639087303904149788,0</v>
    <v>0</v>
    <v>ahj6w7</v>
    <v>XNSE:NIFTYBEES</v>
    <v>469</v>
  </rv>
  <rv s="1">
    <v>1</v>
    <v>NIFTYBEES</v>
    <v>Daily</v>
    <v>44333</v>
    <v>44333</v>
    <v>0</v>
    <v>1</v>
    <v>637568064000000000,639087303904559876,0</v>
    <v>0</v>
    <v>ahj6w7</v>
    <v>XNSE:NIFTYBEES</v>
    <v>470</v>
  </rv>
  <rv s="1">
    <v>1</v>
    <v>NIFTYBEES</v>
    <v>Daily</v>
    <v>44802</v>
    <v>44802</v>
    <v>0</v>
    <v>1</v>
    <v>637973280000000000,639087303906658379,0</v>
    <v>0</v>
    <v>ahj6w7</v>
    <v>XNSE:NIFTYBEES</v>
    <v>471</v>
  </rv>
  <rv s="1">
    <v>1</v>
    <v>NIFTYBEES</v>
    <v>Daily</v>
    <v>45467</v>
    <v>45467</v>
    <v>0</v>
    <v>1</v>
    <v>638547840000000000,639087303904189796,0</v>
    <v>0</v>
    <v>ahj6w7</v>
    <v>XNSE:NIFTYBEES</v>
    <v>472</v>
  </rv>
  <rv s="1">
    <v>1</v>
    <v>NIFTYBEES</v>
    <v>Daily</v>
    <v>44914</v>
    <v>44914</v>
    <v>0</v>
    <v>1</v>
    <v>638070048000000000,639087303906338160,0</v>
    <v>0</v>
    <v>ahj6w7</v>
    <v>XNSE:NIFTYBEES</v>
    <v>473</v>
  </rv>
  <rv s="1">
    <v>1</v>
    <v>NIFTYBEES</v>
    <v>Daily</v>
    <v>45334</v>
    <v>45334</v>
    <v>0</v>
    <v>1</v>
    <v>638432928000000000,639087303906758403,0</v>
    <v>0</v>
    <v>ahj6w7</v>
    <v>XNSE:NIFTYBEES</v>
    <v>474</v>
  </rv>
  <rv s="1">
    <v>1</v>
    <v>NIFTYBEES</v>
    <v>Daily</v>
    <v>44831</v>
    <v>44831</v>
    <v>0</v>
    <v>1</v>
    <v>637998336000000000,639087303908440726,0</v>
    <v>0</v>
    <v>ahj6w7</v>
    <v>XNSE:NIFTYBEES</v>
    <v>475</v>
  </rv>
  <rv s="1">
    <v>1</v>
    <v>NIFTYBEES</v>
    <v>Daily</v>
    <v>44536</v>
    <v>44536</v>
    <v>0</v>
    <v>1</v>
    <v>637743456000000000,639087303906708241,0</v>
    <v>0</v>
    <v>ahj6w7</v>
    <v>XNSE:NIFTYBEES</v>
    <v>476</v>
  </rv>
  <rv s="1">
    <v>1</v>
    <v>NIFTYBEES</v>
    <v>Daily</v>
    <v>45089</v>
    <v>45089</v>
    <v>0</v>
    <v>1</v>
    <v>638221248000000000,639087303907500520,0</v>
    <v>0</v>
    <v>ahj6w7</v>
    <v>XNSE:NIFTYBEES</v>
    <v>477</v>
  </rv>
  <rv s="1">
    <v>1</v>
    <v>NIFTYBEES</v>
    <v>Daily</v>
    <v>44907</v>
    <v>44907</v>
    <v>0</v>
    <v>1</v>
    <v>638064000000000000,639087303908288586,0</v>
    <v>0</v>
    <v>ahj6w7</v>
    <v>XNSE:NIFTYBEES</v>
    <v>478</v>
  </rv>
  <rv s="1">
    <v>1</v>
    <v>NIFTYBEES</v>
    <v>Daily</v>
    <v>44592</v>
    <v>44592</v>
    <v>0</v>
    <v>1</v>
    <v>637791840000000000,639087303911999588,0</v>
    <v>0</v>
    <v>ahj6w7</v>
    <v>XNSE:NIFTYBEES</v>
    <v>479</v>
  </rv>
  <rv s="1">
    <v>1</v>
    <v>NIFTYBEES</v>
    <v>Daily</v>
    <v>44865</v>
    <v>44865</v>
    <v>0</v>
    <v>1</v>
    <v>638027712000000000,639087303912479700,0</v>
    <v>0</v>
    <v>ahj6w7</v>
    <v>XNSE:NIFTYBEES</v>
    <v>480</v>
  </rv>
  <rv s="1">
    <v>1</v>
    <v>NIFTYBEES</v>
    <v>Daily</v>
    <v>44550</v>
    <v>44550</v>
    <v>0</v>
    <v>1</v>
    <v>637755552000000000,639087303908055220,0</v>
    <v>0</v>
    <v>ahj6w7</v>
    <v>XNSE:NIFTYBEES</v>
    <v>481</v>
  </rv>
  <rv s="1">
    <v>1</v>
    <v>NIFTYBEES</v>
    <v>Daily</v>
    <v>45264</v>
    <v>45264</v>
    <v>0</v>
    <v>1</v>
    <v>638372448000000000,639087303909519028,0</v>
    <v>0</v>
    <v>ahj6w7</v>
    <v>XNSE:NIFTYBEES</v>
    <v>482</v>
  </rv>
  <rv s="1">
    <v>1</v>
    <v>NIFTYBEES</v>
    <v>Daily</v>
    <v>44711</v>
    <v>44711</v>
    <v>0</v>
    <v>1</v>
    <v>637894656000000000,639087303909909114,0</v>
    <v>0</v>
    <v>ahj6w7</v>
    <v>XNSE:NIFTYBEES</v>
    <v>483</v>
  </rv>
  <rv s="1">
    <v>1</v>
    <v>NIFTYBEES</v>
    <v>Daily</v>
    <v>45425</v>
    <v>45425</v>
    <v>0</v>
    <v>1</v>
    <v>638511552000000000,639087303911089382,0</v>
    <v>0</v>
    <v>ahj6w7</v>
    <v>XNSE:NIFTYBEES</v>
    <v>484</v>
  </rv>
  <rv s="1">
    <v>1</v>
    <v>NIFTYBEES</v>
    <v>Daily</v>
    <v>45103</v>
    <v>45103</v>
    <v>0</v>
    <v>1</v>
    <v>638233344000000000,639087303910176212,0</v>
    <v>0</v>
    <v>ahj6w7</v>
    <v>XNSE:NIFTYBEES</v>
    <v>485</v>
  </rv>
  <rv s="1">
    <v>1</v>
    <v>NIFTYBEES</v>
    <v>Daily</v>
    <v>45565</v>
    <v>45565</v>
    <v>0</v>
    <v>1</v>
    <v>638632512000000000,639087303910216038,0</v>
    <v>0</v>
    <v>ahj6w7</v>
    <v>XNSE:NIFTYBEES</v>
    <v>486</v>
  </rv>
  <rv s="1">
    <v>1</v>
    <v>NIFTYBEES</v>
    <v>Daily</v>
    <v>44396</v>
    <v>44396</v>
    <v>0</v>
    <v>1</v>
    <v>637622496000000000,639087303910225995,0</v>
    <v>0</v>
    <v>ahj6w7</v>
    <v>XNSE:NIFTYBEES</v>
    <v>487</v>
  </rv>
  <rv s="1">
    <v>1</v>
    <v>NIFTYBEES</v>
    <v>Daily</v>
    <v>45012</v>
    <v>45012</v>
    <v>0</v>
    <v>1</v>
    <v>638154720000000000,639087303910245907,0</v>
    <v>0</v>
    <v>ahj6w7</v>
    <v>XNSE:NIFTYBEES</v>
    <v>488</v>
  </rv>
  <rv s="1">
    <v>1</v>
    <v>NIFTYBEES</v>
    <v>Daily</v>
    <v>45677</v>
    <v>45677</v>
    <v>0</v>
    <v>1</v>
    <v>638729280000000000,639087303911989397,0</v>
    <v>0</v>
    <v>ahj6w7</v>
    <v>XNSE:NIFTYBEES</v>
    <v>226</v>
  </rv>
  <rv s="1">
    <v>1</v>
    <v>NIFTYBEES</v>
    <v>Daily</v>
    <v>45509</v>
    <v>45509</v>
    <v>0</v>
    <v>1</v>
    <v>638584128000000000,639087303914850022,0</v>
    <v>0</v>
    <v>ahj6w7</v>
    <v>XNSE:NIFTYBEES</v>
    <v>489</v>
  </rv>
  <rv s="1">
    <v>1</v>
    <v>NIFTYBEES</v>
    <v>Daily</v>
    <v>44438</v>
    <v>44438</v>
    <v>0</v>
    <v>1</v>
    <v>637658784000000000,639087303915320126,0</v>
    <v>0</v>
    <v>ahj6w7</v>
    <v>XNSE:NIFTYBEES</v>
    <v>490</v>
  </rv>
  <rv s="1">
    <v>1</v>
    <v>NIFTYBEES</v>
    <v>Daily</v>
    <v>44781</v>
    <v>44781</v>
    <v>0</v>
    <v>1</v>
    <v>637955136000000000,639087303913739979,0</v>
    <v>0</v>
    <v>ahj6w7</v>
    <v>XNSE:NIFTYBEES</v>
    <v>491</v>
  </rv>
  <rv s="1">
    <v>1</v>
    <v>NIFTYBEES</v>
    <v>Daily</v>
    <v>45250</v>
    <v>45250</v>
    <v>0</v>
    <v>1</v>
    <v>638360352000000000,639087303915300323,0</v>
    <v>0</v>
    <v>ahj6w7</v>
    <v>XNSE:NIFTYBEES</v>
    <v>492</v>
  </rv>
  <rv s="1">
    <v>1</v>
    <v>NIFTYBEES</v>
    <v>Daily</v>
    <v>45642</v>
    <v>45642</v>
    <v>0</v>
    <v>1</v>
    <v>638699040000000000,639087303915690409,0</v>
    <v>0</v>
    <v>ahj6w7</v>
    <v>XNSE:NIFTYBEES</v>
    <v>493</v>
  </rv>
  <rv s="1">
    <v>1</v>
    <v>NIFTYBEES</v>
    <v>Daily</v>
    <v>45005</v>
    <v>45005</v>
    <v>0</v>
    <v>1</v>
    <v>638148672000000000,639087303916470582,0</v>
    <v>0</v>
    <v>ahj6w7</v>
    <v>XNSE:NIFTYBEES</v>
    <v>494</v>
  </rv>
  <rv s="1">
    <v>1</v>
    <v>NIFTYBEES</v>
    <v>Daily</v>
    <v>45439</v>
    <v>45439</v>
    <v>0</v>
    <v>1</v>
    <v>638523648000000000,639087303914139501,0</v>
    <v>0</v>
    <v>ahj6w7</v>
    <v>XNSE:NIFTYBEES</v>
    <v>495</v>
  </rv>
  <rv s="1">
    <v>1</v>
    <v>NIFTYBEES</v>
    <v>Daily</v>
    <v>45243</v>
    <v>45243</v>
    <v>0</v>
    <v>1</v>
    <v>638354304000000000,639087303914192474,0</v>
    <v>0</v>
    <v>ahj6w7</v>
    <v>XNSE:NIFTYBEES</v>
    <v>496</v>
  </rv>
  <rv s="1">
    <v>1</v>
    <v>NIFTYBEES</v>
    <v>Daily</v>
    <v>44564</v>
    <v>44564</v>
    <v>0</v>
    <v>1</v>
    <v>637767648000000000,639087303914277880,0</v>
    <v>0</v>
    <v>ahj6w7</v>
    <v>XNSE:NIFTYBEES</v>
    <v>497</v>
  </rv>
  <rv s="1">
    <v>1</v>
    <v>NIFTYBEES</v>
    <v>Daily</v>
    <v>45110</v>
    <v>45110</v>
    <v>0</v>
    <v>1</v>
    <v>638239392000000000,639087303915214090,0</v>
    <v>0</v>
    <v>ahj6w7</v>
    <v>XNSE:NIFTYBEES</v>
    <v>498</v>
  </rv>
  <rv s="1">
    <v>1</v>
    <v>NIFTYBEES</v>
    <v>Daily</v>
    <v>44991</v>
    <v>44991</v>
    <v>0</v>
    <v>1</v>
    <v>638136576000000000,639087303914380095,0</v>
    <v>0</v>
    <v>ahj6w7</v>
    <v>XNSE:NIFTYBEES</v>
    <v>499</v>
  </rv>
  <rv s="1">
    <v>1</v>
    <v>NIFTYBEES</v>
    <v>Daily</v>
    <v>45279</v>
    <v>45279</v>
    <v>0</v>
    <v>1</v>
    <v>638385408000000000,639087303914838087,0</v>
    <v>0</v>
    <v>ahj6w7</v>
    <v>XNSE:NIFTYBEES</v>
    <v>500</v>
  </rv>
  <rv s="1">
    <v>1</v>
    <v>NIFTYBEES</v>
    <v>Daily</v>
    <v>45656</v>
    <v>45656</v>
    <v>0</v>
    <v>1</v>
    <v>638711136000000000,639087303915136772,0</v>
    <v>0</v>
    <v>ahj6w7</v>
    <v>XNSE:NIFTYBEES</v>
    <v>105</v>
  </rv>
  <rv s="1">
    <v>1</v>
    <v>NIFTYBEES</v>
    <v>Daily</v>
    <v>45041</v>
    <v>45041</v>
    <v>0</v>
    <v>1</v>
    <v>638179776000000000,639087303915335902,0</v>
    <v>0</v>
    <v>ahj6w7</v>
    <v>XNSE:NIFTYBEES</v>
    <v>501</v>
  </rv>
  <rv s="1">
    <v>1</v>
    <v>NIFTYBEES</v>
    <v>Daily</v>
    <v>44424</v>
    <v>44424</v>
    <v>0</v>
    <v>1</v>
    <v>637646688000000000,639087303915385670,0</v>
    <v>0</v>
    <v>ahj6w7</v>
    <v>XNSE:NIFTYBEES</v>
    <v>502</v>
  </rv>
  <rv s="1">
    <v>1</v>
    <v>NIFTYBEES</v>
    <v>Daily</v>
    <v>45040</v>
    <v>45040</v>
    <v>0</v>
    <v>1</v>
    <v>638178912000000000,639087303916329893,0</v>
    <v>0</v>
    <v>ahj6w7</v>
    <v>XNSE:NIFTYBEES</v>
    <v>503</v>
  </rv>
  <rv s="1">
    <v>1</v>
    <v>NIFTYBEES</v>
    <v>Daily</v>
    <v>44949</v>
    <v>44949</v>
    <v>0</v>
    <v>1</v>
    <v>638100288000000000,639087303918682748,0</v>
    <v>0</v>
    <v>ahj6w7</v>
    <v>XNSE:NIFTYBEES</v>
    <v>504</v>
  </rv>
  <rv s="1">
    <v>1</v>
    <v>NIFTYBEES</v>
    <v>Daily</v>
    <v>44494</v>
    <v>44494</v>
    <v>0</v>
    <v>1</v>
    <v>637707168000000000,639087303920841543,0</v>
    <v>0</v>
    <v>ahj6w7</v>
    <v>XNSE:NIFTYBEES</v>
    <v>41</v>
  </rv>
  <rv s="1">
    <v>1</v>
    <v>NIFTYBEES</v>
    <v>Daily</v>
    <v>44467</v>
    <v>44467</v>
    <v>0</v>
    <v>1</v>
    <v>637683840000000000,639087303921781539,0</v>
    <v>0</v>
    <v>ahj6w7</v>
    <v>XNSE:NIFTYBEES</v>
    <v>313</v>
  </rv>
  <rv s="1">
    <v>1</v>
    <v>NIFTYBEES</v>
    <v>Daily</v>
    <v>45299</v>
    <v>45299</v>
    <v>0</v>
    <v>1</v>
    <v>638402688000000000,639087303923691960,0</v>
    <v>0</v>
    <v>ahj6w7</v>
    <v>XNSE:NIFTYBEES</v>
    <v>505</v>
  </rv>
  <rv s="1">
    <v>1</v>
    <v>NIFTYBEES</v>
    <v>Daily</v>
    <v>44662</v>
    <v>44662</v>
    <v>0</v>
    <v>1</v>
    <v>637852320000000000,639087303924162062,0</v>
    <v>0</v>
    <v>ahj6w7</v>
    <v>XNSE:NIFTYBEES</v>
    <v>506</v>
  </rv>
  <rv s="1">
    <v>1</v>
    <v>NIFTYBEES</v>
    <v>Daily</v>
    <v>44270</v>
    <v>44270</v>
    <v>0</v>
    <v>1</v>
    <v>637513632000000000,639087303921351416,0</v>
    <v>0</v>
    <v>ahj6w7</v>
    <v>XNSE:NIFTYBEES</v>
    <v>507</v>
  </rv>
  <rv s="1">
    <v>1</v>
    <v>NIFTYBEES</v>
    <v>Daily</v>
    <v>44937</v>
    <v>44937</v>
    <v>0</v>
    <v>1</v>
    <v>638089920000000000,639087303921816645,0</v>
    <v>0</v>
    <v>ahj6w7</v>
    <v>XNSE:NIFTYBEES</v>
    <v>97</v>
  </rv>
  <rv s="1">
    <v>1</v>
    <v>NIFTYBEES</v>
    <v>Daily</v>
    <v>44545</v>
    <v>44545</v>
    <v>0</v>
    <v>1</v>
    <v>637751232000000000,639087303922744094,0</v>
    <v>0</v>
    <v>ahj6w7</v>
    <v>XNSE:NIFTYBEES</v>
    <v>508</v>
  </rv>
  <rv s="1">
    <v>1</v>
    <v>NIFTYBEES</v>
    <v>Daily</v>
    <v>45124</v>
    <v>45124</v>
    <v>0</v>
    <v>1</v>
    <v>638251488000000000,639087303920245908,0</v>
    <v>0</v>
    <v>ahj6w7</v>
    <v>XNSE:NIFTYBEES</v>
    <v>509</v>
  </rv>
  <rv s="1">
    <v>1</v>
    <v>NIFTYBEES</v>
    <v>Daily</v>
    <v>45355</v>
    <v>45355</v>
    <v>0</v>
    <v>1</v>
    <v>638451072000000000,639087303920639945,0</v>
    <v>0</v>
    <v>ahj6w7</v>
    <v>XNSE:NIFTYBEES</v>
    <v>510</v>
  </rv>
  <rv s="1">
    <v>1</v>
    <v>NIFTYBEES</v>
    <v>Daily</v>
    <v>45362</v>
    <v>45362</v>
    <v>0</v>
    <v>1</v>
    <v>638457120000000000,639087303920709939,0</v>
    <v>0</v>
    <v>ahj6w7</v>
    <v>XNSE:NIFTYBEES</v>
    <v>511</v>
  </rv>
  <rv s="1">
    <v>1</v>
    <v>NIFTYBEES</v>
    <v>Daily</v>
    <v>45320</v>
    <v>45320</v>
    <v>0</v>
    <v>1</v>
    <v>638420832000000000,639087303920729554,0</v>
    <v>0</v>
    <v>ahj6w7</v>
    <v>XNSE:NIFTYBEES</v>
    <v>512</v>
  </rv>
  <rv s="1">
    <v>1</v>
    <v>NIFTYBEES</v>
    <v>Daily</v>
    <v>45468</v>
    <v>45468</v>
    <v>0</v>
    <v>1</v>
    <v>638548704000000000,639087303920739515,0</v>
    <v>0</v>
    <v>ahj6w7</v>
    <v>XNSE:NIFTYBEES</v>
    <v>513</v>
  </rv>
  <rv s="1">
    <v>1</v>
    <v>NIFTYBEES</v>
    <v>Daily</v>
    <v>44375</v>
    <v>44375</v>
    <v>0</v>
    <v>1</v>
    <v>637604352000000000,639087303922056383,0</v>
    <v>0</v>
    <v>ahj6w7</v>
    <v>XNSE:NIFTYBEES</v>
    <v>514</v>
  </rv>
  <rv s="1">
    <v>1</v>
    <v>NIFTYBEES</v>
    <v>Daily</v>
    <v>44431</v>
    <v>44431</v>
    <v>0</v>
    <v>1</v>
    <v>637652736000000000,639087303922512031,0</v>
    <v>0</v>
    <v>ahj6w7</v>
    <v>XNSE:NIFTYBEES</v>
    <v>515</v>
  </rv>
  <rv s="1">
    <v>1</v>
    <v>NIFTYBEES</v>
    <v>Daily</v>
    <v>44704</v>
    <v>44704</v>
    <v>0</v>
    <v>1</v>
    <v>637888608000000000,639087303923268702,0</v>
    <v>0</v>
    <v>ahj6w7</v>
    <v>XNSE:NIFTYBEES</v>
    <v>516</v>
  </rv>
  <rv s="1">
    <v>1</v>
    <v>NIFTYBEES</v>
    <v>Daily</v>
    <v>45278</v>
    <v>45278</v>
    <v>0</v>
    <v>1</v>
    <v>638384544000000000,639087303923969925,0</v>
    <v>0</v>
    <v>ahj6w7</v>
    <v>XNSE:NIFTYBEES</v>
    <v>517</v>
  </rv>
  <rv s="1">
    <v>1</v>
    <v>NIFTYBEES</v>
    <v>Daily</v>
    <v>45152</v>
    <v>45152</v>
    <v>0</v>
    <v>1</v>
    <v>638275680000000000,639087303924427902,0</v>
    <v>0</v>
    <v>ahj6w7</v>
    <v>XNSE:NIFTYBEES</v>
    <v>518</v>
  </rv>
  <rv s="1">
    <v>1</v>
    <v>NIFTYBEES</v>
    <v>Daily</v>
    <v>44880</v>
    <v>44880</v>
    <v>0</v>
    <v>1</v>
    <v>638040672000000000,639087303924656898,0</v>
    <v>0</v>
    <v>ahj6w7</v>
    <v>XNSE:NIFTYBEES</v>
    <v>519</v>
  </rv>
  <rv s="1">
    <v>1</v>
    <v>NIFTYBEES</v>
    <v>Daily</v>
    <v>45495</v>
    <v>45495</v>
    <v>0</v>
    <v>1</v>
    <v>638572032000000000,639087303924885892,0</v>
    <v>0</v>
    <v>ahj6w7</v>
    <v>XNSE:NIFTYBEES</v>
    <v>520</v>
  </rv>
  <rv s="1">
    <v>1</v>
    <v>NIFTYBEES</v>
    <v>Daily</v>
    <v>44739</v>
    <v>44739</v>
    <v>0</v>
    <v>1</v>
    <v>637918848000000000,639087303973039864,0</v>
    <v>0</v>
    <v>ahj6w7</v>
    <v>XNSE:NIFTYBEES</v>
    <v>521</v>
  </rv>
  <rv s="1">
    <v>1</v>
    <v>NIFTYBEES</v>
    <v>Daily</v>
    <v>45327</v>
    <v>45327</v>
    <v>0</v>
    <v>1</v>
    <v>638426880000000000,639087303973049820,0</v>
    <v>0</v>
    <v>ahj6w7</v>
    <v>XNSE:NIFTYBEES</v>
    <v>522</v>
  </rv>
  <rv s="1">
    <v>1</v>
    <v>NIFTYBEES</v>
    <v>Daily</v>
    <v>45019</v>
    <v>45019</v>
    <v>0</v>
    <v>1</v>
    <v>638160768000000000,639087303973149611,0</v>
    <v>0</v>
    <v>ahj6w7</v>
    <v>XNSE:NIFTYBEES</v>
    <v>523</v>
  </rv>
  <rv s="1">
    <v>1</v>
    <v>NIFTYBEES</v>
    <v>Daily</v>
    <v>45293</v>
    <v>45293</v>
    <v>0</v>
    <v>1</v>
    <v>638397504000000000,639087303974865069,0</v>
    <v>0</v>
    <v>ahj6w7</v>
    <v>XNSE:NIFTYBEES</v>
    <v>524</v>
  </rv>
  <rv s="1">
    <v>1</v>
    <v>NIFTYBEES</v>
    <v>Daily</v>
    <v>44845</v>
    <v>44845</v>
    <v>0</v>
    <v>1</v>
    <v>638010432000000000,639087303977045543,0</v>
    <v>0</v>
    <v>ahj6w7</v>
    <v>XNSE:NIFTYBEES</v>
    <v>525</v>
  </rv>
  <rv s="1">
    <v>1</v>
    <v>NIFTYBEES</v>
    <v>Daily</v>
    <v>45670</v>
    <v>45670</v>
    <v>0</v>
    <v>1</v>
    <v>638723232000000000,639087303975840804,0</v>
    <v>0</v>
    <v>ahj6w7</v>
    <v>XNSE:NIFTYBEES</v>
    <v>526</v>
  </rv>
  <rv s="1">
    <v>1</v>
    <v>NIFTYBEES</v>
    <v>Daily</v>
    <v>44459</v>
    <v>44459</v>
    <v>0</v>
    <v>1</v>
    <v>637676928000000000,639087303976078836,0</v>
    <v>0</v>
    <v>ahj6w7</v>
    <v>XNSE:NIFTYBEES</v>
    <v>527</v>
  </rv>
  <rv s="1">
    <v>1</v>
    <v>NIFTYBEES</v>
    <v>Daily</v>
    <v>45488</v>
    <v>45488</v>
    <v>0</v>
    <v>1</v>
    <v>638565984000000000,639087303977035545,0</v>
    <v>0</v>
    <v>ahj6w7</v>
    <v>XNSE:NIFTYBEES</v>
    <v>21</v>
  </rv>
  <rv s="1">
    <v>1</v>
    <v>NIFTYBEES</v>
    <v>Daily</v>
    <v>44613</v>
    <v>44613</v>
    <v>0</v>
    <v>1</v>
    <v>637809984000000000,639087303976093919,0</v>
    <v>0</v>
    <v>ahj6w7</v>
    <v>XNSE:NIFTYBEES</v>
    <v>528</v>
  </rv>
  <rv s="1">
    <v>1</v>
    <v>NIFTYBEES</v>
    <v>Daily</v>
    <v>44487</v>
    <v>44487</v>
    <v>0</v>
    <v>1</v>
    <v>637701120000000000,639087303977904309,0</v>
    <v>0</v>
    <v>ahj6w7</v>
    <v>XNSE:NIFTYBEES</v>
    <v>529</v>
  </rv>
  <rv s="1">
    <v>1</v>
    <v>NIFTYBEES</v>
    <v>Daily</v>
    <v>44403</v>
    <v>44403</v>
    <v>0</v>
    <v>1</v>
    <v>637628544000000000,639087303978265808,0</v>
    <v>0</v>
    <v>ahj6w7</v>
    <v>XNSE:NIFTYBEES</v>
    <v>530</v>
  </rv>
  <rv s="1">
    <v>1</v>
    <v>NIFTYBEES</v>
    <v>Daily</v>
    <v>44725</v>
    <v>44725</v>
    <v>0</v>
    <v>1</v>
    <v>637906752000000000,639087303978994569,0</v>
    <v>0</v>
    <v>ahj6w7</v>
    <v>XNSE:NIFTYBEES</v>
    <v>531</v>
  </rv>
  <rv s="1">
    <v>1</v>
    <v>NIFTYBEES</v>
    <v>Daily</v>
    <v>44901</v>
    <v>44901</v>
    <v>0</v>
    <v>1</v>
    <v>638058816000000000,639087303976726917,0</v>
    <v>0</v>
    <v>ahj6w7</v>
    <v>XNSE:NIFTYBEES</v>
    <v>454</v>
  </rv>
  <rv s="1">
    <v>1</v>
    <v>NIFTYBEES</v>
    <v>Daily</v>
    <v>44837</v>
    <v>44837</v>
    <v>0</v>
    <v>1</v>
    <v>638003520000000000,639087303977194853,0</v>
    <v>0</v>
    <v>ahj6w7</v>
    <v>XNSE:NIFTYBEES</v>
    <v>532</v>
  </rv>
  <rv s="1">
    <v>1</v>
    <v>NIFTYBEES</v>
    <v>Daily</v>
    <v>44452</v>
    <v>44452</v>
    <v>0</v>
    <v>1</v>
    <v>637670880000000000,639087303977674265,0</v>
    <v>0</v>
    <v>ahj6w7</v>
    <v>XNSE:NIFTYBEES</v>
    <v>533</v>
  </rv>
  <rv s="1">
    <v>1</v>
    <v>NIFTYBEES</v>
    <v>Daily</v>
    <v>44753</v>
    <v>44753</v>
    <v>0</v>
    <v>1</v>
    <v>637930944000000000,639087303977909910,0</v>
    <v>0</v>
    <v>ahj6w7</v>
    <v>XNSE:NIFTYBEES</v>
    <v>534</v>
  </rv>
  <rv s="1">
    <v>1</v>
    <v>NIFTYBEES</v>
    <v>Daily</v>
    <v>44340</v>
    <v>44340</v>
    <v>0</v>
    <v>1</v>
    <v>637574112000000000,639087303977979609,0</v>
    <v>0</v>
    <v>ahj6w7</v>
    <v>XNSE:NIFTYBEES</v>
    <v>535</v>
  </rv>
  <rv s="1">
    <v>1</v>
    <v>NIFTYBEES</v>
    <v>Daily</v>
    <v>44585</v>
    <v>44585</v>
    <v>0</v>
    <v>1</v>
    <v>637785792000000000,639087303977999576,0</v>
    <v>0</v>
    <v>ahj6w7</v>
    <v>XNSE:NIFTYBEES</v>
    <v>536</v>
  </rv>
  <rv s="1">
    <v>1</v>
    <v>NIFTYBEES</v>
    <v>Daily</v>
    <v>45131</v>
    <v>45131</v>
    <v>0</v>
    <v>1</v>
    <v>638257536000000000,639087303978069217,0</v>
    <v>0</v>
    <v>ahj6w7</v>
    <v>XNSE:NIFTYBEES</v>
    <v>537</v>
  </rv>
  <rv s="1">
    <v>1</v>
    <v>NIFTYBEES</v>
    <v>Daily</v>
    <v>44669</v>
    <v>44669</v>
    <v>0</v>
    <v>1</v>
    <v>637858368000000000,639087303979673947,0</v>
    <v>0</v>
    <v>ahj6w7</v>
    <v>XNSE:NIFTYBEES</v>
    <v>140</v>
  </rv>
  <rv s="1">
    <v>1</v>
    <v>NIFTYBEES</v>
    <v>Daily</v>
    <v>45621</v>
    <v>45621</v>
    <v>0</v>
    <v>1</v>
    <v>638680896000000000,639087303980160948,0</v>
    <v>0</v>
    <v>ahj6w7</v>
    <v>XNSE:NIFTYBEES</v>
    <v>538</v>
  </rv>
  <rv s="1">
    <v>1</v>
    <v>NIFTYBEES</v>
    <v>Daily</v>
    <v>44858</v>
    <v>44858</v>
    <v>0</v>
    <v>1</v>
    <v>638021664000000000,639087303979186017,0</v>
    <v>0</v>
    <v>ahj6w7</v>
    <v>XNSE:NIFTYBEES</v>
    <v>539</v>
  </rv>
  <rv s="1">
    <v>1</v>
    <v>NIFTYBEES</v>
    <v>Daily</v>
    <v>45096</v>
    <v>45096</v>
    <v>0</v>
    <v>1</v>
    <v>638227296000000000,639087303979986181,0</v>
    <v>0</v>
    <v>ahj6w7</v>
    <v>XNSE:NIFTYBEES</v>
    <v>540</v>
  </rv>
  <rv s="1">
    <v>1</v>
    <v>NIFTYBEES</v>
    <v>Daily</v>
    <v>45600</v>
    <v>45600</v>
    <v>0</v>
    <v>1</v>
    <v>638662752000000000,639087303981936604,0</v>
    <v>0</v>
    <v>ahj6w7</v>
    <v>XNSE:NIFTYBEES</v>
    <v>541</v>
  </rv>
  <rv s="1">
    <v>1</v>
    <v>NIFTYBEES</v>
    <v>Daily</v>
    <v>45614</v>
    <v>45614</v>
    <v>0</v>
    <v>1</v>
    <v>638674848000000000,639087303982316691,0</v>
    <v>0</v>
    <v>ahj6w7</v>
    <v>XNSE:NIFTYBEES</v>
    <v>542</v>
  </rv>
  <rv s="1">
    <v>1</v>
    <v>NIFTYBEES</v>
    <v>Daily</v>
    <v>45607</v>
    <v>45607</v>
    <v>0</v>
    <v>1</v>
    <v>638668800000000000,639087303978267132,0</v>
    <v>0</v>
    <v>ahj6w7</v>
    <v>XNSE:NIFTYBEES</v>
    <v>543</v>
  </rv>
  <rv s="1">
    <v>1</v>
    <v>NIFTYBEES</v>
    <v>Daily</v>
    <v>44263</v>
    <v>44263</v>
    <v>0</v>
    <v>1</v>
    <v>637507584000000000,639087303982179946,0</v>
    <v>0</v>
    <v>ahj6w7</v>
    <v>XNSE:NIFTYBEES</v>
    <v>544</v>
  </rv>
  <rv s="1">
    <v>1</v>
    <v>NIFTYBEES</v>
    <v>Daily</v>
    <v>45684</v>
    <v>45684</v>
    <v>0</v>
    <v>1</v>
    <v>638735328000000000,639087303982222196,0</v>
    <v>0</v>
    <v>ahj6w7</v>
    <v>XNSE:NIFTYBEES</v>
    <v>545</v>
  </rv>
  <rv s="1">
    <v>1</v>
    <v>NIFTYBEES</v>
    <v>Daily</v>
    <v>44599</v>
    <v>44599</v>
    <v>0</v>
    <v>1</v>
    <v>637797888000000000,639087303982358962,0</v>
    <v>0</v>
    <v>ahj6w7</v>
    <v>XNSE:NIFTYBEES</v>
    <v>546</v>
  </rv>
  <rv s="1">
    <v>1</v>
    <v>NIFTYBEES</v>
    <v>Daily</v>
    <v>44480</v>
    <v>44480</v>
    <v>0</v>
    <v>1</v>
    <v>637695072000000000,639087303982428658,0</v>
    <v>0</v>
    <v>ahj6w7</v>
    <v>XNSE:NIFTYBEES</v>
    <v>547</v>
  </rv>
  <rv s="1">
    <v>1</v>
    <v>NIFTYBEES</v>
    <v>Daily</v>
    <v>44529</v>
    <v>44529</v>
    <v>0</v>
    <v>1</v>
    <v>637737408000000000,639087303982488588,0</v>
    <v>0</v>
    <v>ahj6w7</v>
    <v>XNSE:NIFTYBEES</v>
    <v>452</v>
  </rv>
  <rv s="1">
    <v>1</v>
    <v>NIFTYBEES</v>
    <v>Daily</v>
    <v>44935</v>
    <v>44935</v>
    <v>0</v>
    <v>1</v>
    <v>638088192000000000,639087303983075797,0</v>
    <v>0</v>
    <v>ahj6w7</v>
    <v>XNSE:NIFTYBEES</v>
    <v>548</v>
  </rv>
  <rv s="1">
    <v>1</v>
    <v>NIFTYBEES</v>
    <v>Daily</v>
    <v>44382</v>
    <v>44382</v>
    <v>0</v>
    <v>1</v>
    <v>637610400000000000,639087303983404565,0</v>
    <v>0</v>
    <v>ahj6w7</v>
    <v>XNSE:NIFTYBEES</v>
    <v>549</v>
  </rv>
  <rv s="1">
    <v>1</v>
    <v>NIFTYBEES</v>
    <v>Daily</v>
    <v>44578</v>
    <v>44578</v>
    <v>0</v>
    <v>1</v>
    <v>637779744000000000,639087303984211023,0</v>
    <v>0</v>
    <v>ahj6w7</v>
    <v>XNSE:NIFTYBEES</v>
    <v>550</v>
  </rv>
  <rv s="1">
    <v>1</v>
    <v>NIFTYBEES</v>
    <v>Daily</v>
    <v>45194</v>
    <v>45194</v>
    <v>0</v>
    <v>1</v>
    <v>638311968000000000,639087303984370349,0</v>
    <v>0</v>
    <v>ahj6w7</v>
    <v>XNSE:NIFTYBEES</v>
    <v>551</v>
  </rv>
  <rv s="1">
    <v>1</v>
    <v>NIFTYBEES</v>
    <v>Daily</v>
    <v>44509</v>
    <v>44509</v>
    <v>0</v>
    <v>1</v>
    <v>637720128000000000,639087303983517948,0</v>
    <v>0</v>
    <v>ahj6w7</v>
    <v>XNSE:NIFTYBEES</v>
    <v>552</v>
  </rv>
  <rv s="1">
    <v>1</v>
    <v>NIFTYBEES</v>
    <v>Daily</v>
    <v>45719</v>
    <v>45719</v>
    <v>0</v>
    <v>1</v>
    <v>638765568000000000,639087303984602254,0</v>
    <v>0</v>
    <v>ahj6w7</v>
    <v>XNSE:NIFTYBEES</v>
    <v>553</v>
  </rv>
  <rv s="1">
    <v>1</v>
    <v>NIFTYBEES</v>
    <v>Daily</v>
    <v>44460</v>
    <v>44460</v>
    <v>0</v>
    <v>1</v>
    <v>637677792000000000,639087303985747232,0</v>
    <v>0</v>
    <v>ahj6w7</v>
    <v>XNSE:NIFTYBEES</v>
    <v>554</v>
  </rv>
  <rv s="1">
    <v>1</v>
    <v>NIFTYBEES</v>
    <v>Daily</v>
    <v>44453</v>
    <v>44453</v>
    <v>0</v>
    <v>1</v>
    <v>637671744000000000,639087303986196861,0</v>
    <v>0</v>
    <v>ahj6w7</v>
    <v>XNSE:NIFTYBEES</v>
    <v>555</v>
  </rv>
  <rv s="1">
    <v>1</v>
    <v>NIFTYBEES</v>
    <v>Daily</v>
    <v>44446</v>
    <v>44446</v>
    <v>0</v>
    <v>1</v>
    <v>637665696000000000,639087303983056083,0</v>
    <v>0</v>
    <v>ahj6w7</v>
    <v>XNSE:NIFTYBEES</v>
    <v>556</v>
  </rv>
  <rv s="1">
    <v>1</v>
    <v>NIFTYBEES</v>
    <v>Daily</v>
    <v>44417</v>
    <v>44417</v>
    <v>0</v>
    <v>1</v>
    <v>637640640000000000,639087303983135742,0</v>
    <v>0</v>
    <v>ahj6w7</v>
    <v>XNSE:NIFTYBEES</v>
    <v>557</v>
  </rv>
  <rv s="1">
    <v>1</v>
    <v>NIFTYBEES</v>
    <v>Daily</v>
    <v>45097</v>
    <v>45097</v>
    <v>0</v>
    <v>1</v>
    <v>638228160000000000,639087303983835104,0</v>
    <v>0</v>
    <v>ahj6w7</v>
    <v>XNSE:NIFTYBEES</v>
    <v>558</v>
  </rv>
  <rv s="1">
    <v>1</v>
    <v>NIFTYBEES</v>
    <v>Daily</v>
    <v>44944</v>
    <v>44944</v>
    <v>0</v>
    <v>1</v>
    <v>638095968000000000,639087303984651531,0</v>
    <v>0</v>
    <v>ahj6w7</v>
    <v>XNSE:NIFTYBEES</v>
    <v>559</v>
  </rv>
  <rv s="1">
    <v>1</v>
    <v>NIFTYBEES</v>
    <v>Daily</v>
    <v>45083</v>
    <v>45083</v>
    <v>0</v>
    <v>1</v>
    <v>638216064000000000,639087303984977441,0</v>
    <v>0</v>
    <v>ahj6w7</v>
    <v>XNSE:NIFTYBEES</v>
    <v>560</v>
  </rv>
  <rv s="1">
    <v>1</v>
    <v>NIFTYBEES</v>
    <v>Daily</v>
    <v>44923</v>
    <v>44923</v>
    <v>0</v>
    <v>1</v>
    <v>638077824000000000,639087303985136801,0</v>
    <v>0</v>
    <v>ahj6w7</v>
    <v>XNSE:NIFTYBEES</v>
    <v>561</v>
  </rv>
  <rv s="1">
    <v>1</v>
    <v>NIFTYBEES</v>
    <v>Daily</v>
    <v>44886</v>
    <v>44886</v>
    <v>0</v>
    <v>1</v>
    <v>638045856000000000,639087303985180654,0</v>
    <v>0</v>
    <v>ahj6w7</v>
    <v>XNSE:NIFTYBEES</v>
    <v>54</v>
  </rv>
  <rv s="1">
    <v>1</v>
    <v>NIFTYBEES</v>
    <v>Daily</v>
    <v>44872</v>
    <v>44872</v>
    <v>0</v>
    <v>1</v>
    <v>638033760000000000,639087303985207916,0</v>
    <v>0</v>
    <v>ahj6w7</v>
    <v>XNSE:NIFTYBEES</v>
    <v>562</v>
  </rv>
  <rv s="1">
    <v>1</v>
    <v>NIFTYBEES</v>
    <v>Daily</v>
    <v>44566</v>
    <v>44566</v>
    <v>0</v>
    <v>1</v>
    <v>637769376000000000,639087303986674092,0</v>
    <v>0</v>
    <v>ahj6w7</v>
    <v>XNSE:NIFTYBEES</v>
    <v>563</v>
  </rv>
  <rv s="1">
    <v>1</v>
    <v>NIFTYBEES</v>
    <v>Daily</v>
    <v>44600</v>
    <v>44600</v>
    <v>0</v>
    <v>1</v>
    <v>637798752000000000,639087303986723876,0</v>
    <v>0</v>
    <v>ahj6w7</v>
    <v>XNSE:NIFTYBEES</v>
    <v>564</v>
  </rv>
  <rv s="1">
    <v>1</v>
    <v>NIFTYBEES</v>
    <v>Daily</v>
    <v>44732</v>
    <v>44732</v>
    <v>0</v>
    <v>1</v>
    <v>637912800000000000,639150494101524706,0</v>
    <v>0</v>
    <v>ahj6w7</v>
    <v>XNSE:NIFTYBEES</v>
    <v>565</v>
  </rv>
  <rv s="1">
    <v>1</v>
    <v>NIFTYBEES</v>
    <v>Daily</v>
    <v>45629</v>
    <v>45629</v>
    <v>0</v>
    <v>1</v>
    <v>638687808000000000,639150494228761527,0</v>
    <v>0</v>
    <v>ahj6w7</v>
    <v>XNSE:NIFTYBEES</v>
    <v>566</v>
  </rv>
  <rv s="1">
    <v>1</v>
    <v>NIFTYBEES</v>
    <v>Daily</v>
    <v>44291</v>
    <v>44291</v>
    <v>0</v>
    <v>1</v>
    <v>637531776000000000,639150494232557860,0</v>
    <v>0</v>
    <v>ahj6w7</v>
    <v>XNSE:NIFTYBEES</v>
    <v>567</v>
  </rv>
  <rv s="1">
    <v>1</v>
    <v>NIFTYBEES</v>
    <v>Daily</v>
    <v>45582</v>
    <v>45582</v>
    <v>0</v>
    <v>1</v>
    <v>638647200000000000,639150494281951233,0</v>
    <v>0</v>
    <v>ahj6w7</v>
    <v>XNSE:NIFTYBEES</v>
    <v>568</v>
  </rv>
  <rv s="1">
    <v>1</v>
    <v>NIFTYBEES</v>
    <v>Daily</v>
    <v>45308</v>
    <v>45308</v>
    <v>0</v>
    <v>1</v>
    <v>638410464000000000,639150494302044544,0</v>
    <v>0</v>
    <v>ahj6w7</v>
    <v>XNSE:NIFTYBEES</v>
    <v>569</v>
  </rv>
  <rv s="1">
    <v>1</v>
    <v>NIFTYBEES</v>
    <v>Daily</v>
    <v>44943</v>
    <v>44943</v>
    <v>0</v>
    <v>1</v>
    <v>638095104000000000,639150494386165340,0</v>
    <v>0</v>
    <v>ahj6w7</v>
    <v>XNSE:NIFTYBEES</v>
    <v>570</v>
  </rv>
  <rv s="1">
    <v>1</v>
    <v>NIFTYBEES</v>
    <v>Daily</v>
    <v>45609</v>
    <v>45609</v>
    <v>0</v>
    <v>1</v>
    <v>638670528000000000,639183116201948846,0</v>
    <v>0</v>
    <v>ahj6w7</v>
    <v>XNSE:NIFTYBEES</v>
    <v>571</v>
  </rv>
  <rv s="1">
    <v>1</v>
    <v>NIFTYBEES</v>
    <v>Daily</v>
    <v>45503</v>
    <v>45503</v>
    <v>0</v>
    <v>1</v>
    <v>638578944000000000,639191690260211316,0</v>
    <v>0</v>
    <v>ahj6w7</v>
    <v>XNSE:NIFTYBEES</v>
    <v>572</v>
  </rv>
  <rv s="1">
    <v>1</v>
    <v>HDFCSML250</v>
    <v>Daily</v>
    <v>45260</v>
    <v>45260</v>
    <v>0</v>
    <v>1</v>
    <v>638368992000000000,639087303705887256,0</v>
    <v>0</v>
    <v>c8vpf2</v>
    <v>XNSE:HDFCSML250</v>
    <v>573</v>
  </rv>
  <rv s="1">
    <v>1</v>
    <v>HDFCSML250</v>
    <v>Daily</v>
    <v>45503</v>
    <v>45503</v>
    <v>0</v>
    <v>1</v>
    <v>638578944000000000,639087303706221927,0</v>
    <v>0</v>
    <v>c8vpf2</v>
    <v>XNSE:HDFCSML250</v>
    <v>574</v>
  </rv>
  <rv s="1">
    <v>1</v>
    <v>HDFCSML250</v>
    <v>Daily</v>
    <v>45043</v>
    <v>45043</v>
    <v>0</v>
    <v>1</v>
    <v>638181504000000000,639087303707095610,0</v>
    <v>0</v>
    <v>c8vpf2</v>
    <v>XNSE:HDFCSML250</v>
    <v>575</v>
  </rv>
  <rv s="1">
    <v>1</v>
    <v>HDFCSML250</v>
    <v>Daily</v>
    <v>45510</v>
    <v>45510</v>
    <v>0</v>
    <v>1</v>
    <v>638584992000000000,639087303706475611,0</v>
    <v>0</v>
    <v>c8vpf2</v>
    <v>XNSE:HDFCSML250</v>
    <v>576</v>
  </rv>
  <rv s="1">
    <v>1</v>
    <v>HDFCSML250</v>
    <v>Daily</v>
    <v>45610</v>
    <v>45610</v>
    <v>0</v>
    <v>1</v>
    <v>638671392000000000,639087303706580881,0</v>
    <v>0</v>
    <v>c8vpf2</v>
    <v>XNSE:HDFCSML250</v>
    <v>577</v>
  </rv>
  <rv s="1">
    <v>1</v>
    <v>HDFCSML250</v>
    <v>Daily</v>
    <v>45427</v>
    <v>45427</v>
    <v>0</v>
    <v>1</v>
    <v>638513280000000000,639087303706962874,0</v>
    <v>0</v>
    <v>c8vpf2</v>
    <v>XNSE:HDFCSML250</v>
    <v>578</v>
  </rv>
  <rv s="1">
    <v>1</v>
    <v>HDFCSML250</v>
    <v>Daily</v>
    <v>45419</v>
    <v>45419</v>
    <v>0</v>
    <v>1</v>
    <v>638506368000000000,639087303707211899,0</v>
    <v>0</v>
    <v>c8vpf2</v>
    <v>XNSE:HDFCSML250</v>
    <v>415</v>
  </rv>
  <rv s="1">
    <v>1</v>
    <v>HDFCSML250</v>
    <v>Daily</v>
    <v>45791</v>
    <v>45791</v>
    <v>0</v>
    <v>1</v>
    <v>638827776000000000,639087303708921753,0</v>
    <v>0</v>
    <v>c8vpf2</v>
    <v>XNSE:HDFCSML250</v>
    <v>579</v>
  </rv>
  <rv s="1">
    <v>1</v>
    <v>HDFCSML250</v>
    <v>Daily</v>
    <v>45378</v>
    <v>45378</v>
    <v>0</v>
    <v>1</v>
    <v>638470944000000000,639087303707991663,0</v>
    <v>0</v>
    <v>c8vpf2</v>
    <v>XNSE:HDFCSML250</v>
    <v>580</v>
  </rv>
  <rv s="1">
    <v>1</v>
    <v>HDFCSML250</v>
    <v>Daily</v>
    <v>45449</v>
    <v>45449</v>
    <v>0</v>
    <v>1</v>
    <v>638532288000000000,639087303708172346,0</v>
    <v>0</v>
    <v>c8vpf2</v>
    <v>XNSE:HDFCSML250</v>
    <v>581</v>
  </rv>
  <rv s="1">
    <v>1</v>
    <v>HDFCSML250</v>
    <v>Daily</v>
    <v>45575</v>
    <v>45575</v>
    <v>0</v>
    <v>1</v>
    <v>638641152000000000,639087303712467873,0</v>
    <v>0</v>
    <v>c8vpf2</v>
    <v>XNSE:HDFCSML250</v>
    <v>582</v>
  </rv>
  <rv s="1">
    <v>1</v>
    <v>HDFCSML250</v>
    <v>Daily</v>
    <v>45693</v>
    <v>45693</v>
    <v>0</v>
    <v>1</v>
    <v>638743104000000000,639087303713188029,0</v>
    <v>0</v>
    <v>c8vpf2</v>
    <v>XNSE:HDFCSML250</v>
    <v>583</v>
  </rv>
  <rv s="1">
    <v>1</v>
    <v>HDFCSML250</v>
    <v>Daily</v>
    <v>45469</v>
    <v>45469</v>
    <v>0</v>
    <v>1</v>
    <v>638549568000000000,639087303713729659,0</v>
    <v>0</v>
    <v>c8vpf2</v>
    <v>XNSE:HDFCSML250</v>
    <v>584</v>
  </rv>
  <rv s="1">
    <v>1</v>
    <v>HDFCSML250</v>
    <v>Daily</v>
    <v>45442</v>
    <v>45442</v>
    <v>0</v>
    <v>1</v>
    <v>638526240000000000,639087303711243668,0</v>
    <v>0</v>
    <v>c8vpf2</v>
    <v>XNSE:HDFCSML250</v>
    <v>585</v>
  </rv>
  <rv s="1">
    <v>1</v>
    <v>HDFCSML250</v>
    <v>Daily</v>
    <v>45643</v>
    <v>45643</v>
    <v>0</v>
    <v>1</v>
    <v>638699904000000000,639087303711605793,0</v>
    <v>0</v>
    <v>c8vpf2</v>
    <v>XNSE:HDFCSML250</v>
    <v>586</v>
  </rv>
  <rv s="1">
    <v>1</v>
    <v>HDFCSML250</v>
    <v>Daily</v>
    <v>45414</v>
    <v>45414</v>
    <v>0</v>
    <v>1</v>
    <v>638502048000000000,639087303712262908,0</v>
    <v>0</v>
    <v>c8vpf2</v>
    <v>XNSE:HDFCSML250</v>
    <v>587</v>
  </rv>
  <rv s="1">
    <v>1</v>
    <v>HDFCSML250</v>
    <v>Daily</v>
    <v>45484</v>
    <v>45484</v>
    <v>0</v>
    <v>1</v>
    <v>638562528000000000,639087303712007019,0</v>
    <v>0</v>
    <v>c8vpf2</v>
    <v>XNSE:HDFCSML250</v>
    <v>588</v>
  </rv>
  <rv s="1">
    <v>1</v>
    <v>HDFCSML250</v>
    <v>Daily</v>
    <v>45700</v>
    <v>45700</v>
    <v>0</v>
    <v>1</v>
    <v>638749152000000000,639087303712071022,0</v>
    <v>0</v>
    <v>c8vpf2</v>
    <v>XNSE:HDFCSML250</v>
    <v>589</v>
  </rv>
  <rv s="1">
    <v>1</v>
    <v>HDFCSML250</v>
    <v>Daily</v>
    <v>45770</v>
    <v>45770</v>
    <v>0</v>
    <v>1</v>
    <v>638809632000000000,639087303712297058,0</v>
    <v>0</v>
    <v>c8vpf2</v>
    <v>XNSE:HDFCSML250</v>
    <v>590</v>
  </rv>
  <rv s="1">
    <v>1</v>
    <v>HDFCSML250</v>
    <v>Daily</v>
    <v>45721</v>
    <v>45721</v>
    <v>0</v>
    <v>1</v>
    <v>638767296000000000,639087303712375401,0</v>
    <v>0</v>
    <v>c8vpf2</v>
    <v>XNSE:HDFCSML250</v>
    <v>591</v>
  </rv>
  <rv s="1">
    <v>1</v>
    <v>HDFCSML250</v>
    <v>Daily</v>
    <v>45300</v>
    <v>45300</v>
    <v>0</v>
    <v>1</v>
    <v>638403552000000000,639087303712663294,0</v>
    <v>0</v>
    <v>c8vpf2</v>
    <v>XNSE:HDFCSML250</v>
    <v>592</v>
  </rv>
  <rv s="1">
    <v>1</v>
    <v>HDFCSML250</v>
    <v>Daily</v>
    <v>45581</v>
    <v>45581</v>
    <v>0</v>
    <v>1</v>
    <v>638646336000000000,639087303716232146,0</v>
    <v>0</v>
    <v>c8vpf2</v>
    <v>XNSE:HDFCSML250</v>
    <v>593</v>
  </rv>
  <rv s="1">
    <v>1</v>
    <v>HDFCSML250</v>
    <v>Daily</v>
    <v>45713</v>
    <v>45713</v>
    <v>0</v>
    <v>1</v>
    <v>638760384000000000,639087303717304305,0</v>
    <v>0</v>
    <v>c8vpf2</v>
    <v>XNSE:HDFCSML250</v>
    <v>594</v>
  </rv>
  <rv s="1">
    <v>1</v>
    <v>HDFCSML250</v>
    <v>Daily</v>
    <v>45615</v>
    <v>45615</v>
    <v>0</v>
    <v>1</v>
    <v>638675712000000000,639087303720123585,0</v>
    <v>0</v>
    <v>c8vpf2</v>
    <v>XNSE:HDFCSML250</v>
    <v>595</v>
  </rv>
  <rv s="1">
    <v>1</v>
    <v>HDFCSML250</v>
    <v>Daily</v>
    <v>45246</v>
    <v>45246</v>
    <v>0</v>
    <v>1</v>
    <v>638356896000000000,639087303721979942,0</v>
    <v>0</v>
    <v>c8vpf2</v>
    <v>XNSE:HDFCSML250</v>
    <v>596</v>
  </rv>
  <rv s="1">
    <v>1</v>
    <v>HDFCSML250</v>
    <v>Daily</v>
    <v>45176</v>
    <v>45176</v>
    <v>0</v>
    <v>1</v>
    <v>638296416000000000,639087303720331683,0</v>
    <v>0</v>
    <v>c8vpf2</v>
    <v>XNSE:HDFCSML250</v>
    <v>597</v>
  </rv>
  <rv s="1">
    <v>1</v>
    <v>HDFCSML250</v>
    <v>Daily</v>
    <v>45323</v>
    <v>45323</v>
    <v>0</v>
    <v>1</v>
    <v>638423424000000000,639087303717855597,0</v>
    <v>0</v>
    <v>c8vpf2</v>
    <v>XNSE:HDFCSML250</v>
    <v>598</v>
  </rv>
  <rv s="1">
    <v>1</v>
    <v>HDFCSML250</v>
    <v>Daily</v>
    <v>45365</v>
    <v>45365</v>
    <v>0</v>
    <v>1</v>
    <v>638459712000000000,639087303717905362,0</v>
    <v>0</v>
    <v>c8vpf2</v>
    <v>XNSE:HDFCSML250</v>
    <v>599</v>
  </rv>
  <rv s="1">
    <v>1</v>
    <v>HDFCSML250</v>
    <v>Daily</v>
    <v>45385</v>
    <v>45385</v>
    <v>0</v>
    <v>1</v>
    <v>638476992000000000,639087303721603928,0</v>
    <v>0</v>
    <v>c8vpf2</v>
    <v>XNSE:HDFCSML250</v>
    <v>600</v>
  </rv>
  <rv s="1">
    <v>1</v>
    <v>HDFCSML250</v>
    <v>Daily</v>
    <v>45428</v>
    <v>45428</v>
    <v>0</v>
    <v>1</v>
    <v>638514144000000000,639087303722524119,0</v>
    <v>0</v>
    <v>c8vpf2</v>
    <v>XNSE:HDFCSML250</v>
    <v>601</v>
  </rv>
  <rv s="1">
    <v>1</v>
    <v>HDFCSML250</v>
    <v>Daily</v>
    <v>45426</v>
    <v>45426</v>
    <v>0</v>
    <v>1</v>
    <v>638512416000000000,639087303724370461,0</v>
    <v>0</v>
    <v>c8vpf2</v>
    <v>XNSE:HDFCSML250</v>
    <v>602</v>
  </rv>
  <rv s="1">
    <v>1</v>
    <v>HDFCSML250</v>
    <v>Daily</v>
    <v>45335</v>
    <v>45335</v>
    <v>0</v>
    <v>1</v>
    <v>638433792000000000,639087303723231902,0</v>
    <v>0</v>
    <v>c8vpf2</v>
    <v>XNSE:HDFCSML250</v>
    <v>603</v>
  </rv>
  <rv s="1">
    <v>1</v>
    <v>HDFCSML250</v>
    <v>Daily</v>
    <v>45664</v>
    <v>45664</v>
    <v>0</v>
    <v>1</v>
    <v>638718048000000000,639087303719716844,0</v>
    <v>0</v>
    <v>c8vpf2</v>
    <v>XNSE:HDFCSML250</v>
    <v>604</v>
  </rv>
  <rv s="1">
    <v>1</v>
    <v>HDFCSML250</v>
    <v>Daily</v>
    <v>45602</v>
    <v>45602</v>
    <v>0</v>
    <v>1</v>
    <v>638664480000000000,639087303720633009,0</v>
    <v>0</v>
    <v>c8vpf2</v>
    <v>XNSE:HDFCSML250</v>
    <v>605</v>
  </rv>
  <rv s="1">
    <v>1</v>
    <v>HDFCSML250</v>
    <v>Daily</v>
    <v>45792</v>
    <v>45792</v>
    <v>0</v>
    <v>1</v>
    <v>638828640000000000,639087303721949934,0</v>
    <v>0</v>
    <v>c8vpf2</v>
    <v>XNSE:HDFCSML250</v>
    <v>606</v>
  </rv>
  <rv s="1">
    <v>1</v>
    <v>HDFCSML250</v>
    <v>Daily</v>
    <v>45441</v>
    <v>45441</v>
    <v>0</v>
    <v>1</v>
    <v>638525376000000000,639087303722420039,0</v>
    <v>0</v>
    <v>c8vpf2</v>
    <v>XNSE:HDFCSML250</v>
    <v>607</v>
  </rv>
  <rv s="1">
    <v>1</v>
    <v>HDFCSML250</v>
    <v>Daily</v>
    <v>45525</v>
    <v>45525</v>
    <v>0</v>
    <v>1</v>
    <v>638597952000000000,639087303722890139,0</v>
    <v>0</v>
    <v>c8vpf2</v>
    <v>XNSE:HDFCSML250</v>
    <v>608</v>
  </rv>
  <rv s="1">
    <v>1</v>
    <v>HDFCSML250</v>
    <v>Daily</v>
    <v>45659</v>
    <v>45659</v>
    <v>0</v>
    <v>1</v>
    <v>638713728000000000,639087303722095970,0</v>
    <v>0</v>
    <v>c8vpf2</v>
    <v>XNSE:HDFCSML250</v>
    <v>609</v>
  </rv>
  <rv s="1">
    <v>1</v>
    <v>HDFCSML250</v>
    <v>Daily</v>
    <v>45372</v>
    <v>45372</v>
    <v>0</v>
    <v>1</v>
    <v>638465760000000000,639087303724264407,0</v>
    <v>0</v>
    <v>c8vpf2</v>
    <v>XNSE:HDFCSML250</v>
    <v>610</v>
  </rv>
  <rv s="1">
    <v>1</v>
    <v>HDFCSML250</v>
    <v>Daily</v>
    <v>45715</v>
    <v>45715</v>
    <v>0</v>
    <v>1</v>
    <v>638762112000000000,639087303724732342,0</v>
    <v>0</v>
    <v>c8vpf2</v>
    <v>XNSE:HDFCSML250</v>
    <v>611</v>
  </rv>
  <rv s="1">
    <v>1</v>
    <v>HDFCSML250</v>
    <v>Daily</v>
    <v>45477</v>
    <v>45477</v>
    <v>0</v>
    <v>1</v>
    <v>638556480000000000,639087303725420691,0</v>
    <v>0</v>
    <v>c8vpf2</v>
    <v>XNSE:HDFCSML250</v>
    <v>612</v>
  </rv>
  <rv s="1">
    <v>1</v>
    <v>HDFCSML250</v>
    <v>Daily</v>
    <v>45531</v>
    <v>45531</v>
    <v>0</v>
    <v>1</v>
    <v>638603136000000000,639087303728395433,0</v>
    <v>0</v>
    <v>c8vpf2</v>
    <v>XNSE:HDFCSML250</v>
    <v>613</v>
  </rv>
  <rv s="1">
    <v>1</v>
    <v>HDFCSML250</v>
    <v>Daily</v>
    <v>45526</v>
    <v>45526</v>
    <v>0</v>
    <v>1</v>
    <v>638598816000000000,639087303724495454,0</v>
    <v>0</v>
    <v>c8vpf2</v>
    <v>XNSE:HDFCSML250</v>
    <v>614</v>
  </rv>
  <rv s="1">
    <v>1</v>
    <v>HDFCSML250</v>
    <v>Daily</v>
    <v>45680</v>
    <v>45680</v>
    <v>0</v>
    <v>1</v>
    <v>638731872000000000,639087303726476277,0</v>
    <v>0</v>
    <v>c8vpf2</v>
    <v>XNSE:HDFCSML250</v>
    <v>615</v>
  </rv>
  <rv s="1">
    <v>1</v>
    <v>HDFCSML250</v>
    <v>Daily</v>
    <v>45594</v>
    <v>45594</v>
    <v>0</v>
    <v>1</v>
    <v>638657568000000000,639087303726796344,0</v>
    <v>0</v>
    <v>c8vpf2</v>
    <v>XNSE:HDFCSML250</v>
    <v>616</v>
  </rv>
  <rv s="1">
    <v>1</v>
    <v>HDFCSML250</v>
    <v>Daily</v>
    <v>45595</v>
    <v>45595</v>
    <v>0</v>
    <v>1</v>
    <v>638658432000000000,639087303727556514,0</v>
    <v>0</v>
    <v>c8vpf2</v>
    <v>XNSE:HDFCSML250</v>
    <v>617</v>
  </rv>
  <rv s="1">
    <v>1</v>
    <v>HDFCSML250</v>
    <v>Daily</v>
    <v>45491</v>
    <v>45491</v>
    <v>0</v>
    <v>1</v>
    <v>638568576000000000,639087303727706537,0</v>
    <v>0</v>
    <v>c8vpf2</v>
    <v>XNSE:HDFCSML250</v>
    <v>427</v>
  </rv>
  <rv s="1">
    <v>1</v>
    <v>HDFCSML250</v>
    <v>Daily</v>
    <v>45406</v>
    <v>45406</v>
    <v>0</v>
    <v>1</v>
    <v>638495136000000000,639087303728328582,0</v>
    <v>0</v>
    <v>c8vpf2</v>
    <v>XNSE:HDFCSML250</v>
    <v>585</v>
  </rv>
  <rv s="1">
    <v>1</v>
    <v>HDFCSML250</v>
    <v>Daily</v>
    <v>45421</v>
    <v>45421</v>
    <v>0</v>
    <v>1</v>
    <v>638508096000000000,639087303727313061,0</v>
    <v>0</v>
    <v>c8vpf2</v>
    <v>XNSE:HDFCSML250</v>
    <v>618</v>
  </rv>
  <rv s="1">
    <v>1</v>
    <v>HDFCSML250</v>
    <v>Daily</v>
    <v>45392</v>
    <v>45392</v>
    <v>0</v>
    <v>1</v>
    <v>638483040000000000,639087303727372798,0</v>
    <v>0</v>
    <v>c8vpf2</v>
    <v>XNSE:HDFCSML250</v>
    <v>619</v>
  </rv>
  <rv s="1">
    <v>1</v>
    <v>HDFCSML250</v>
    <v>Daily</v>
    <v>45588</v>
    <v>45588</v>
    <v>0</v>
    <v>1</v>
    <v>638652384000000000,639087303727476492,0</v>
    <v>0</v>
    <v>c8vpf2</v>
    <v>XNSE:HDFCSML250</v>
    <v>620</v>
  </rv>
  <rv s="1">
    <v>1</v>
    <v>HDFCSML250</v>
    <v>Daily</v>
    <v>45230</v>
    <v>45230</v>
    <v>0</v>
    <v>1</v>
    <v>638343072000000000,639087303729523760,0</v>
    <v>0</v>
    <v>c8vpf2</v>
    <v>XNSE:HDFCSML250</v>
    <v>621</v>
  </rv>
  <rv s="1">
    <v>1</v>
    <v>HDFCSML250</v>
    <v>Daily</v>
    <v>45540</v>
    <v>45540</v>
    <v>0</v>
    <v>1</v>
    <v>638610912000000000,639087303730698810,0</v>
    <v>0</v>
    <v>c8vpf2</v>
    <v>XNSE:HDFCSML250</v>
    <v>622</v>
  </rv>
  <rv s="1">
    <v>1</v>
    <v>HDFCSML250</v>
    <v>Daily</v>
    <v>45363</v>
    <v>45363</v>
    <v>0</v>
    <v>1</v>
    <v>638457984000000000,639087303731156585,0</v>
    <v>0</v>
    <v>c8vpf2</v>
    <v>XNSE:HDFCSML250</v>
    <v>623</v>
  </rv>
  <rv s="1">
    <v>1</v>
    <v>HDFCSML250</v>
    <v>Daily</v>
    <v>45448</v>
    <v>45448</v>
    <v>0</v>
    <v>1</v>
    <v>638531424000000000,639087303731385582,0</v>
    <v>0</v>
    <v>c8vpf2</v>
    <v>XNSE:HDFCSML250</v>
    <v>624</v>
  </rv>
  <rv s="1">
    <v>1</v>
    <v>HDFCSML250</v>
    <v>Daily</v>
    <v>45699</v>
    <v>45699</v>
    <v>0</v>
    <v>1</v>
    <v>638748288000000000,639087303730970780,0</v>
    <v>0</v>
    <v>c8vpf2</v>
    <v>XNSE:HDFCSML250</v>
    <v>625</v>
  </rv>
  <rv s="1">
    <v>1</v>
    <v>HDFCSML250</v>
    <v>Daily</v>
    <v>45559</v>
    <v>45559</v>
    <v>0</v>
    <v>1</v>
    <v>638627328000000000,639087303732319076,0</v>
    <v>0</v>
    <v>c8vpf2</v>
    <v>XNSE:HDFCSML250</v>
    <v>626</v>
  </rv>
  <rv s="1">
    <v>1</v>
    <v>HDFCSML250</v>
    <v>Daily</v>
    <v>45160</v>
    <v>45160</v>
    <v>0</v>
    <v>1</v>
    <v>638282592000000000,639087303736923192,0</v>
    <v>0</v>
    <v>c8vpf2</v>
    <v>XNSE:HDFCSML250</v>
    <v>627</v>
  </rv>
  <rv s="1">
    <v>1</v>
    <v>HDFCSML250</v>
    <v>Daily</v>
    <v>45665</v>
    <v>45665</v>
    <v>0</v>
    <v>1</v>
    <v>638718912000000000,639087303736815126,0</v>
    <v>0</v>
    <v>c8vpf2</v>
    <v>XNSE:HDFCSML250</v>
    <v>628</v>
  </rv>
  <rv s="1">
    <v>1</v>
    <v>HDFCSML250</v>
    <v>Daily</v>
    <v>45036</v>
    <v>45036</v>
    <v>0</v>
    <v>1</v>
    <v>638175456000000000,639087303740253917,0</v>
    <v>0</v>
    <v>c8vpf2</v>
    <v>XNSE:HDFCSML250</v>
    <v>629</v>
  </rv>
  <rv s="1">
    <v>1</v>
    <v>HDFCSML250</v>
    <v>Daily</v>
    <v>45736</v>
    <v>45736</v>
    <v>0</v>
    <v>1</v>
    <v>638780256000000000,639087303737537480,0</v>
    <v>0</v>
    <v>c8vpf2</v>
    <v>XNSE:HDFCSML250</v>
    <v>630</v>
  </rv>
  <rv s="1">
    <v>1</v>
    <v>HDFCSML250</v>
    <v>Daily</v>
    <v>45777</v>
    <v>45777</v>
    <v>0</v>
    <v>1</v>
    <v>638815680000000000,639087303737897561,0</v>
    <v>0</v>
    <v>c8vpf2</v>
    <v>XNSE:HDFCSML250</v>
    <v>631</v>
  </rv>
  <rv s="1">
    <v>1</v>
    <v>HDFCSML250</v>
    <v>Daily</v>
    <v>45420</v>
    <v>45420</v>
    <v>0</v>
    <v>1</v>
    <v>638507232000000000,639087303739387894,0</v>
    <v>0</v>
    <v>c8vpf2</v>
    <v>XNSE:HDFCSML250</v>
    <v>632</v>
  </rv>
  <rv s="1">
    <v>1</v>
    <v>HDFCSML250</v>
    <v>Daily</v>
    <v>45673</v>
    <v>45673</v>
    <v>0</v>
    <v>1</v>
    <v>638725824000000000,639087303738822908,0</v>
    <v>0</v>
    <v>c8vpf2</v>
    <v>XNSE:HDFCSML250</v>
    <v>633</v>
  </rv>
  <rv s="1">
    <v>1</v>
    <v>HDFCSML250</v>
    <v>Daily</v>
    <v>45580</v>
    <v>45580</v>
    <v>0</v>
    <v>1</v>
    <v>638645472000000000,639087303739539748,0</v>
    <v>0</v>
    <v>c8vpf2</v>
    <v>XNSE:HDFCSML250</v>
    <v>634</v>
  </rv>
  <rv s="1">
    <v>1</v>
    <v>HDFCSML250</v>
    <v>Daily</v>
    <v>45764</v>
    <v>45764</v>
    <v>0</v>
    <v>1</v>
    <v>638804448000000000,639087303739768742,0</v>
    <v>0</v>
    <v>c8vpf2</v>
    <v>XNSE:HDFCSML250</v>
    <v>635</v>
  </rv>
  <rv s="1">
    <v>1</v>
    <v>HDFCSML250</v>
    <v>Daily</v>
    <v>45384</v>
    <v>45384</v>
    <v>0</v>
    <v>1</v>
    <v>638476128000000000,639087303740236694,0</v>
    <v>0</v>
    <v>c8vpf2</v>
    <v>XNSE:HDFCSML250</v>
    <v>636</v>
  </rv>
  <rv s="1">
    <v>1</v>
    <v>HDFCSML250</v>
    <v>Daily</v>
    <v>45092</v>
    <v>45092</v>
    <v>0</v>
    <v>1</v>
    <v>638223840000000000,639087303738324690,0</v>
    <v>0</v>
    <v>c8vpf2</v>
    <v>XNSE:HDFCSML250</v>
    <v>637</v>
  </rv>
  <rv s="1">
    <v>1</v>
    <v>HDFCSML250</v>
    <v>Daily</v>
    <v>45307</v>
    <v>45307</v>
    <v>0</v>
    <v>1</v>
    <v>638409600000000000,639087303738978929,0</v>
    <v>0</v>
    <v>c8vpf2</v>
    <v>XNSE:HDFCSML250</v>
    <v>638</v>
  </rv>
  <rv s="1">
    <v>1</v>
    <v>HDFCSML250</v>
    <v>Daily</v>
    <v>45657</v>
    <v>45657</v>
    <v>0</v>
    <v>1</v>
    <v>638712000000000000,639087303739469047,0</v>
    <v>0</v>
    <v>c8vpf2</v>
    <v>XNSE:HDFCSML250</v>
    <v>639</v>
  </rv>
  <rv s="1">
    <v>1</v>
    <v>HDFCSML250</v>
    <v>Daily</v>
    <v>45589</v>
    <v>45589</v>
    <v>0</v>
    <v>1</v>
    <v>638653248000000000,639087303738414281,0</v>
    <v>0</v>
    <v>c8vpf2</v>
    <v>XNSE:HDFCSML250</v>
    <v>640</v>
  </rv>
  <rv s="1">
    <v>1</v>
    <v>HDFCSML250</v>
    <v>Daily</v>
    <v>45533</v>
    <v>45533</v>
    <v>0</v>
    <v>1</v>
    <v>638604864000000000,639087303747903336,0</v>
    <v>0</v>
    <v>c8vpf2</v>
    <v>XNSE:HDFCSML250</v>
    <v>641</v>
  </rv>
  <rv s="1">
    <v>1</v>
    <v>HDFCSML250</v>
    <v>Daily</v>
    <v>45405</v>
    <v>45405</v>
    <v>0</v>
    <v>1</v>
    <v>638494272000000000,639087303748132331,0</v>
    <v>0</v>
    <v>c8vpf2</v>
    <v>XNSE:HDFCSML250</v>
    <v>642</v>
  </rv>
  <rv s="1">
    <v>1</v>
    <v>HDFCSML250</v>
    <v>Daily</v>
    <v>45622</v>
    <v>45622</v>
    <v>0</v>
    <v>1</v>
    <v>638681760000000000,639087303748371282,0</v>
    <v>0</v>
    <v>c8vpf2</v>
    <v>XNSE:HDFCSML250</v>
    <v>643</v>
  </rv>
  <rv s="1">
    <v>1</v>
    <v>HDFCSML250</v>
    <v>Daily</v>
    <v>45671</v>
    <v>45671</v>
    <v>0</v>
    <v>1</v>
    <v>638724096000000000,639087303748600279,0</v>
    <v>0</v>
    <v>c8vpf2</v>
    <v>XNSE:HDFCSML250</v>
    <v>644</v>
  </rv>
  <rv s="1">
    <v>1</v>
    <v>HDFCSML250</v>
    <v>Daily</v>
    <v>45742</v>
    <v>45742</v>
    <v>0</v>
    <v>1</v>
    <v>638785440000000000,639087303748819314,0</v>
    <v>0</v>
    <v>c8vpf2</v>
    <v>XNSE:HDFCSML250</v>
    <v>645</v>
  </rv>
  <rv s="1">
    <v>1</v>
    <v>HDFCSML250</v>
    <v>Daily</v>
    <v>45532</v>
    <v>45532</v>
    <v>0</v>
    <v>1</v>
    <v>638604000000000000,639087303748394316,0</v>
    <v>0</v>
    <v>c8vpf2</v>
    <v>XNSE:HDFCSML250</v>
    <v>646</v>
  </rv>
  <rv s="1">
    <v>1</v>
    <v>HDFCSML250</v>
    <v>Daily</v>
    <v>45461</v>
    <v>45461</v>
    <v>0</v>
    <v>1</v>
    <v>638542656000000000,639087303748480990,0</v>
    <v>0</v>
    <v>c8vpf2</v>
    <v>XNSE:HDFCSML250</v>
    <v>647</v>
  </rv>
  <rv s="1">
    <v>1</v>
    <v>HDFCSML250</v>
    <v>Daily</v>
    <v>45582</v>
    <v>45582</v>
    <v>0</v>
    <v>1</v>
    <v>638647200000000000,639087303748523732,0</v>
    <v>0</v>
    <v>c8vpf2</v>
    <v>XNSE:HDFCSML250</v>
    <v>648</v>
  </rv>
  <rv s="1">
    <v>1</v>
    <v>HDFCSML250</v>
    <v>Daily</v>
    <v>45239</v>
    <v>45239</v>
    <v>0</v>
    <v>1</v>
    <v>638350848000000000,639087303750281377,0</v>
    <v>0</v>
    <v>c8vpf2</v>
    <v>XNSE:HDFCSML250</v>
    <v>649</v>
  </rv>
  <rv s="1">
    <v>1</v>
    <v>HDFCSML250</v>
    <v>Daily</v>
    <v>45483</v>
    <v>45483</v>
    <v>0</v>
    <v>1</v>
    <v>638561664000000000,639087303750770049,0</v>
    <v>0</v>
    <v>c8vpf2</v>
    <v>XNSE:HDFCSML250</v>
    <v>650</v>
  </rv>
  <rv s="1">
    <v>1</v>
    <v>HDFCSML250</v>
    <v>Daily</v>
    <v>45489</v>
    <v>45489</v>
    <v>0</v>
    <v>1</v>
    <v>638566848000000000,639087303749085639,0</v>
    <v>0</v>
    <v>c8vpf2</v>
    <v>XNSE:HDFCSML250</v>
    <v>651</v>
  </rv>
  <rv s="1">
    <v>1</v>
    <v>HDFCSML250</v>
    <v>Daily</v>
    <v>45496</v>
    <v>45496</v>
    <v>0</v>
    <v>1</v>
    <v>638572896000000000,639087303749163740,0</v>
    <v>0</v>
    <v>c8vpf2</v>
    <v>XNSE:HDFCSML250</v>
    <v>652</v>
  </rv>
  <rv s="1">
    <v>1</v>
    <v>HDFCSML250</v>
    <v>Daily</v>
    <v>45342</v>
    <v>45342</v>
    <v>0</v>
    <v>1</v>
    <v>638439840000000000,639087303749213525,0</v>
    <v>0</v>
    <v>c8vpf2</v>
    <v>XNSE:HDFCSML250</v>
    <v>653</v>
  </rv>
  <rv s="1">
    <v>1</v>
    <v>HDFCSML250</v>
    <v>Daily</v>
    <v>45358</v>
    <v>45358</v>
    <v>0</v>
    <v>1</v>
    <v>638453664000000000,639087303750151350,0</v>
    <v>0</v>
    <v>c8vpf2</v>
    <v>XNSE:HDFCSML250</v>
    <v>654</v>
  </rv>
  <rv s="1">
    <v>1</v>
    <v>HDFCSML250</v>
    <v>Daily</v>
    <v>45357</v>
    <v>45357</v>
    <v>0</v>
    <v>1</v>
    <v>638452800000000000,639087303750897682,0</v>
    <v>0</v>
    <v>c8vpf2</v>
    <v>XNSE:HDFCSML250</v>
    <v>655</v>
  </rv>
  <rv s="1">
    <v>1</v>
    <v>HDFCSML250</v>
    <v>Daily</v>
    <v>45749</v>
    <v>45749</v>
    <v>0</v>
    <v>1</v>
    <v>638791488000000000,639087303750950158,0</v>
    <v>0</v>
    <v>c8vpf2</v>
    <v>XNSE:HDFCSML250</v>
    <v>656</v>
  </rv>
  <rv s="1">
    <v>1</v>
    <v>HDFCSML250</v>
    <v>Daily</v>
    <v>45517</v>
    <v>45517</v>
    <v>0</v>
    <v>1</v>
    <v>638591040000000000,639087303753578439,0</v>
    <v>0</v>
    <v>c8vpf2</v>
    <v>XNSE:HDFCSML250</v>
    <v>657</v>
  </rv>
  <rv s="1">
    <v>1</v>
    <v>HDFCSML250</v>
    <v>Daily</v>
    <v>45609</v>
    <v>45609</v>
    <v>0</v>
    <v>1</v>
    <v>638670528000000000,639087303754046392,0</v>
    <v>0</v>
    <v>c8vpf2</v>
    <v>XNSE:HDFCSML250</v>
    <v>658</v>
  </rv>
  <rv s="1">
    <v>1</v>
    <v>HDFCSML250</v>
    <v>Daily</v>
    <v>45343</v>
    <v>45343</v>
    <v>0</v>
    <v>1</v>
    <v>638440704000000000,639087303755180658,0</v>
    <v>0</v>
    <v>c8vpf2</v>
    <v>XNSE:HDFCSML250</v>
    <v>659</v>
  </rv>
  <rv s="1">
    <v>1</v>
    <v>HDFCSML250</v>
    <v>Daily</v>
    <v>45512</v>
    <v>45512</v>
    <v>0</v>
    <v>1</v>
    <v>638586720000000000,639087303759551798,0</v>
    <v>0</v>
    <v>c8vpf2</v>
    <v>XNSE:HDFCSML250</v>
    <v>660</v>
  </rv>
  <rv s="1">
    <v>1</v>
    <v>HDFCSML250</v>
    <v>Daily</v>
    <v>45350</v>
    <v>45350</v>
    <v>0</v>
    <v>1</v>
    <v>638446752000000000,639087303757390959,0</v>
    <v>0</v>
    <v>c8vpf2</v>
    <v>XNSE:HDFCSML250</v>
    <v>661</v>
  </rv>
  <rv s="1">
    <v>1</v>
    <v>HDFCSML250</v>
    <v>Daily</v>
    <v>45462</v>
    <v>45462</v>
    <v>0</v>
    <v>1</v>
    <v>638543520000000000,639087303757437386,0</v>
    <v>0</v>
    <v>c8vpf2</v>
    <v>XNSE:HDFCSML250</v>
    <v>662</v>
  </rv>
  <rv s="1">
    <v>1</v>
    <v>HDFCSML250</v>
    <v>Daily</v>
    <v>45636</v>
    <v>45636</v>
    <v>0</v>
    <v>1</v>
    <v>638693856000000000,639087303757541228,0</v>
    <v>0</v>
    <v>c8vpf2</v>
    <v>XNSE:HDFCSML250</v>
    <v>634</v>
  </rv>
  <rv s="1">
    <v>1</v>
    <v>HDFCSML250</v>
    <v>Daily</v>
    <v>45678</v>
    <v>45678</v>
    <v>0</v>
    <v>1</v>
    <v>638730144000000000,639087303760480708,0</v>
    <v>0</v>
    <v>c8vpf2</v>
    <v>XNSE:HDFCSML250</v>
    <v>663</v>
  </rv>
  <rv s="1">
    <v>1</v>
    <v>HDFCSML250</v>
    <v>Daily</v>
    <v>45706</v>
    <v>45706</v>
    <v>0</v>
    <v>1</v>
    <v>638754336000000000,639087303762361148,0</v>
    <v>0</v>
    <v>c8vpf2</v>
    <v>XNSE:HDFCSML250</v>
    <v>664</v>
  </rv>
  <rv s="1">
    <v>1</v>
    <v>HDFCSML250</v>
    <v>Daily</v>
    <v>45573</v>
    <v>45573</v>
    <v>0</v>
    <v>1</v>
    <v>638639424000000000,639087303758970347,0</v>
    <v>0</v>
    <v>c8vpf2</v>
    <v>XNSE:HDFCSML250</v>
    <v>665</v>
  </rv>
  <rv s="1">
    <v>1</v>
    <v>HDFCSML250</v>
    <v>Daily</v>
    <v>45253</v>
    <v>45253</v>
    <v>0</v>
    <v>1</v>
    <v>638362944000000000,639087303761472840,0</v>
    <v>0</v>
    <v>c8vpf2</v>
    <v>XNSE:HDFCSML250</v>
    <v>666</v>
  </rv>
  <rv s="1">
    <v>1</v>
    <v>HDFCSML250</v>
    <v>Daily</v>
    <v>45750</v>
    <v>45750</v>
    <v>0</v>
    <v>1</v>
    <v>638792352000000000,639087303762403047,0</v>
    <v>0</v>
    <v>c8vpf2</v>
    <v>XNSE:HDFCSML250</v>
    <v>667</v>
  </rv>
  <rv s="1">
    <v>1</v>
    <v>HDFCSML250</v>
    <v>Daily</v>
    <v>45146</v>
    <v>45146</v>
    <v>0</v>
    <v>1</v>
    <v>638270496000000000,639087303763331379,0</v>
    <v>0</v>
    <v>c8vpf2</v>
    <v>XNSE:HDFCSML250</v>
    <v>668</v>
  </rv>
  <rv s="1">
    <v>1</v>
    <v>HDFCSML250</v>
    <v>Daily</v>
    <v>45708</v>
    <v>45708</v>
    <v>0</v>
    <v>1</v>
    <v>638756064000000000,639087303761922939,0</v>
    <v>0</v>
    <v>c8vpf2</v>
    <v>XNSE:HDFCSML250</v>
    <v>669</v>
  </rv>
  <rv s="1">
    <v>1</v>
    <v>HDFCSML250</v>
    <v>Daily</v>
    <v>45666</v>
    <v>45666</v>
    <v>0</v>
    <v>1</v>
    <v>638719776000000000,639087303762343040,0</v>
    <v>0</v>
    <v>c8vpf2</v>
    <v>XNSE:HDFCSML250</v>
    <v>670</v>
  </rv>
  <rv s="1">
    <v>1</v>
    <v>HDFCSML250</v>
    <v>Daily</v>
    <v>45631</v>
    <v>45631</v>
    <v>0</v>
    <v>1</v>
    <v>638689536000000000,639087303763603316,0</v>
    <v>0</v>
    <v>c8vpf2</v>
    <v>XNSE:HDFCSML250</v>
    <v>671</v>
  </rv>
  <rv s="1">
    <v>1</v>
    <v>HDFCSML250</v>
    <v>Daily</v>
    <v>45328</v>
    <v>45328</v>
    <v>0</v>
    <v>1</v>
    <v>638427744000000000,639087303763813365,0</v>
    <v>0</v>
    <v>c8vpf2</v>
    <v>XNSE:HDFCSML250</v>
    <v>672</v>
  </rv>
  <rv s="1">
    <v>1</v>
    <v>HDFCSML250</v>
    <v>Daily</v>
    <v>45771</v>
    <v>45771</v>
    <v>0</v>
    <v>1</v>
    <v>638810496000000000,639087303766104749,0</v>
    <v>0</v>
    <v>c8vpf2</v>
    <v>XNSE:HDFCSML250</v>
    <v>673</v>
  </rv>
  <rv s="1">
    <v>1</v>
    <v>HDFCSML250</v>
    <v>Daily</v>
    <v>45391</v>
    <v>45391</v>
    <v>0</v>
    <v>1</v>
    <v>638482176000000000,639087303766222473,0</v>
    <v>0</v>
    <v>c8vpf2</v>
    <v>XNSE:HDFCSML250</v>
    <v>674</v>
  </rv>
  <rv s="1">
    <v>1</v>
    <v>HDFCSML250</v>
    <v>Daily</v>
    <v>45351</v>
    <v>45351</v>
    <v>0</v>
    <v>1</v>
    <v>638447616000000000,639087303770025430,0</v>
    <v>0</v>
    <v>c8vpf2</v>
    <v>XNSE:HDFCSML250</v>
    <v>675</v>
  </rv>
  <rv s="1">
    <v>1</v>
    <v>HDFCSML250</v>
    <v>Daily</v>
    <v>45756</v>
    <v>45756</v>
    <v>0</v>
    <v>1</v>
    <v>638797536000000000,639087303770325636,0</v>
    <v>0</v>
    <v>c8vpf2</v>
    <v>XNSE:HDFCSML250</v>
    <v>676</v>
  </rv>
  <rv s="1">
    <v>1</v>
    <v>HDFCSML250</v>
    <v>Daily</v>
    <v>45692</v>
    <v>45692</v>
    <v>0</v>
    <v>1</v>
    <v>638742240000000000,639087303769109468,0</v>
    <v>0</v>
    <v>c8vpf2</v>
    <v>XNSE:HDFCSML250</v>
    <v>470</v>
  </rv>
  <rv s="1">
    <v>1</v>
    <v>HDFCSML250</v>
    <v>Daily</v>
    <v>45470</v>
    <v>45470</v>
    <v>0</v>
    <v>1</v>
    <v>638550432000000000,639087303772420915,0</v>
    <v>0</v>
    <v>c8vpf2</v>
    <v>XNSE:HDFCSML250</v>
    <v>677</v>
  </rv>
  <rv s="1">
    <v>1</v>
    <v>HDFCSML250</v>
    <v>Daily</v>
    <v>45330</v>
    <v>45330</v>
    <v>0</v>
    <v>1</v>
    <v>638429472000000000,639087303770235414,0</v>
    <v>0</v>
    <v>c8vpf2</v>
    <v>XNSE:HDFCSML250</v>
    <v>678</v>
  </rv>
  <rv s="1">
    <v>1</v>
    <v>HDFCSML250</v>
    <v>Daily</v>
    <v>45538</v>
    <v>45538</v>
    <v>0</v>
    <v>1</v>
    <v>638609184000000000,639087303770251083,0</v>
    <v>0</v>
    <v>c8vpf2</v>
    <v>XNSE:HDFCSML250</v>
    <v>679</v>
  </rv>
  <rv s="1">
    <v>1</v>
    <v>HDFCSML250</v>
    <v>Daily</v>
    <v>45364</v>
    <v>45364</v>
    <v>0</v>
    <v>1</v>
    <v>638458848000000000,639087303770275292,0</v>
    <v>0</v>
    <v>c8vpf2</v>
    <v>XNSE:HDFCSML250</v>
    <v>680</v>
  </rv>
  <rv s="1">
    <v>1</v>
    <v>HDFCSML250</v>
    <v>Daily</v>
    <v>45574</v>
    <v>45574</v>
    <v>0</v>
    <v>1</v>
    <v>638640288000000000,639087303771546933,0</v>
    <v>0</v>
    <v>c8vpf2</v>
    <v>XNSE:HDFCSML250</v>
    <v>681</v>
  </rv>
  <rv s="1">
    <v>1</v>
    <v>HDFCSML250</v>
    <v>Daily</v>
    <v>45454</v>
    <v>45454</v>
    <v>0</v>
    <v>1</v>
    <v>638536608000000000,639087303777046333,0</v>
    <v>0</v>
    <v>c8vpf2</v>
    <v>XNSE:HDFCSML250</v>
    <v>682</v>
  </rv>
  <rv s="1">
    <v>1</v>
    <v>HDFCSML250</v>
    <v>Daily</v>
    <v>45356</v>
    <v>45356</v>
    <v>0</v>
    <v>1</v>
    <v>638451936000000000,639087303772650529,0</v>
    <v>0</v>
    <v>c8vpf2</v>
    <v>XNSE:HDFCSML250</v>
    <v>683</v>
  </rv>
  <rv s="1">
    <v>1</v>
    <v>HDFCSML250</v>
    <v>Daily</v>
    <v>45456</v>
    <v>45456</v>
    <v>0</v>
    <v>1</v>
    <v>638538336000000000,639087303772672135,0</v>
    <v>0</v>
    <v>c8vpf2</v>
    <v>XNSE:HDFCSML250</v>
    <v>684</v>
  </rv>
  <rv s="1">
    <v>1</v>
    <v>HDFCSML250</v>
    <v>Daily</v>
    <v>45566</v>
    <v>45566</v>
    <v>0</v>
    <v>1</v>
    <v>638633376000000000,639087303777076344,0</v>
    <v>0</v>
    <v>c8vpf2</v>
    <v>XNSE:HDFCSML250</v>
    <v>685</v>
  </rv>
  <rv s="1">
    <v>1</v>
    <v>HDFCSML250</v>
    <v>Daily</v>
    <v>45370</v>
    <v>45370</v>
    <v>0</v>
    <v>1</v>
    <v>638464032000000000,639087303773357414,0</v>
    <v>0</v>
    <v>c8vpf2</v>
    <v>XNSE:HDFCSML250</v>
    <v>686</v>
  </rv>
  <rv s="1">
    <v>1</v>
    <v>HDFCSML250</v>
    <v>Daily</v>
    <v>45204</v>
    <v>45204</v>
    <v>0</v>
    <v>1</v>
    <v>638320608000000000,639087303774481362,0</v>
    <v>0</v>
    <v>c8vpf2</v>
    <v>XNSE:HDFCSML250</v>
    <v>687</v>
  </rv>
  <rv s="1">
    <v>1</v>
    <v>HDFCSML250</v>
    <v>Daily</v>
    <v>45412</v>
    <v>45412</v>
    <v>0</v>
    <v>1</v>
    <v>638500320000000000,639087303774197434,0</v>
    <v>0</v>
    <v>c8vpf2</v>
    <v>XNSE:HDFCSML250</v>
    <v>688</v>
  </rv>
  <rv s="1">
    <v>1</v>
    <v>HDFCSML250</v>
    <v>Daily</v>
    <v>45560</v>
    <v>45560</v>
    <v>0</v>
    <v>1</v>
    <v>638628192000000000,639087303774966641,0</v>
    <v>0</v>
    <v>c8vpf2</v>
    <v>XNSE:HDFCSML250</v>
    <v>689</v>
  </rv>
  <rv s="1">
    <v>1</v>
    <v>HDFCSML250</v>
    <v>Daily</v>
    <v>45603</v>
    <v>45603</v>
    <v>0</v>
    <v>1</v>
    <v>638665344000000000,639087303775116971,0</v>
    <v>0</v>
    <v>c8vpf2</v>
    <v>XNSE:HDFCSML250</v>
    <v>690</v>
  </rv>
  <rv s="1">
    <v>1</v>
    <v>HDFCSML250</v>
    <v>Daily</v>
    <v>45400</v>
    <v>45400</v>
    <v>0</v>
    <v>1</v>
    <v>638489952000000000,639087303776944594,0</v>
    <v>0</v>
    <v>c8vpf2</v>
    <v>XNSE:HDFCSML250</v>
    <v>691</v>
  </rv>
  <rv s="1">
    <v>1</v>
    <v>HDFCSML250</v>
    <v>Daily</v>
    <v>45225</v>
    <v>45225</v>
    <v>0</v>
    <v>1</v>
    <v>638338752000000000,639087303780145343,0</v>
    <v>0</v>
    <v>c8vpf2</v>
    <v>XNSE:HDFCSML250</v>
    <v>692</v>
  </rv>
  <rv s="1">
    <v>1</v>
    <v>HDFCSML250</v>
    <v>Daily</v>
    <v>45735</v>
    <v>45735</v>
    <v>0</v>
    <v>1</v>
    <v>638779392000000000,639087303783693366,0</v>
    <v>0</v>
    <v>c8vpf2</v>
    <v>XNSE:HDFCSML250</v>
    <v>693</v>
  </rv>
  <rv s="1">
    <v>1</v>
    <v>HDFCSML250</v>
    <v>Daily</v>
    <v>45174</v>
    <v>45174</v>
    <v>0</v>
    <v>1</v>
    <v>638294688000000000,639087303779435048,0</v>
    <v>0</v>
    <v>c8vpf2</v>
    <v>XNSE:HDFCSML250</v>
    <v>694</v>
  </rv>
  <rv s="1">
    <v>1</v>
    <v>HDFCSML250</v>
    <v>Daily</v>
    <v>45687</v>
    <v>45687</v>
    <v>0</v>
    <v>1</v>
    <v>638737920000000000,639087303780549189,0</v>
    <v>0</v>
    <v>c8vpf2</v>
    <v>XNSE:HDFCSML250</v>
    <v>695</v>
  </rv>
  <rv s="1">
    <v>1</v>
    <v>HDFCSML250</v>
    <v>Daily</v>
    <v>45281</v>
    <v>45281</v>
    <v>0</v>
    <v>1</v>
    <v>638387136000000000,639087303781007960,0</v>
    <v>0</v>
    <v>c8vpf2</v>
    <v>XNSE:HDFCSML250</v>
    <v>696</v>
  </rv>
  <rv s="1">
    <v>1</v>
    <v>HDFCSML250</v>
    <v>Daily</v>
    <v>45314</v>
    <v>45314</v>
    <v>0</v>
    <v>1</v>
    <v>638415648000000000,639087303781458052,0</v>
    <v>0</v>
    <v>c8vpf2</v>
    <v>XNSE:HDFCSML250</v>
    <v>697</v>
  </rv>
  <rv s="1">
    <v>1</v>
    <v>HDFCSML250</v>
    <v>Daily</v>
    <v>45630</v>
    <v>45630</v>
    <v>0</v>
    <v>1</v>
    <v>638688672000000000,639087303781364003,0</v>
    <v>0</v>
    <v>c8vpf2</v>
    <v>XNSE:HDFCSML250</v>
    <v>698</v>
  </rv>
  <rv s="1">
    <v>1</v>
    <v>HDFCSML250</v>
    <v>Daily</v>
    <v>45650</v>
    <v>45650</v>
    <v>0</v>
    <v>1</v>
    <v>638705952000000000,639087303781458052,0</v>
    <v>0</v>
    <v>c8vpf2</v>
    <v>XNSE:HDFCSML250</v>
    <v>413</v>
  </rv>
  <rv s="1">
    <v>1</v>
    <v>HDFCSML250</v>
    <v>Daily</v>
    <v>45447</v>
    <v>45447</v>
    <v>0</v>
    <v>1</v>
    <v>638530560000000000,639087303781478068,0</v>
    <v>0</v>
    <v>c8vpf2</v>
    <v>XNSE:HDFCSML250</v>
    <v>699</v>
  </rv>
  <rv s="1">
    <v>1</v>
    <v>HDFCSML250</v>
    <v>Daily</v>
    <v>45722</v>
    <v>45722</v>
    <v>0</v>
    <v>1</v>
    <v>638768160000000000,639087303781548078,0</v>
    <v>0</v>
    <v>c8vpf2</v>
    <v>XNSE:HDFCSML250</v>
    <v>700</v>
  </rv>
  <rv s="1">
    <v>1</v>
    <v>HDFCSML250</v>
    <v>Daily</v>
    <v>45476</v>
    <v>45476</v>
    <v>0</v>
    <v>1</v>
    <v>638555616000000000,639087303784408692,0</v>
    <v>0</v>
    <v>c8vpf2</v>
    <v>XNSE:HDFCSML250</v>
    <v>701</v>
  </rv>
  <rv s="1">
    <v>1</v>
    <v>HDFCSML250</v>
    <v>Daily</v>
    <v>45071</v>
    <v>45071</v>
    <v>0</v>
    <v>1</v>
    <v>638205696000000000,639087303789569192,0</v>
    <v>0</v>
    <v>c8vpf2</v>
    <v>XNSE:HDFCSML250</v>
    <v>702</v>
  </rv>
  <rv s="1">
    <v>1</v>
    <v>HDFCSML250</v>
    <v>Daily</v>
    <v>45637</v>
    <v>45637</v>
    <v>0</v>
    <v>1</v>
    <v>638694720000000000,639087303786400093,0</v>
    <v>0</v>
    <v>c8vpf2</v>
    <v>XNSE:HDFCSML250</v>
    <v>703</v>
  </rv>
  <rv s="1">
    <v>1</v>
    <v>HDFCSML250</v>
    <v>Daily</v>
    <v>45286</v>
    <v>45286</v>
    <v>0</v>
    <v>1</v>
    <v>638391456000000000,639087303786444236,0</v>
    <v>0</v>
    <v>c8vpf2</v>
    <v>XNSE:HDFCSML250</v>
    <v>704</v>
  </rv>
  <rv s="1">
    <v>1</v>
    <v>HDFCSML250</v>
    <v>Daily</v>
    <v>45652</v>
    <v>45652</v>
    <v>0</v>
    <v>1</v>
    <v>638707680000000000,639087303787347053,0</v>
    <v>0</v>
    <v>c8vpf2</v>
    <v>XNSE:HDFCSML250</v>
    <v>705</v>
  </rv>
  <rv s="1">
    <v>1</v>
    <v>HDFCSML250</v>
    <v>Daily</v>
    <v>45202</v>
    <v>45202</v>
    <v>0</v>
    <v>1</v>
    <v>638318880000000000,639087303788787383,0</v>
    <v>0</v>
    <v>c8vpf2</v>
    <v>XNSE:HDFCSML250</v>
    <v>706</v>
  </rv>
  <rv s="1">
    <v>1</v>
    <v>HDFCSML250</v>
    <v>Daily</v>
    <v>45498</v>
    <v>45498</v>
    <v>0</v>
    <v>1</v>
    <v>638574624000000000,639087303789139096,0</v>
    <v>0</v>
    <v>c8vpf2</v>
    <v>XNSE:HDFCSML250</v>
    <v>707</v>
  </rv>
  <rv s="1">
    <v>1</v>
    <v>HDFCSML250</v>
    <v>Daily</v>
    <v>45195</v>
    <v>45195</v>
    <v>0</v>
    <v>1</v>
    <v>638312832000000000,639087303787907206,0</v>
    <v>0</v>
    <v>c8vpf2</v>
    <v>XNSE:HDFCSML250</v>
    <v>708</v>
  </rv>
  <rv s="1">
    <v>1</v>
    <v>HDFCSML250</v>
    <v>Daily</v>
    <v>45707</v>
    <v>45707</v>
    <v>0</v>
    <v>1</v>
    <v>638755200000000000,639087303789424611,0</v>
    <v>0</v>
    <v>c8vpf2</v>
    <v>XNSE:HDFCSML250</v>
    <v>709</v>
  </rv>
  <rv s="1">
    <v>1</v>
    <v>HDFCSML250</v>
    <v>Daily</v>
    <v>45658</v>
    <v>45658</v>
    <v>0</v>
    <v>1</v>
    <v>638712864000000000,639087303789849256,0</v>
    <v>0</v>
    <v>c8vpf2</v>
    <v>XNSE:HDFCSML250</v>
    <v>710</v>
  </rv>
  <rv s="1">
    <v>1</v>
    <v>HDFCSML250</v>
    <v>Daily</v>
    <v>45197</v>
    <v>45197</v>
    <v>0</v>
    <v>1</v>
    <v>638314560000000000,639087303790684884,0</v>
    <v>0</v>
    <v>c8vpf2</v>
    <v>XNSE:HDFCSML250</v>
    <v>711</v>
  </rv>
  <rv s="1">
    <v>1</v>
    <v>HDFCSML250</v>
    <v>Daily</v>
    <v>45434</v>
    <v>45434</v>
    <v>0</v>
    <v>1</v>
    <v>638519328000000000,639087303788767390,0</v>
    <v>0</v>
    <v>c8vpf2</v>
    <v>XNSE:HDFCSML250</v>
    <v>712</v>
  </rv>
  <rv s="1">
    <v>1</v>
    <v>HDFCSML250</v>
    <v>Daily</v>
    <v>45125</v>
    <v>45125</v>
    <v>0</v>
    <v>1</v>
    <v>638252352000000000,639087303789019665,0</v>
    <v>0</v>
    <v>c8vpf2</v>
    <v>XNSE:HDFCSML250</v>
    <v>713</v>
  </rv>
  <rv s="1">
    <v>1</v>
    <v>HDFCSML250</v>
    <v>Daily</v>
    <v>45553</v>
    <v>45553</v>
    <v>0</v>
    <v>1</v>
    <v>638622144000000000,639087303789828420,0</v>
    <v>0</v>
    <v>c8vpf2</v>
    <v>XNSE:HDFCSML250</v>
    <v>714</v>
  </rv>
  <rv s="1">
    <v>1</v>
    <v>HDFCSML250</v>
    <v>Daily</v>
    <v>45132</v>
    <v>45132</v>
    <v>0</v>
    <v>1</v>
    <v>638258400000000000,639087303791152608,0</v>
    <v>0</v>
    <v>c8vpf2</v>
    <v>XNSE:HDFCSML250</v>
    <v>715</v>
  </rv>
  <rv s="1">
    <v>1</v>
    <v>HDFCSML250</v>
    <v>Daily</v>
    <v>45644</v>
    <v>45644</v>
    <v>0</v>
    <v>1</v>
    <v>638700768000000000,639087303789869186,0</v>
    <v>0</v>
    <v>c8vpf2</v>
    <v>XNSE:HDFCSML250</v>
    <v>716</v>
  </rv>
  <rv s="1">
    <v>1</v>
    <v>HDFCSML250</v>
    <v>Daily</v>
    <v>45539</v>
    <v>45539</v>
    <v>0</v>
    <v>1</v>
    <v>638610048000000000,639087303789958792,0</v>
    <v>0</v>
    <v>c8vpf2</v>
    <v>XNSE:HDFCSML250</v>
    <v>717</v>
  </rv>
  <rv s="1">
    <v>1</v>
    <v>HDFCSML250</v>
    <v>Daily</v>
    <v>45784</v>
    <v>45784</v>
    <v>0</v>
    <v>1</v>
    <v>638821728000000000,639087303791549302,0</v>
    <v>0</v>
    <v>c8vpf2</v>
    <v>XNSE:HDFCSML250</v>
    <v>718</v>
  </rv>
  <rv s="1">
    <v>1</v>
    <v>HDFCSML250</v>
    <v>Daily</v>
    <v>45272</v>
    <v>45272</v>
    <v>0</v>
    <v>1</v>
    <v>638379360000000000,639087303791718564,0</v>
    <v>0</v>
    <v>c8vpf2</v>
    <v>XNSE:HDFCSML250</v>
    <v>719</v>
  </rv>
  <rv s="1">
    <v>1</v>
    <v>HDFCSML250</v>
    <v>Daily</v>
    <v>45546</v>
    <v>45546</v>
    <v>0</v>
    <v>1</v>
    <v>638616096000000000,639087303797859536,0</v>
    <v>0</v>
    <v>c8vpf2</v>
    <v>XNSE:HDFCSML250</v>
    <v>720</v>
  </rv>
  <rv s="1">
    <v>1</v>
    <v>HDFCSML250</v>
    <v>Daily</v>
    <v>45190</v>
    <v>45190</v>
    <v>0</v>
    <v>1</v>
    <v>638308512000000000,639087303798329648,0</v>
    <v>0</v>
    <v>c8vpf2</v>
    <v>XNSE:HDFCSML250</v>
    <v>721</v>
  </rv>
  <rv s="1">
    <v>1</v>
    <v>HDFCSML250</v>
    <v>Daily</v>
    <v>45624</v>
    <v>45624</v>
    <v>0</v>
    <v>1</v>
    <v>638683488000000000,639087303795930640,0</v>
    <v>0</v>
    <v>c8vpf2</v>
    <v>XNSE:HDFCSML250</v>
    <v>722</v>
  </rv>
  <rv s="1">
    <v>1</v>
    <v>HDFCSML250</v>
    <v>Daily</v>
    <v>45601</v>
    <v>45601</v>
    <v>0</v>
    <v>1</v>
    <v>638663616000000000,639087303794590852,0</v>
    <v>0</v>
    <v>c8vpf2</v>
    <v>XNSE:HDFCSML250</v>
    <v>723</v>
  </rv>
  <rv s="1">
    <v>1</v>
    <v>HDFCSML250</v>
    <v>Daily</v>
    <v>45379</v>
    <v>45379</v>
    <v>0</v>
    <v>1</v>
    <v>638471808000000000,639087303795109200,0</v>
    <v>0</v>
    <v>c8vpf2</v>
    <v>XNSE:HDFCSML250</v>
    <v>724</v>
  </rv>
  <rv s="1">
    <v>1</v>
    <v>HDFCSML250</v>
    <v>Daily</v>
    <v>45386</v>
    <v>45386</v>
    <v>0</v>
    <v>1</v>
    <v>638477856000000000,639087303796117390,0</v>
    <v>0</v>
    <v>c8vpf2</v>
    <v>XNSE:HDFCSML250</v>
    <v>725</v>
  </rv>
  <rv s="1">
    <v>1</v>
    <v>HDFCSML250</v>
    <v>Daily</v>
    <v>45371</v>
    <v>45371</v>
    <v>0</v>
    <v>1</v>
    <v>638464896000000000,639087303796131644,0</v>
    <v>0</v>
    <v>c8vpf2</v>
    <v>XNSE:HDFCSML250</v>
    <v>726</v>
  </rv>
  <rv s="1">
    <v>1</v>
    <v>HDFCSML250</v>
    <v>Daily</v>
    <v>45686</v>
    <v>45686</v>
    <v>0</v>
    <v>1</v>
    <v>638737056000000000,639087303796167186,0</v>
    <v>0</v>
    <v>c8vpf2</v>
    <v>XNSE:HDFCSML250</v>
    <v>727</v>
  </rv>
  <rv s="1">
    <v>1</v>
    <v>HDFCSML250</v>
    <v>Daily</v>
    <v>45694</v>
    <v>45694</v>
    <v>0</v>
    <v>1</v>
    <v>638743968000000000,639087303796188935,0</v>
    <v>0</v>
    <v>c8vpf2</v>
    <v>XNSE:HDFCSML250</v>
    <v>728</v>
  </rv>
  <rv s="1">
    <v>1</v>
    <v>HDFCSML250</v>
    <v>Daily</v>
    <v>45685</v>
    <v>45685</v>
    <v>0</v>
    <v>1</v>
    <v>638736192000000000,639087303796261077,0</v>
    <v>0</v>
    <v>c8vpf2</v>
    <v>XNSE:HDFCSML250</v>
    <v>729</v>
  </rv>
  <rv s="1">
    <v>1</v>
    <v>HDFCSML250</v>
    <v>Daily</v>
    <v>45482</v>
    <v>45482</v>
    <v>0</v>
    <v>1</v>
    <v>638560800000000000,639087303795111807,0</v>
    <v>0</v>
    <v>c8vpf2</v>
    <v>XNSE:HDFCSML250</v>
    <v>730</v>
  </rv>
  <rv s="1">
    <v>1</v>
    <v>HDFCSML250</v>
    <v>Daily</v>
    <v>45398</v>
    <v>45398</v>
    <v>0</v>
    <v>1</v>
    <v>638488224000000000,639087303798551202,0</v>
    <v>0</v>
    <v>c8vpf2</v>
    <v>XNSE:HDFCSML250</v>
    <v>731</v>
  </rv>
  <rv s="1">
    <v>1</v>
    <v>HDFCSML250</v>
    <v>Daily</v>
    <v>45337</v>
    <v>45337</v>
    <v>0</v>
    <v>1</v>
    <v>638435520000000000,639087303796366310,0</v>
    <v>0</v>
    <v>c8vpf2</v>
    <v>XNSE:HDFCSML250</v>
    <v>732</v>
  </rv>
  <rv s="1">
    <v>1</v>
    <v>HDFCSML250</v>
    <v>Daily</v>
    <v>45785</v>
    <v>45785</v>
    <v>0</v>
    <v>1</v>
    <v>638822592000000000,639087303797911059,0</v>
    <v>0</v>
    <v>c8vpf2</v>
    <v>XNSE:HDFCSML250</v>
    <v>733</v>
  </rv>
  <rv s="1">
    <v>1</v>
    <v>HDFCSML250</v>
    <v>Daily</v>
    <v>45701</v>
    <v>45701</v>
    <v>0</v>
    <v>1</v>
    <v>638750016000000000,639087303800431625,0</v>
    <v>0</v>
    <v>c8vpf2</v>
    <v>XNSE:HDFCSML250</v>
    <v>734</v>
  </rv>
  <rv s="1">
    <v>1</v>
    <v>HDFCSML250</v>
    <v>Daily</v>
    <v>45561</v>
    <v>45561</v>
    <v>0</v>
    <v>1</v>
    <v>638629056000000000,639087303796621282,0</v>
    <v>0</v>
    <v>c8vpf2</v>
    <v>XNSE:HDFCSML250</v>
    <v>735</v>
  </rv>
  <rv s="1">
    <v>1</v>
    <v>HDFCSML250</v>
    <v>Daily</v>
    <v>45258</v>
    <v>45258</v>
    <v>0</v>
    <v>1</v>
    <v>638367264000000000,639087303796927233,0</v>
    <v>0</v>
    <v>c8vpf2</v>
    <v>XNSE:HDFCSML250</v>
    <v>736</v>
  </rv>
  <rv s="1">
    <v>1</v>
    <v>HDFCSML250</v>
    <v>Daily</v>
    <v>45497</v>
    <v>45497</v>
    <v>0</v>
    <v>1</v>
    <v>638573760000000000,639087303796197053,0</v>
    <v>0</v>
    <v>c8vpf2</v>
    <v>XNSE:HDFCSML250</v>
    <v>737</v>
  </rv>
  <rv s="1">
    <v>1</v>
    <v>HDFCSML250</v>
    <v>Daily</v>
    <v>45638</v>
    <v>45638</v>
    <v>0</v>
    <v>1</v>
    <v>638695584000000000,639087303835829679,0</v>
    <v>0</v>
    <v>c8vpf2</v>
    <v>XNSE:HDFCSML250</v>
    <v>738</v>
  </rv>
  <rv s="1">
    <v>1</v>
    <v>HDFCSML250</v>
    <v>Daily</v>
    <v>45237</v>
    <v>45237</v>
    <v>0</v>
    <v>1</v>
    <v>638349120000000000,639087303802957554,0</v>
    <v>0</v>
    <v>c8vpf2</v>
    <v>XNSE:HDFCSML250</v>
    <v>739</v>
  </rv>
  <rv s="1">
    <v>1</v>
    <v>HDFCSML250</v>
    <v>Daily</v>
    <v>45435</v>
    <v>45435</v>
    <v>0</v>
    <v>1</v>
    <v>638520192000000000,639087303804442526,0</v>
    <v>0</v>
    <v>c8vpf2</v>
    <v>XNSE:HDFCSML250</v>
    <v>740</v>
  </rv>
  <rv s="1">
    <v>1</v>
    <v>HDFCSML250</v>
    <v>Daily</v>
    <v>45265</v>
    <v>45265</v>
    <v>0</v>
    <v>1</v>
    <v>638373312000000000,639087303801905706,0</v>
    <v>0</v>
    <v>c8vpf2</v>
    <v>XNSE:HDFCSML250</v>
    <v>741</v>
  </rv>
  <rv s="1">
    <v>1</v>
    <v>HDFCSML250</v>
    <v>Daily</v>
    <v>45608</v>
    <v>45608</v>
    <v>0</v>
    <v>1</v>
    <v>638669664000000000,639087303803061237,0</v>
    <v>0</v>
    <v>c8vpf2</v>
    <v>XNSE:HDFCSML250</v>
    <v>742</v>
  </rv>
  <rv s="1">
    <v>1</v>
    <v>HDFCSML250</v>
    <v>Daily</v>
    <v>45183</v>
    <v>45183</v>
    <v>0</v>
    <v>1</v>
    <v>638302464000000000,639087303802262478,0</v>
    <v>0</v>
    <v>c8vpf2</v>
    <v>XNSE:HDFCSML250</v>
    <v>743</v>
  </rv>
  <rv s="1">
    <v>1</v>
    <v>HDFCSML250</v>
    <v>Daily</v>
    <v>45216</v>
    <v>45216</v>
    <v>0</v>
    <v>1</v>
    <v>638330976000000000,639087303804223686,0</v>
    <v>0</v>
    <v>c8vpf2</v>
    <v>XNSE:HDFCSML250</v>
    <v>744</v>
  </rv>
  <rv s="1">
    <v>1</v>
    <v>HDFCSML250</v>
    <v>Daily</v>
    <v>45377</v>
    <v>45377</v>
    <v>0</v>
    <v>1</v>
    <v>638470080000000000,639087303805373150,0</v>
    <v>0</v>
    <v>c8vpf2</v>
    <v>XNSE:HDFCSML250</v>
    <v>745</v>
  </rv>
  <rv s="1">
    <v>1</v>
    <v>HDFCSML250</v>
    <v>Daily</v>
    <v>45118</v>
    <v>45118</v>
    <v>0</v>
    <v>1</v>
    <v>638246304000000000,639087303807958643,0</v>
    <v>0</v>
    <v>c8vpf2</v>
    <v>XNSE:HDFCSML250</v>
    <v>746</v>
  </rv>
  <rv s="1">
    <v>1</v>
    <v>HDFCSML250</v>
    <v>Daily</v>
    <v>45617</v>
    <v>45617</v>
    <v>0</v>
    <v>1</v>
    <v>638677440000000000,639087303808348735,0</v>
    <v>0</v>
    <v>c8vpf2</v>
    <v>XNSE:HDFCSML250</v>
    <v>747</v>
  </rv>
  <rv s="1">
    <v>1</v>
    <v>HDFCSML250</v>
    <v>Daily</v>
    <v>45288</v>
    <v>45288</v>
    <v>0</v>
    <v>1</v>
    <v>638393184000000000,639087303808018507,0</v>
    <v>0</v>
    <v>c8vpf2</v>
    <v>XNSE:HDFCSML250</v>
    <v>748</v>
  </rv>
  <rv s="1">
    <v>1</v>
    <v>HDFCSML250</v>
    <v>Daily</v>
    <v>45309</v>
    <v>45309</v>
    <v>0</v>
    <v>1</v>
    <v>638411328000000000,639087303808649743,0</v>
    <v>0</v>
    <v>c8vpf2</v>
    <v>XNSE:HDFCSML250</v>
    <v>749</v>
  </rv>
  <rv s="1">
    <v>1</v>
    <v>HDFCSML250</v>
    <v>Daily</v>
    <v>45302</v>
    <v>45302</v>
    <v>0</v>
    <v>1</v>
    <v>638405280000000000,639087303811814174,0</v>
    <v>0</v>
    <v>c8vpf2</v>
    <v>XNSE:HDFCSML250</v>
    <v>750</v>
  </rv>
  <rv s="1">
    <v>1</v>
    <v>HDFCSML250</v>
    <v>Daily</v>
    <v>45568</v>
    <v>45568</v>
    <v>0</v>
    <v>1</v>
    <v>638635104000000000,639087303814124690,0</v>
    <v>0</v>
    <v>c8vpf2</v>
    <v>XNSE:HDFCSML250</v>
    <v>751</v>
  </rv>
  <rv s="1">
    <v>1</v>
    <v>HDFCSML250</v>
    <v>Daily</v>
    <v>45629</v>
    <v>45629</v>
    <v>0</v>
    <v>1</v>
    <v>638687808000000000,639087303812342957,0</v>
    <v>0</v>
    <v>c8vpf2</v>
    <v>XNSE:HDFCSML250</v>
    <v>752</v>
  </rv>
  <rv s="1">
    <v>1</v>
    <v>HDFCSML250</v>
    <v>Daily</v>
    <v>45743</v>
    <v>45743</v>
    <v>0</v>
    <v>1</v>
    <v>638786304000000000,639087303810953979,0</v>
    <v>0</v>
    <v>c8vpf2</v>
    <v>XNSE:HDFCSML250</v>
    <v>753</v>
  </rv>
  <rv s="1">
    <v>1</v>
    <v>HDFCSML250</v>
    <v>Daily</v>
    <v>45321</v>
    <v>45321</v>
    <v>0</v>
    <v>1</v>
    <v>638421696000000000,639087303814870148,0</v>
    <v>0</v>
    <v>c8vpf2</v>
    <v>XNSE:HDFCSML250</v>
    <v>754</v>
  </rv>
  <rv s="1">
    <v>1</v>
    <v>HDFCSML250</v>
    <v>Daily</v>
    <v>45672</v>
    <v>45672</v>
    <v>0</v>
    <v>1</v>
    <v>638724960000000000,639087303816560513,0</v>
    <v>0</v>
    <v>c8vpf2</v>
    <v>XNSE:HDFCSML250</v>
    <v>755</v>
  </rv>
  <rv s="1">
    <v>1</v>
    <v>HDFCSML250</v>
    <v>Daily</v>
    <v>45511</v>
    <v>45511</v>
    <v>0</v>
    <v>1</v>
    <v>638585856000000000,639087303812718298,0</v>
    <v>0</v>
    <v>c8vpf2</v>
    <v>XNSE:HDFCSML250</v>
    <v>756</v>
  </rv>
  <rv s="1">
    <v>1</v>
    <v>HDFCSML250</v>
    <v>Daily</v>
    <v>45085</v>
    <v>45085</v>
    <v>0</v>
    <v>1</v>
    <v>638217792000000000,639087303814370920,0</v>
    <v>0</v>
    <v>c8vpf2</v>
    <v>XNSE:HDFCSML250</v>
    <v>757</v>
  </rv>
  <rv s="1">
    <v>1</v>
    <v>HDFCSML250</v>
    <v>Daily</v>
    <v>45209</v>
    <v>45209</v>
    <v>0</v>
    <v>1</v>
    <v>638324928000000000,639087303814724823,0</v>
    <v>0</v>
    <v>c8vpf2</v>
    <v>XNSE:HDFCSML250</v>
    <v>758</v>
  </rv>
  <rv s="1">
    <v>1</v>
    <v>HDFCSML250</v>
    <v>Daily</v>
    <v>45475</v>
    <v>45475</v>
    <v>0</v>
    <v>1</v>
    <v>638554752000000000,639087303818085574,0</v>
    <v>0</v>
    <v>c8vpf2</v>
    <v>XNSE:HDFCSML250</v>
    <v>759</v>
  </rv>
  <rv s="1">
    <v>1</v>
    <v>HDFCSML250</v>
    <v>Daily</v>
    <v>45267</v>
    <v>45267</v>
    <v>0</v>
    <v>1</v>
    <v>638375040000000000,639087303816292150,0</v>
    <v>0</v>
    <v>c8vpf2</v>
    <v>XNSE:HDFCSML250</v>
    <v>760</v>
  </rv>
  <rv s="1">
    <v>1</v>
    <v>HDFCSML250</v>
    <v>Daily</v>
    <v>45057</v>
    <v>45057</v>
    <v>0</v>
    <v>1</v>
    <v>638193600000000000,639087303816903524,0</v>
    <v>0</v>
    <v>c8vpf2</v>
    <v>XNSE:HDFCSML250</v>
    <v>761</v>
  </rv>
  <rv s="1">
    <v>1</v>
    <v>HDFCSML250</v>
    <v>Daily</v>
    <v>45645</v>
    <v>45645</v>
    <v>0</v>
    <v>1</v>
    <v>638701632000000000,639087303815629111,0</v>
    <v>0</v>
    <v>c8vpf2</v>
    <v>XNSE:HDFCSML250</v>
    <v>762</v>
  </rv>
  <rv s="1">
    <v>1</v>
    <v>HDFCSML250</v>
    <v>Daily</v>
    <v>45547</v>
    <v>45547</v>
    <v>0</v>
    <v>1</v>
    <v>638616960000000000,639087303819876399,0</v>
    <v>0</v>
    <v>c8vpf2</v>
    <v>XNSE:HDFCSML250</v>
    <v>763</v>
  </rv>
  <rv s="1">
    <v>1</v>
    <v>HDFCSML250</v>
    <v>Daily</v>
    <v>45440</v>
    <v>45440</v>
    <v>0</v>
    <v>1</v>
    <v>638524512000000000,639087303818618558,0</v>
    <v>0</v>
    <v>c8vpf2</v>
    <v>XNSE:HDFCSML250</v>
    <v>764</v>
  </rv>
  <rv s="1">
    <v>1</v>
    <v>HDFCSML250</v>
    <v>Daily</v>
    <v>45596</v>
    <v>45596</v>
    <v>0</v>
    <v>1</v>
    <v>638659296000000000,639087303818688246,0</v>
    <v>0</v>
    <v>c8vpf2</v>
    <v>XNSE:HDFCSML250</v>
    <v>765</v>
  </rv>
  <rv s="1">
    <v>1</v>
    <v>HDFCSML250</v>
    <v>Daily</v>
    <v>45504</v>
    <v>45504</v>
    <v>0</v>
    <v>1</v>
    <v>638579808000000000,639087303820684929,0</v>
    <v>0</v>
    <v>c8vpf2</v>
    <v>XNSE:HDFCSML250</v>
    <v>766</v>
  </rv>
  <rv s="1">
    <v>1</v>
    <v>HDFCSML250</v>
    <v>Daily</v>
    <v>45587</v>
    <v>45587</v>
    <v>0</v>
    <v>1</v>
    <v>638651520000000000,639087303821615150,0</v>
    <v>0</v>
    <v>c8vpf2</v>
    <v>XNSE:HDFCSML250</v>
    <v>767</v>
  </rv>
  <rv s="1">
    <v>1</v>
    <v>HDFCSML250</v>
    <v>Daily</v>
    <v>45729</v>
    <v>45729</v>
    <v>0</v>
    <v>1</v>
    <v>638774208000000000,639087303820238853,0</v>
    <v>0</v>
    <v>c8vpf2</v>
    <v>XNSE:HDFCSML250</v>
    <v>768</v>
  </rv>
  <rv s="1">
    <v>1</v>
    <v>HDFCSML250</v>
    <v>Daily</v>
    <v>45295</v>
    <v>45295</v>
    <v>0</v>
    <v>1</v>
    <v>638399232000000000,639087303820573337,0</v>
    <v>0</v>
    <v>c8vpf2</v>
    <v>XNSE:HDFCSML250</v>
    <v>769</v>
  </rv>
  <rv s="1">
    <v>1</v>
    <v>HDFCSML250</v>
    <v>Daily</v>
    <v>45554</v>
    <v>45554</v>
    <v>0</v>
    <v>1</v>
    <v>638623008000000000,639087303819528877,0</v>
    <v>0</v>
    <v>c8vpf2</v>
    <v>XNSE:HDFCSML250</v>
    <v>770</v>
  </rv>
  <rv s="1">
    <v>1</v>
    <v>HDFCSML250</v>
    <v>Daily</v>
    <v>45433</v>
    <v>45433</v>
    <v>0</v>
    <v>1</v>
    <v>638518464000000000,639087303821281293,0</v>
    <v>0</v>
    <v>c8vpf2</v>
    <v>XNSE:HDFCSML250</v>
    <v>771</v>
  </rv>
  <rv s="1">
    <v>1</v>
    <v>HDFCSML250</v>
    <v>Daily</v>
    <v>45251</v>
    <v>45251</v>
    <v>0</v>
    <v>1</v>
    <v>638361216000000000,639087303820901897,0</v>
    <v>0</v>
    <v>c8vpf2</v>
    <v>XNSE:HDFCSML250</v>
    <v>772</v>
  </rv>
  <rv s="1">
    <v>1</v>
    <v>HDFCSML250</v>
    <v>Daily</v>
    <v>45545</v>
    <v>45545</v>
    <v>0</v>
    <v>1</v>
    <v>638615232000000000,639087303820966506,0</v>
    <v>0</v>
    <v>c8vpf2</v>
    <v>XNSE:HDFCSML250</v>
    <v>773</v>
  </rv>
  <rv s="1">
    <v>1</v>
    <v>HDFCSML250</v>
    <v>Daily</v>
    <v>45455</v>
    <v>45455</v>
    <v>0</v>
    <v>1</v>
    <v>638537472000000000,639087303822606855,0</v>
    <v>0</v>
    <v>c8vpf2</v>
    <v>XNSE:HDFCSML250</v>
    <v>774</v>
  </rv>
  <rv s="1">
    <v>1</v>
    <v>HDFCSML250</v>
    <v>Daily</v>
    <v>45104</v>
    <v>45104</v>
    <v>0</v>
    <v>1</v>
    <v>638234208000000000,639087303824804766,0</v>
    <v>0</v>
    <v>c8vpf2</v>
    <v>XNSE:HDFCSML250</v>
    <v>775</v>
  </rv>
  <rv s="1">
    <v>1</v>
    <v>HDFCSML250</v>
    <v>Daily</v>
    <v>45169</v>
    <v>45169</v>
    <v>0</v>
    <v>1</v>
    <v>638290368000000000,639087303825780462,0</v>
    <v>0</v>
    <v>c8vpf2</v>
    <v>XNSE:HDFCSML250</v>
    <v>776</v>
  </rv>
  <rv s="1">
    <v>1</v>
    <v>HDFCSML250</v>
    <v>Daily</v>
    <v>45162</v>
    <v>45162</v>
    <v>0</v>
    <v>1</v>
    <v>638284320000000000,639087303824988004,0</v>
    <v>0</v>
    <v>c8vpf2</v>
    <v>XNSE:HDFCSML250</v>
    <v>777</v>
  </rv>
  <rv s="1">
    <v>1</v>
    <v>HDFCSML250</v>
    <v>Daily</v>
    <v>45090</v>
    <v>45090</v>
    <v>0</v>
    <v>1</v>
    <v>638222112000000000,639087303826242492,0</v>
    <v>0</v>
    <v>c8vpf2</v>
    <v>XNSE:HDFCSML250</v>
    <v>778</v>
  </rv>
  <rv s="1">
    <v>1</v>
    <v>HDFCSML250</v>
    <v>Daily</v>
    <v>45155</v>
    <v>45155</v>
    <v>0</v>
    <v>1</v>
    <v>638278272000000000,639087303824844570,0</v>
    <v>0</v>
    <v>c8vpf2</v>
    <v>XNSE:HDFCSML250</v>
    <v>779</v>
  </rv>
  <rv s="1">
    <v>1</v>
    <v>HDFCSML250</v>
    <v>Daily</v>
    <v>45076</v>
    <v>45076</v>
    <v>0</v>
    <v>1</v>
    <v>638210016000000000,639087303824927337,0</v>
    <v>0</v>
    <v>c8vpf2</v>
    <v>XNSE:HDFCSML250</v>
    <v>780</v>
  </rv>
  <rv s="1">
    <v>1</v>
    <v>HDFCSML250</v>
    <v>Daily</v>
    <v>45148</v>
    <v>45148</v>
    <v>0</v>
    <v>1</v>
    <v>638272224000000000,639087303827602453,0</v>
    <v>0</v>
    <v>c8vpf2</v>
    <v>XNSE:HDFCSML250</v>
    <v>781</v>
  </rv>
  <rv s="1">
    <v>1</v>
    <v>HDFCSML250</v>
    <v>Daily</v>
    <v>45069</v>
    <v>45069</v>
    <v>0</v>
    <v>1</v>
    <v>638203968000000000,639087303828229697,0</v>
    <v>0</v>
    <v>c8vpf2</v>
    <v>XNSE:HDFCSML250</v>
    <v>782</v>
  </rv>
  <rv s="1">
    <v>1</v>
    <v>HDFCSML250</v>
    <v>Daily</v>
    <v>45141</v>
    <v>45141</v>
    <v>0</v>
    <v>1</v>
    <v>638266176000000000,639087303836134943,0</v>
    <v>0</v>
    <v>c8vpf2</v>
    <v>XNSE:HDFCSML250</v>
    <v>783</v>
  </rv>
  <rv s="1">
    <v>1</v>
    <v>HDFCSML250</v>
    <v>Daily</v>
    <v>45134</v>
    <v>45134</v>
    <v>0</v>
    <v>1</v>
    <v>638260128000000000,639087303828863188,0</v>
    <v>0</v>
    <v>c8vpf2</v>
    <v>XNSE:HDFCSML250</v>
    <v>784</v>
  </rv>
  <rv s="1">
    <v>1</v>
    <v>HDFCSML250</v>
    <v>Daily</v>
    <v>45127</v>
    <v>45127</v>
    <v>0</v>
    <v>1</v>
    <v>638254080000000000,639087303830103463,0</v>
    <v>0</v>
    <v>c8vpf2</v>
    <v>XNSE:HDFCSML250</v>
    <v>785</v>
  </rv>
  <rv s="1">
    <v>1</v>
    <v>HDFCSML250</v>
    <v>Daily</v>
    <v>45120</v>
    <v>45120</v>
    <v>0</v>
    <v>1</v>
    <v>638248032000000000,639087303831598602,0</v>
    <v>0</v>
    <v>c8vpf2</v>
    <v>XNSE:HDFCSML250</v>
    <v>786</v>
  </rv>
  <rv s="1">
    <v>1</v>
    <v>HDFCSML250</v>
    <v>Daily</v>
    <v>45113</v>
    <v>45113</v>
    <v>0</v>
    <v>1</v>
    <v>638241984000000000,639087303832858884,0</v>
    <v>0</v>
    <v>c8vpf2</v>
    <v>XNSE:HDFCSML250</v>
    <v>787</v>
  </rv>
  <rv s="1">
    <v>1</v>
    <v>HDFCSML250</v>
    <v>Daily</v>
    <v>45099</v>
    <v>45099</v>
    <v>0</v>
    <v>1</v>
    <v>638229888000000000,639087303832043882,0</v>
    <v>0</v>
    <v>c8vpf2</v>
    <v>XNSE:HDFCSML250</v>
    <v>788</v>
  </rv>
  <rv s="1">
    <v>1</v>
    <v>HDFCSML250</v>
    <v>Daily</v>
    <v>45229</v>
    <v>45229</v>
    <v>0</v>
    <v>1</v>
    <v>638342208000000000,639087303874699782,0</v>
    <v>0</v>
    <v>c8vpf2</v>
    <v>XNSE:HDFCSML250</v>
    <v>789</v>
  </rv>
  <rv s="1">
    <v>1</v>
    <v>HDFCSML250</v>
    <v>Daily</v>
    <v>45012</v>
    <v>45012</v>
    <v>0</v>
    <v>1</v>
    <v>638154720000000000,639087303875452190,0</v>
    <v>0</v>
    <v>c8vpf2</v>
    <v>XNSE:HDFCSML250</v>
    <v>790</v>
  </rv>
  <rv s="1">
    <v>1</v>
    <v>HDFCSML250</v>
    <v>Daily</v>
    <v>45418</v>
    <v>45418</v>
    <v>0</v>
    <v>1</v>
    <v>638505504000000000,639087303874766130,0</v>
    <v>0</v>
    <v>c8vpf2</v>
    <v>XNSE:HDFCSML250</v>
    <v>791</v>
  </rv>
  <rv s="1">
    <v>1</v>
    <v>HDFCSML250</v>
    <v>Daily</v>
    <v>45579</v>
    <v>45579</v>
    <v>0</v>
    <v>1</v>
    <v>638644608000000000,639087303874813889,0</v>
    <v>0</v>
    <v>c8vpf2</v>
    <v>XNSE:HDFCSML250</v>
    <v>792</v>
  </rv>
  <rv s="1">
    <v>1</v>
    <v>HDFCSML250</v>
    <v>Daily</v>
    <v>45061</v>
    <v>45061</v>
    <v>0</v>
    <v>1</v>
    <v>638197056000000000,639087303874863655,0</v>
    <v>0</v>
    <v>c8vpf2</v>
    <v>XNSE:HDFCSML250</v>
    <v>793</v>
  </rv>
  <rv s="1">
    <v>1</v>
    <v>HDFCSML250</v>
    <v>Daily</v>
    <v>45329</v>
    <v>45329</v>
    <v>0</v>
    <v>1</v>
    <v>638428608000000000,639087303874883572,0</v>
    <v>0</v>
    <v>c8vpf2</v>
    <v>XNSE:HDFCSML250</v>
    <v>794</v>
  </rv>
  <rv s="1">
    <v>1</v>
    <v>HDFCSML250</v>
    <v>Daily</v>
    <v>45702</v>
    <v>45702</v>
    <v>0</v>
    <v>1</v>
    <v>638750880000000000,639087303876258645,0</v>
    <v>0</v>
    <v>c8vpf2</v>
    <v>XNSE:HDFCSML250</v>
    <v>795</v>
  </rv>
  <rv s="1">
    <v>1</v>
    <v>HDFCSML250</v>
    <v>Daily</v>
    <v>45327</v>
    <v>45327</v>
    <v>0</v>
    <v>1</v>
    <v>638426880000000000,639087303875996406,0</v>
    <v>0</v>
    <v>c8vpf2</v>
    <v>XNSE:HDFCSML250</v>
    <v>796</v>
  </rv>
  <rv s="1">
    <v>1</v>
    <v>HDFCSML250</v>
    <v>Daily</v>
    <v>45552</v>
    <v>45552</v>
    <v>0</v>
    <v>1</v>
    <v>638621280000000000,639087303878807789,0</v>
    <v>0</v>
    <v>c8vpf2</v>
    <v>XNSE:HDFCSML250</v>
    <v>797</v>
  </rv>
  <rv s="1">
    <v>1</v>
    <v>HDFCSML250</v>
    <v>Daily</v>
    <v>45334</v>
    <v>45334</v>
    <v>0</v>
    <v>1</v>
    <v>638432928000000000,639087303877024179,0</v>
    <v>0</v>
    <v>c8vpf2</v>
    <v>XNSE:HDFCSML250</v>
    <v>798</v>
  </rv>
  <rv s="1">
    <v>1</v>
    <v>HDFCSML250</v>
    <v>Daily</v>
    <v>45208</v>
    <v>45208</v>
    <v>0</v>
    <v>1</v>
    <v>638324064000000000,639087303879649422,0</v>
    <v>0</v>
    <v>c8vpf2</v>
    <v>XNSE:HDFCSML250</v>
    <v>799</v>
  </rv>
  <rv s="1">
    <v>1</v>
    <v>HDFCSML250</v>
    <v>Daily</v>
    <v>45103</v>
    <v>45103</v>
    <v>0</v>
    <v>1</v>
    <v>638233344000000000,639087303881436237,0</v>
    <v>0</v>
    <v>c8vpf2</v>
    <v>XNSE:HDFCSML250</v>
    <v>800</v>
  </rv>
  <rv s="1">
    <v>1</v>
    <v>HDFCSML250</v>
    <v>Daily</v>
    <v>45215</v>
    <v>45215</v>
    <v>0</v>
    <v>1</v>
    <v>638330112000000000,639087303881849316,0</v>
    <v>0</v>
    <v>c8vpf2</v>
    <v>XNSE:HDFCSML250</v>
    <v>801</v>
  </rv>
  <rv s="1">
    <v>1</v>
    <v>HDFCSML250</v>
    <v>Daily</v>
    <v>45621</v>
    <v>45621</v>
    <v>0</v>
    <v>1</v>
    <v>638680896000000000,639087303880387117,0</v>
    <v>0</v>
    <v>c8vpf2</v>
    <v>XNSE:HDFCSML250</v>
    <v>802</v>
  </rv>
  <rv s="1">
    <v>1</v>
    <v>HDFCSML250</v>
    <v>Daily</v>
    <v>45292</v>
    <v>45292</v>
    <v>0</v>
    <v>1</v>
    <v>638396640000000000,639087303881973859,0</v>
    <v>0</v>
    <v>c8vpf2</v>
    <v>XNSE:HDFCSML250</v>
    <v>803</v>
  </rv>
  <rv s="1">
    <v>1</v>
    <v>HDFCSML250</v>
    <v>Daily</v>
    <v>45336</v>
    <v>45336</v>
    <v>0</v>
    <v>1</v>
    <v>638434656000000000,639087303882212820,0</v>
    <v>0</v>
    <v>c8vpf2</v>
    <v>XNSE:HDFCSML250</v>
    <v>804</v>
  </rv>
  <rv s="1">
    <v>1</v>
    <v>HDFCSML250</v>
    <v>Daily</v>
    <v>45145</v>
    <v>45145</v>
    <v>0</v>
    <v>1</v>
    <v>638269632000000000,639087303883238296,0</v>
    <v>0</v>
    <v>c8vpf2</v>
    <v>XNSE:HDFCSML250</v>
    <v>805</v>
  </rv>
  <rv s="1">
    <v>1</v>
    <v>HDFCSML250</v>
    <v>Daily</v>
    <v>45523</v>
    <v>45523</v>
    <v>0</v>
    <v>1</v>
    <v>638596224000000000,639087303885120648,0</v>
    <v>0</v>
    <v>c8vpf2</v>
    <v>XNSE:HDFCSML250</v>
    <v>806</v>
  </rv>
  <rv s="1">
    <v>1</v>
    <v>HDFCSML250</v>
    <v>Daily</v>
    <v>45019</v>
    <v>45019</v>
    <v>0</v>
    <v>1</v>
    <v>638160768000000000,639087303887861260,0</v>
    <v>0</v>
    <v>c8vpf2</v>
    <v>XNSE:HDFCSML250</v>
    <v>807</v>
  </rv>
  <rv s="1">
    <v>1</v>
    <v>HDFCSML250</v>
    <v>Daily</v>
    <v>45243</v>
    <v>45243</v>
    <v>0</v>
    <v>1</v>
    <v>638354304000000000,639087303884708147,0</v>
    <v>0</v>
    <v>c8vpf2</v>
    <v>XNSE:HDFCSML250</v>
    <v>808</v>
  </rv>
  <rv s="1">
    <v>1</v>
    <v>HDFCSML250</v>
    <v>Daily</v>
    <v>45572</v>
    <v>45572</v>
    <v>0</v>
    <v>1</v>
    <v>638638560000000000,639087303884752245,0</v>
    <v>0</v>
    <v>c8vpf2</v>
    <v>XNSE:HDFCSML250</v>
    <v>809</v>
  </rv>
  <rv s="1">
    <v>1</v>
    <v>HDFCSML250</v>
    <v>Daily</v>
    <v>45236</v>
    <v>45236</v>
    <v>0</v>
    <v>1</v>
    <v>638348256000000000,639087303884811982,0</v>
    <v>0</v>
    <v>c8vpf2</v>
    <v>XNSE:HDFCSML250</v>
    <v>810</v>
  </rv>
  <rv s="1">
    <v>1</v>
    <v>HDFCSML250</v>
    <v>Daily</v>
    <v>45762</v>
    <v>45762</v>
    <v>0</v>
    <v>1</v>
    <v>638802720000000000,639087303884827606,0</v>
    <v>0</v>
    <v>c8vpf2</v>
    <v>XNSE:HDFCSML250</v>
    <v>811</v>
  </rv>
  <rv s="1">
    <v>1</v>
    <v>HDFCSML250</v>
    <v>Daily</v>
    <v>45075</v>
    <v>45075</v>
    <v>0</v>
    <v>1</v>
    <v>638209152000000000,639087303884851809,0</v>
    <v>0</v>
    <v>c8vpf2</v>
    <v>XNSE:HDFCSML250</v>
    <v>812</v>
  </rv>
  <rv s="1">
    <v>1</v>
    <v>HDFCSML250</v>
    <v>Daily</v>
    <v>45159</v>
    <v>45159</v>
    <v>0</v>
    <v>1</v>
    <v>638281728000000000,639087303884867444,0</v>
    <v>0</v>
    <v>c8vpf2</v>
    <v>XNSE:HDFCSML250</v>
    <v>813</v>
  </rv>
  <rv s="1">
    <v>1</v>
    <v>HDFCSML250</v>
    <v>Daily</v>
    <v>45628</v>
    <v>45628</v>
    <v>0</v>
    <v>1</v>
    <v>638686944000000000,639087303884870793,0</v>
    <v>0</v>
    <v>c8vpf2</v>
    <v>XNSE:HDFCSML250</v>
    <v>814</v>
  </rv>
  <rv s="1">
    <v>1</v>
    <v>HDFCSML250</v>
    <v>Daily</v>
    <v>45684</v>
    <v>45684</v>
    <v>0</v>
    <v>1</v>
    <v>638735328000000000,639087303886683765,0</v>
    <v>0</v>
    <v>c8vpf2</v>
    <v>XNSE:HDFCSML250</v>
    <v>815</v>
  </rv>
  <rv s="1">
    <v>1</v>
    <v>HDFCSML250</v>
    <v>Daily</v>
    <v>45439</v>
    <v>45439</v>
    <v>0</v>
    <v>1</v>
    <v>638523648000000000,639087303886325337,0</v>
    <v>0</v>
    <v>c8vpf2</v>
    <v>XNSE:HDFCSML250</v>
    <v>816</v>
  </rv>
  <rv s="1">
    <v>1</v>
    <v>HDFCSML250</v>
    <v>Daily</v>
    <v>45495</v>
    <v>45495</v>
    <v>0</v>
    <v>1</v>
    <v>638572032000000000,639087303886355197,0</v>
    <v>0</v>
    <v>c8vpf2</v>
    <v>XNSE:HDFCSML250</v>
    <v>817</v>
  </rv>
  <rv s="1">
    <v>1</v>
    <v>HDFCSML250</v>
    <v>Daily</v>
    <v>45649</v>
    <v>45649</v>
    <v>0</v>
    <v>1</v>
    <v>638705088000000000,639087303889086304,0</v>
    <v>0</v>
    <v>c8vpf2</v>
    <v>XNSE:HDFCSML250</v>
    <v>818</v>
  </rv>
  <rv s="1">
    <v>1</v>
    <v>HDFCSML250</v>
    <v>Daily</v>
    <v>45502</v>
    <v>45502</v>
    <v>0</v>
    <v>1</v>
    <v>638578080000000000,639087303888666207,0</v>
    <v>0</v>
    <v>c8vpf2</v>
    <v>XNSE:HDFCSML250</v>
    <v>819</v>
  </rv>
  <rv s="1">
    <v>1</v>
    <v>HDFCSML250</v>
    <v>Daily</v>
    <v>45040</v>
    <v>45040</v>
    <v>0</v>
    <v>1</v>
    <v>638178912000000000,639087303891011966,0</v>
    <v>0</v>
    <v>c8vpf2</v>
    <v>XNSE:HDFCSML250</v>
    <v>820</v>
  </rv>
  <rv s="1">
    <v>1</v>
    <v>HDFCSML250</v>
    <v>Daily</v>
    <v>45026</v>
    <v>45026</v>
    <v>0</v>
    <v>1</v>
    <v>638166816000000000,639087303887810805,0</v>
    <v>0</v>
    <v>c8vpf2</v>
    <v>XNSE:HDFCSML250</v>
    <v>821</v>
  </rv>
  <rv s="1">
    <v>1</v>
    <v>HDFCSML250</v>
    <v>Daily</v>
    <v>45222</v>
    <v>45222</v>
    <v>0</v>
    <v>1</v>
    <v>638336160000000000,639087303887860814,0</v>
    <v>0</v>
    <v>c8vpf2</v>
    <v>XNSE:HDFCSML250</v>
    <v>822</v>
  </rv>
  <rv s="1">
    <v>1</v>
    <v>HDFCSML250</v>
    <v>Daily</v>
    <v>45138</v>
    <v>45138</v>
    <v>0</v>
    <v>1</v>
    <v>638263584000000000,639087303891091985,0</v>
    <v>0</v>
    <v>c8vpf2</v>
    <v>XNSE:HDFCSML250</v>
    <v>823</v>
  </rv>
  <rv s="1">
    <v>1</v>
    <v>HDFCSML250</v>
    <v>Daily</v>
    <v>45509</v>
    <v>45509</v>
    <v>0</v>
    <v>1</v>
    <v>638584128000000000,639087303892502305,0</v>
    <v>0</v>
    <v>c8vpf2</v>
    <v>XNSE:HDFCSML250</v>
    <v>824</v>
  </rv>
  <rv s="1">
    <v>1</v>
    <v>HDFCSML250</v>
    <v>Daily</v>
    <v>45082</v>
    <v>45082</v>
    <v>0</v>
    <v>1</v>
    <v>638215200000000000,639087303893442513,0</v>
    <v>0</v>
    <v>c8vpf2</v>
    <v>XNSE:HDFCSML250</v>
    <v>825</v>
  </rv>
  <rv s="1">
    <v>1</v>
    <v>HDFCSML250</v>
    <v>Daily</v>
    <v>45607</v>
    <v>45607</v>
    <v>0</v>
    <v>1</v>
    <v>638668800000000000,639087303889619945,0</v>
    <v>0</v>
    <v>c8vpf2</v>
    <v>XNSE:HDFCSML250</v>
    <v>826</v>
  </rv>
  <rv s="1">
    <v>1</v>
    <v>HDFCSML250</v>
    <v>Daily</v>
    <v>45467</v>
    <v>45467</v>
    <v>0</v>
    <v>1</v>
    <v>638547840000000000,639087303894288355,0</v>
    <v>0</v>
    <v>c8vpf2</v>
    <v>XNSE:HDFCSML250</v>
    <v>827</v>
  </rv>
  <rv s="1">
    <v>1</v>
    <v>HDFCSML250</v>
    <v>Daily</v>
    <v>45068</v>
    <v>45068</v>
    <v>0</v>
    <v>1</v>
    <v>638203104000000000,639087303899103780,0</v>
    <v>0</v>
    <v>c8vpf2</v>
    <v>XNSE:HDFCSML250</v>
    <v>828</v>
  </rv>
  <rv s="1">
    <v>1</v>
    <v>HDFCSML250</v>
    <v>Daily</v>
    <v>45299</v>
    <v>45299</v>
    <v>0</v>
    <v>1</v>
    <v>638402688000000000,639087303897573435,0</v>
    <v>0</v>
    <v>c8vpf2</v>
    <v>XNSE:HDFCSML250</v>
    <v>829</v>
  </rv>
  <rv s="1">
    <v>1</v>
    <v>HDFCSML250</v>
    <v>Daily</v>
    <v>45005</v>
    <v>45005</v>
    <v>0</v>
    <v>1</v>
    <v>638148672000000000,639087303898839428,0</v>
    <v>0</v>
    <v>c8vpf2</v>
    <v>XNSE:HDFCSML250</v>
    <v>830</v>
  </rv>
  <rv s="1">
    <v>1</v>
    <v>HDFCSML250</v>
    <v>Daily</v>
    <v>45642</v>
    <v>45642</v>
    <v>0</v>
    <v>1</v>
    <v>638699040000000000,639087303900578852,0</v>
    <v>0</v>
    <v>c8vpf2</v>
    <v>XNSE:HDFCSML250</v>
    <v>831</v>
  </rv>
  <rv s="1">
    <v>1</v>
    <v>HDFCSML250</v>
    <v>Daily</v>
    <v>45488</v>
    <v>45488</v>
    <v>0</v>
    <v>1</v>
    <v>638565984000000000,639087303901369023,0</v>
    <v>0</v>
    <v>c8vpf2</v>
    <v>XNSE:HDFCSML250</v>
    <v>832</v>
  </rv>
  <rv s="1">
    <v>1</v>
    <v>HDFCSML250</v>
    <v>Daily</v>
    <v>45733</v>
    <v>45733</v>
    <v>0</v>
    <v>1</v>
    <v>638777664000000000,639087303901759109,0</v>
    <v>0</v>
    <v>c8vpf2</v>
    <v>XNSE:HDFCSML250</v>
    <v>833</v>
  </rv>
  <rv s="1">
    <v>1</v>
    <v>HDFCSML250</v>
    <v>Daily</v>
    <v>45293</v>
    <v>45293</v>
    <v>0</v>
    <v>1</v>
    <v>638397504000000000,639087303902549283,0</v>
    <v>0</v>
    <v>c8vpf2</v>
    <v>XNSE:HDFCSML250</v>
    <v>834</v>
  </rv>
  <rv s="1">
    <v>1</v>
    <v>HDFCSML250</v>
    <v>Daily</v>
    <v>45565</v>
    <v>45565</v>
    <v>0</v>
    <v>1</v>
    <v>638632512000000000,639087303901288967,0</v>
    <v>0</v>
    <v>c8vpf2</v>
    <v>XNSE:HDFCSML250</v>
    <v>835</v>
  </rv>
  <rv s="1">
    <v>1</v>
    <v>HDFCSML250</v>
    <v>Daily</v>
    <v>45054</v>
    <v>45054</v>
    <v>0</v>
    <v>1</v>
    <v>638191008000000000,639087303901083917,0</v>
    <v>0</v>
    <v>c8vpf2</v>
    <v>XNSE:HDFCSML250</v>
    <v>836</v>
  </rv>
  <rv s="1">
    <v>1</v>
    <v>HDFCSML250</v>
    <v>Daily</v>
    <v>45530</v>
    <v>45530</v>
    <v>0</v>
    <v>1</v>
    <v>638602272000000000,639087303902199040,0</v>
    <v>0</v>
    <v>c8vpf2</v>
    <v>XNSE:HDFCSML250</v>
    <v>837</v>
  </rv>
  <rv s="1">
    <v>1</v>
    <v>HDFCSML250</v>
    <v>Daily</v>
    <v>45166</v>
    <v>45166</v>
    <v>0</v>
    <v>1</v>
    <v>638287776000000000,639087303903095101,0</v>
    <v>0</v>
    <v>c8vpf2</v>
    <v>XNSE:HDFCSML250</v>
    <v>838</v>
  </rv>
  <rv s="1">
    <v>1</v>
    <v>HDFCSML250</v>
    <v>Daily</v>
    <v>45369</v>
    <v>45369</v>
    <v>0</v>
    <v>1</v>
    <v>638463168000000000,639087303903403738,0</v>
    <v>0</v>
    <v>c8vpf2</v>
    <v>XNSE:HDFCSML250</v>
    <v>839</v>
  </rv>
  <rv s="1">
    <v>1</v>
    <v>HDFCSML250</v>
    <v>Daily</v>
    <v>45250</v>
    <v>45250</v>
    <v>0</v>
    <v>1</v>
    <v>638360352000000000,639087303905405189,0</v>
    <v>0</v>
    <v>c8vpf2</v>
    <v>XNSE:HDFCSML250</v>
    <v>840</v>
  </rv>
  <rv s="1">
    <v>1</v>
    <v>HDFCSML250</v>
    <v>Daily</v>
    <v>45117</v>
    <v>45117</v>
    <v>0</v>
    <v>1</v>
    <v>638245440000000000,639087303904604101,0</v>
    <v>0</v>
    <v>c8vpf2</v>
    <v>XNSE:HDFCSML250</v>
    <v>841</v>
  </rv>
  <rv s="1">
    <v>1</v>
    <v>HDFCSML250</v>
    <v>Daily</v>
    <v>45089</v>
    <v>45089</v>
    <v>0</v>
    <v>1</v>
    <v>638221248000000000,639087303904912749,0</v>
    <v>0</v>
    <v>c8vpf2</v>
    <v>XNSE:HDFCSML250</v>
    <v>842</v>
  </rv>
  <rv s="1">
    <v>1</v>
    <v>HDFCSML250</v>
    <v>Daily</v>
    <v>44991</v>
    <v>44991</v>
    <v>0</v>
    <v>1</v>
    <v>638136576000000000,639087303905064518,0</v>
    <v>0</v>
    <v>c8vpf2</v>
    <v>XNSE:HDFCSML250</v>
    <v>843</v>
  </rv>
  <rv s="1">
    <v>1</v>
    <v>HDFCSML250</v>
    <v>Daily</v>
    <v>45474</v>
    <v>45474</v>
    <v>0</v>
    <v>1</v>
    <v>638553888000000000,639087303905945310,0</v>
    <v>0</v>
    <v>c8vpf2</v>
    <v>XNSE:HDFCSML250</v>
    <v>844</v>
  </rv>
  <rv s="1">
    <v>1</v>
    <v>HDFCSML250</v>
    <v>Daily</v>
    <v>45425</v>
    <v>45425</v>
    <v>0</v>
    <v>1</v>
    <v>638511552000000000,639087303910120927,0</v>
    <v>0</v>
    <v>c8vpf2</v>
    <v>XNSE:HDFCSML250</v>
    <v>845</v>
  </rv>
  <rv s="1">
    <v>1</v>
    <v>HDFCSML250</v>
    <v>Daily</v>
    <v>44978</v>
    <v>44978</v>
    <v>0</v>
    <v>1</v>
    <v>638125344000000000,639087303907105282,0</v>
    <v>0</v>
    <v>c8vpf2</v>
    <v>XNSE:HDFCSML250</v>
    <v>846</v>
  </rv>
  <rv s="1">
    <v>1</v>
    <v>HDFCSML250</v>
    <v>Daily</v>
    <v>45096</v>
    <v>45096</v>
    <v>0</v>
    <v>1</v>
    <v>638227296000000000,639087303907180287,0</v>
    <v>0</v>
    <v>c8vpf2</v>
    <v>XNSE:HDFCSML250</v>
    <v>847</v>
  </rv>
  <rv s="1">
    <v>1</v>
    <v>HDFCSML250</v>
    <v>Daily</v>
    <v>45481</v>
    <v>45481</v>
    <v>0</v>
    <v>1</v>
    <v>638559936000000000,639087303909136045,0</v>
    <v>0</v>
    <v>c8vpf2</v>
    <v>XNSE:HDFCSML250</v>
    <v>848</v>
  </rv>
  <rv s="1">
    <v>1</v>
    <v>HDFCSML250</v>
    <v>Daily</v>
    <v>44985</v>
    <v>44985</v>
    <v>0</v>
    <v>1</v>
    <v>638131392000000000,639087303910566373,0</v>
    <v>0</v>
    <v>c8vpf2</v>
    <v>XNSE:HDFCSML250</v>
    <v>849</v>
  </rv>
  <rv s="1">
    <v>1</v>
    <v>HDFCSML250</v>
    <v>Daily</v>
    <v>45586</v>
    <v>45586</v>
    <v>0</v>
    <v>1</v>
    <v>638650656000000000,639087303910300969,0</v>
    <v>0</v>
    <v>c8vpf2</v>
    <v>XNSE:HDFCSML250</v>
    <v>850</v>
  </rv>
  <rv s="1">
    <v>1</v>
    <v>HDFCSML250</v>
    <v>Daily</v>
    <v>45614</v>
    <v>45614</v>
    <v>0</v>
    <v>1</v>
    <v>638674848000000000,639087303911871308,0</v>
    <v>0</v>
    <v>c8vpf2</v>
    <v>XNSE:HDFCSML250</v>
    <v>851</v>
  </rv>
  <rv s="1">
    <v>1</v>
    <v>HDFCSML250</v>
    <v>Daily</v>
    <v>45719</v>
    <v>45719</v>
    <v>0</v>
    <v>1</v>
    <v>638765568000000000,639087303910195616,0</v>
    <v>0</v>
    <v>c8vpf2</v>
    <v>XNSE:HDFCSML250</v>
    <v>852</v>
  </rv>
  <rv s="1">
    <v>1</v>
    <v>HDFCSML250</v>
    <v>Daily</v>
    <v>45677</v>
    <v>45677</v>
    <v>0</v>
    <v>1</v>
    <v>638729280000000000,639087303910383096,0</v>
    <v>0</v>
    <v>c8vpf2</v>
    <v>XNSE:HDFCSML250</v>
    <v>853</v>
  </rv>
  <rv s="1">
    <v>1</v>
    <v>HDFCSML250</v>
    <v>Daily</v>
    <v>45635</v>
    <v>45635</v>
    <v>0</v>
    <v>1</v>
    <v>638692992000000000,639087303910402990,0</v>
    <v>0</v>
    <v>c8vpf2</v>
    <v>XNSE:HDFCSML250</v>
    <v>854</v>
  </rv>
  <rv s="1">
    <v>1</v>
    <v>HDFCSML250</v>
    <v>Daily</v>
    <v>45740</v>
    <v>45740</v>
    <v>0</v>
    <v>1</v>
    <v>638783712000000000,639087303911697316,0</v>
    <v>0</v>
    <v>c8vpf2</v>
    <v>XNSE:HDFCSML250</v>
    <v>855</v>
  </rv>
  <rv s="1">
    <v>1</v>
    <v>HDFCSML250</v>
    <v>Daily</v>
    <v>45600</v>
    <v>45600</v>
    <v>0</v>
    <v>1</v>
    <v>638662752000000000,639087303914163012,0</v>
    <v>0</v>
    <v>c8vpf2</v>
    <v>XNSE:HDFCSML250</v>
    <v>856</v>
  </rv>
  <rv s="1">
    <v>1</v>
    <v>HDFCSML250</v>
    <v>Daily</v>
    <v>45320</v>
    <v>45320</v>
    <v>0</v>
    <v>1</v>
    <v>638420832000000000,639087303914580267,0</v>
    <v>0</v>
    <v>c8vpf2</v>
    <v>XNSE:HDFCSML250</v>
    <v>857</v>
  </rv>
  <rv s="1">
    <v>1</v>
    <v>HDFCSML250</v>
    <v>Daily</v>
    <v>45446</v>
    <v>45446</v>
    <v>0</v>
    <v>1</v>
    <v>638529696000000000,639087303915366822,0</v>
    <v>0</v>
    <v>c8vpf2</v>
    <v>XNSE:HDFCSML250</v>
    <v>858</v>
  </rv>
  <rv s="1">
    <v>1</v>
    <v>HDFCSML250</v>
    <v>Daily</v>
    <v>44998</v>
    <v>44998</v>
    <v>0</v>
    <v>1</v>
    <v>638142624000000000,639087303915516743,0</v>
    <v>0</v>
    <v>c8vpf2</v>
    <v>XNSE:HDFCSML250</v>
    <v>859</v>
  </rv>
  <rv s="1">
    <v>1</v>
    <v>HDFCSML250</v>
    <v>Daily</v>
    <v>45279</v>
    <v>45279</v>
    <v>0</v>
    <v>1</v>
    <v>638385408000000000,639087303915217472,0</v>
    <v>0</v>
    <v>c8vpf2</v>
    <v>XNSE:HDFCSML250</v>
    <v>860</v>
  </rv>
  <rv s="1">
    <v>1</v>
    <v>HDFCSML250</v>
    <v>Daily</v>
    <v>45194</v>
    <v>45194</v>
    <v>0</v>
    <v>1</v>
    <v>638311968000000000,639087303915267244,0</v>
    <v>0</v>
    <v>c8vpf2</v>
    <v>XNSE:HDFCSML250</v>
    <v>861</v>
  </rv>
  <rv s="1">
    <v>1</v>
    <v>HDFCSML250</v>
    <v>Daily</v>
    <v>45362</v>
    <v>45362</v>
    <v>0</v>
    <v>1</v>
    <v>638457120000000000,639087303916421302,0</v>
    <v>0</v>
    <v>c8vpf2</v>
    <v>XNSE:HDFCSML250</v>
    <v>795</v>
  </rv>
  <rv s="1">
    <v>1</v>
    <v>HDFCSML250</v>
    <v>Daily</v>
    <v>45656</v>
    <v>45656</v>
    <v>0</v>
    <v>1</v>
    <v>638711136000000000,639087303923203770,0</v>
    <v>0</v>
    <v>c8vpf2</v>
    <v>XNSE:HDFCSML250</v>
    <v>862</v>
  </rv>
  <rv s="1">
    <v>1</v>
    <v>HDFCSML250</v>
    <v>Daily</v>
    <v>45264</v>
    <v>45264</v>
    <v>0</v>
    <v>1</v>
    <v>638372448000000000,639087303924629424,0</v>
    <v>0</v>
    <v>c8vpf2</v>
    <v>XNSE:HDFCSML250</v>
    <v>863</v>
  </rv>
  <rv s="1">
    <v>1</v>
    <v>HDFCSML250</v>
    <v>Daily</v>
    <v>45355</v>
    <v>45355</v>
    <v>0</v>
    <v>1</v>
    <v>638451072000000000,639087303920864256,0</v>
    <v>0</v>
    <v>c8vpf2</v>
    <v>XNSE:HDFCSML250</v>
    <v>864</v>
  </rv>
  <rv s="1">
    <v>1</v>
    <v>HDFCSML250</v>
    <v>Daily</v>
    <v>45110</v>
    <v>45110</v>
    <v>0</v>
    <v>1</v>
    <v>638239392000000000,639087303920973114,0</v>
    <v>0</v>
    <v>c8vpf2</v>
    <v>XNSE:HDFCSML250</v>
    <v>865</v>
  </rv>
  <rv s="1">
    <v>1</v>
    <v>HDFCSML250</v>
    <v>Daily</v>
    <v>45271</v>
    <v>45271</v>
    <v>0</v>
    <v>1</v>
    <v>638378496000000000,639087303922664731,0</v>
    <v>0</v>
    <v>c8vpf2</v>
    <v>XNSE:HDFCSML250</v>
    <v>866</v>
  </rv>
  <rv s="1">
    <v>1</v>
    <v>HDFCSML250</v>
    <v>Daily</v>
    <v>45152</v>
    <v>45152</v>
    <v>0</v>
    <v>1</v>
    <v>638275680000000000,639087303923559324,0</v>
    <v>0</v>
    <v>c8vpf2</v>
    <v>XNSE:HDFCSML250</v>
    <v>867</v>
  </rv>
  <rv s="1">
    <v>1</v>
    <v>HDFCSML250</v>
    <v>Daily</v>
    <v>45034</v>
    <v>45034</v>
    <v>0</v>
    <v>1</v>
    <v>638173728000000000,639087303925624299,0</v>
    <v>0</v>
    <v>c8vpf2</v>
    <v>XNSE:HDFCSML250</v>
    <v>868</v>
  </rv>
  <rv s="1">
    <v>1</v>
    <v>HDFCSML250</v>
    <v>Daily</v>
    <v>45041</v>
    <v>45041</v>
    <v>0</v>
    <v>1</v>
    <v>638179776000000000,639087303924197129,0</v>
    <v>0</v>
    <v>c8vpf2</v>
    <v>XNSE:HDFCSML250</v>
    <v>869</v>
  </rv>
  <rv s="1">
    <v>1</v>
    <v>HDFCSML250</v>
    <v>Daily</v>
    <v>45468</v>
    <v>45468</v>
    <v>0</v>
    <v>1</v>
    <v>638548704000000000,639087303925123064,0</v>
    <v>0</v>
    <v>c8vpf2</v>
    <v>XNSE:HDFCSML250</v>
    <v>870</v>
  </rv>
  <rv s="1">
    <v>1</v>
    <v>HDFCSML250</v>
    <v>Daily</v>
    <v>45341</v>
    <v>45341</v>
    <v>0</v>
    <v>1</v>
    <v>638438976000000000,639087303925429734,0</v>
    <v>0</v>
    <v>c8vpf2</v>
    <v>XNSE:HDFCSML250</v>
    <v>656</v>
  </rv>
  <rv s="1">
    <v>1</v>
    <v>HDFCSML250</v>
    <v>Daily</v>
    <v>45278</v>
    <v>45278</v>
    <v>0</v>
    <v>1</v>
    <v>638384544000000000,639087303927004598,0</v>
    <v>0</v>
    <v>c8vpf2</v>
    <v>XNSE:HDFCSML250</v>
    <v>871</v>
  </rv>
  <rv s="1">
    <v>1</v>
    <v>HDFCSML250</v>
    <v>Daily</v>
    <v>45173</v>
    <v>45173</v>
    <v>0</v>
    <v>1</v>
    <v>638293824000000000,639087303928184855,0</v>
    <v>0</v>
    <v>c8vpf2</v>
    <v>XNSE:HDFCSML250</v>
    <v>872</v>
  </rv>
  <rv s="1">
    <v>1</v>
    <v>HDFCSML250</v>
    <v>Daily</v>
    <v>45187</v>
    <v>45187</v>
    <v>0</v>
    <v>1</v>
    <v>638305920000000000,639087303973069062,0</v>
    <v>0</v>
    <v>c8vpf2</v>
    <v>XNSE:HDFCSML250</v>
    <v>873</v>
  </rv>
  <rv s="1">
    <v>1</v>
    <v>HDFCSML250</v>
    <v>Daily</v>
    <v>45695</v>
    <v>45695</v>
    <v>0</v>
    <v>1</v>
    <v>638744832000000000,639087303976691274,0</v>
    <v>0</v>
    <v>c8vpf2</v>
    <v>XNSE:HDFCSML250</v>
    <v>874</v>
  </rv>
  <rv s="1">
    <v>1</v>
    <v>HDFCSML250</v>
    <v>Daily</v>
    <v>45180</v>
    <v>45180</v>
    <v>0</v>
    <v>1</v>
    <v>638299872000000000,639087303975343561,0</v>
    <v>0</v>
    <v>c8vpf2</v>
    <v>XNSE:HDFCSML250</v>
    <v>875</v>
  </rv>
  <rv s="1">
    <v>1</v>
    <v>HDFCSML250</v>
    <v>Daily</v>
    <v>45593</v>
    <v>45593</v>
    <v>0</v>
    <v>1</v>
    <v>638656704000000000,639087303975572556,0</v>
    <v>0</v>
    <v>c8vpf2</v>
    <v>XNSE:HDFCSML250</v>
    <v>876</v>
  </rv>
  <rv s="1">
    <v>1</v>
    <v>HDFCSML250</v>
    <v>Daily</v>
    <v>45663</v>
    <v>45663</v>
    <v>0</v>
    <v>1</v>
    <v>638717184000000000,639087303976032139,0</v>
    <v>0</v>
    <v>c8vpf2</v>
    <v>XNSE:HDFCSML250</v>
    <v>877</v>
  </rv>
  <rv s="1">
    <v>1</v>
    <v>HDFCSML250</v>
    <v>Daily</v>
    <v>45306</v>
    <v>45306</v>
    <v>0</v>
    <v>1</v>
    <v>638408736000000000,639087303977275064,0</v>
    <v>0</v>
    <v>c8vpf2</v>
    <v>XNSE:HDFCSML250</v>
    <v>878</v>
  </rv>
  <rv s="1">
    <v>1</v>
    <v>HDFCSML250</v>
    <v>Daily</v>
    <v>45755</v>
    <v>45755</v>
    <v>0</v>
    <v>1</v>
    <v>638796672000000000,639087303975731058,0</v>
    <v>0</v>
    <v>c8vpf2</v>
    <v>XNSE:HDFCSML250</v>
    <v>879</v>
  </rv>
  <rv s="1">
    <v>1</v>
    <v>HDFCSML250</v>
    <v>Daily</v>
    <v>45670</v>
    <v>45670</v>
    <v>0</v>
    <v>1</v>
    <v>638723232000000000,639087303977541464,0</v>
    <v>0</v>
    <v>c8vpf2</v>
    <v>XNSE:HDFCSML250</v>
    <v>880</v>
  </rv>
  <rv s="1">
    <v>1</v>
    <v>HDFCSML250</v>
    <v>Daily</v>
    <v>45131</v>
    <v>45131</v>
    <v>0</v>
    <v>1</v>
    <v>638257536000000000,639087303975811502,0</v>
    <v>0</v>
    <v>c8vpf2</v>
    <v>XNSE:HDFCSML250</v>
    <v>881</v>
  </rv>
  <rv s="1">
    <v>1</v>
    <v>HDFCSML250</v>
    <v>Daily</v>
    <v>45516</v>
    <v>45516</v>
    <v>0</v>
    <v>1</v>
    <v>638590176000000000,639087303978048022,0</v>
    <v>0</v>
    <v>c8vpf2</v>
    <v>XNSE:HDFCSML250</v>
    <v>882</v>
  </rv>
  <rv s="1">
    <v>1</v>
    <v>HDFCSML250</v>
    <v>Daily</v>
    <v>45124</v>
    <v>45124</v>
    <v>0</v>
    <v>1</v>
    <v>638251488000000000,639087303979572407,0</v>
    <v>0</v>
    <v>c8vpf2</v>
    <v>XNSE:HDFCSML250</v>
    <v>883</v>
  </rv>
  <rv s="1">
    <v>1</v>
    <v>HDFCSML250</v>
    <v>Daily</v>
    <v>45027</v>
    <v>45027</v>
    <v>0</v>
    <v>1</v>
    <v>638167680000000000,639087303981152781,0</v>
    <v>0</v>
    <v>c8vpf2</v>
    <v>XNSE:HDFCSML250</v>
    <v>884</v>
  </rv>
  <rv s="1">
    <v>1</v>
    <v>HDFCSML250</v>
    <v>Daily</v>
    <v>45453</v>
    <v>45453</v>
    <v>0</v>
    <v>1</v>
    <v>638535744000000000,639087303983498374,0</v>
    <v>0</v>
    <v>c8vpf2</v>
    <v>XNSE:HDFCSML250</v>
    <v>885</v>
  </rv>
  <rv s="1">
    <v>1</v>
    <v>HDFCSML250</v>
    <v>Daily</v>
    <v>44980</v>
    <v>44980</v>
    <v>0</v>
    <v>1</v>
    <v>638127072000000000,639087303983113754,0</v>
    <v>0</v>
    <v>c8vpf2</v>
    <v>XNSE:HDFCSML250</v>
    <v>886</v>
  </rv>
  <rv s="1">
    <v>1</v>
    <v>HDFCSML250</v>
    <v>Daily</v>
    <v>45097</v>
    <v>45097</v>
    <v>0</v>
    <v>1</v>
    <v>638228160000000000,639087303983163526,0</v>
    <v>0</v>
    <v>c8vpf2</v>
    <v>XNSE:HDFCSML250</v>
    <v>887</v>
  </rv>
  <rv s="1">
    <v>1</v>
    <v>HDFCSML250</v>
    <v>Daily</v>
    <v>45083</v>
    <v>45083</v>
    <v>0</v>
    <v>1</v>
    <v>638216064000000000,639087303984811550,0</v>
    <v>0</v>
    <v>c8vpf2</v>
    <v>XNSE:HDFCSML250</v>
    <v>888</v>
  </rv>
  <rv s="1">
    <v>1</v>
    <v>HDFCSML250</v>
    <v>Daily</v>
    <v>45728</v>
    <v>45728</v>
    <v>0</v>
    <v>1</v>
    <v>638773344000000000,639150494096518310,0</v>
    <v>0</v>
    <v>c8vpf2</v>
    <v>XNSE:HDFCSML250</v>
    <v>889</v>
  </rv>
  <rv s="1">
    <v>1</v>
    <v>HDFCSML250</v>
    <v>Daily</v>
    <v>45505</v>
    <v>45505</v>
    <v>0</v>
    <v>1</v>
    <v>638580672000000000,639150494259081174,0</v>
    <v>0</v>
    <v>c8vpf2</v>
    <v>XNSE:HDFCSML250</v>
    <v>890</v>
  </rv>
  <rv s="1">
    <v>1</v>
    <v>HDFCSML250</v>
    <v>Daily</v>
    <v>45763</v>
    <v>45763</v>
    <v>0</v>
    <v>1</v>
    <v>638803584000000000,639150494332361632,0</v>
    <v>0</v>
    <v>c8vpf2</v>
    <v>XNSE:HDFCSML250</v>
    <v>891</v>
  </rv>
  <rv s="1">
    <v>1</v>
    <v>HDFCSML250</v>
    <v>Daily</v>
    <v>45211</v>
    <v>45211</v>
    <v>0</v>
    <v>1</v>
    <v>638326656000000000,639183116193039701,0</v>
    <v>0</v>
    <v>c8vpf2</v>
    <v>XNSE:HDFCSML250</v>
    <v>810</v>
  </rv>
  <rv s="1">
    <v>1</v>
    <v>HDFCSML250</v>
    <v>Daily</v>
    <v>45181</v>
    <v>45181</v>
    <v>0</v>
    <v>1</v>
    <v>638300736000000000,639183116208843078,0</v>
    <v>0</v>
    <v>c8vpf2</v>
    <v>XNSE:HDFCSML250</v>
    <v>892</v>
  </rv>
  <rv s="1">
    <v>1</v>
    <v>HDFCSML250</v>
    <v>Daily</v>
    <v>45518</v>
    <v>45518</v>
    <v>0</v>
    <v>1</v>
    <v>638591904000000000,639191690280004275,0</v>
    <v>0</v>
    <v>c8vpf2</v>
    <v>XNSE:HDFCSML250</v>
    <v>893</v>
  </rv>
  <rv s="1">
    <v>1</v>
    <v>JUNIORBEES</v>
    <v>Daily</v>
    <v>45140</v>
    <v>45140</v>
    <v>0</v>
    <v>1</v>
    <v>638265312000000000,639087303704877923,0</v>
    <v>0</v>
    <v>ahij52</v>
    <v>XNSE:JUNIORBEES</v>
    <v>894</v>
  </rv>
  <rv s="1">
    <v>1</v>
    <v>JUNIORBEES</v>
    <v>Daily</v>
    <v>45721</v>
    <v>45721</v>
    <v>0</v>
    <v>1</v>
    <v>638767296000000000,639087303706062720,0</v>
    <v>0</v>
    <v>ahij52</v>
    <v>XNSE:JUNIORBEES</v>
    <v>895</v>
  </rv>
  <rv s="1">
    <v>1</v>
    <v>JUNIORBEES</v>
    <v>Daily</v>
    <v>44616</v>
    <v>44616</v>
    <v>0</v>
    <v>1</v>
    <v>637812576000000000,639087303706301667,0</v>
    <v>0</v>
    <v>ahij52</v>
    <v>XNSE:JUNIORBEES</v>
    <v>896</v>
  </rv>
  <rv s="1">
    <v>1</v>
    <v>JUNIORBEES</v>
    <v>Daily</v>
    <v>45189</v>
    <v>45189</v>
    <v>0</v>
    <v>1</v>
    <v>638307648000000000,639087303706335558,0</v>
    <v>0</v>
    <v>ahij52</v>
    <v>XNSE:JUNIORBEES</v>
    <v>897</v>
  </rv>
  <rv s="1">
    <v>1</v>
    <v>JUNIORBEES</v>
    <v>Daily</v>
    <v>44628</v>
    <v>44628</v>
    <v>0</v>
    <v>1</v>
    <v>637822944000000000,639087303706504816,0</v>
    <v>0</v>
    <v>ahij52</v>
    <v>XNSE:JUNIORBEES</v>
    <v>898</v>
  </rv>
  <rv s="1">
    <v>1</v>
    <v>JUNIORBEES</v>
    <v>Daily</v>
    <v>45442</v>
    <v>45442</v>
    <v>0</v>
    <v>1</v>
    <v>638526240000000000,639087303706624278,0</v>
    <v>0</v>
    <v>ahij52</v>
    <v>XNSE:JUNIORBEES</v>
    <v>899</v>
  </rv>
  <rv s="1">
    <v>1</v>
    <v>JUNIORBEES</v>
    <v>Daily</v>
    <v>45693</v>
    <v>45693</v>
    <v>0</v>
    <v>1</v>
    <v>638743104000000000,639087303707449837,0</v>
    <v>0</v>
    <v>ahij52</v>
    <v>XNSE:JUNIORBEES</v>
    <v>900</v>
  </rv>
  <rv s="1">
    <v>1</v>
    <v>JUNIORBEES</v>
    <v>Daily</v>
    <v>45301</v>
    <v>45301</v>
    <v>0</v>
    <v>1</v>
    <v>638404416000000000,639087303708186777,0</v>
    <v>0</v>
    <v>ahij52</v>
    <v>XNSE:JUNIORBEES</v>
    <v>901</v>
  </rv>
  <rv s="1">
    <v>1</v>
    <v>JUNIORBEES</v>
    <v>Daily</v>
    <v>45540</v>
    <v>45540</v>
    <v>0</v>
    <v>1</v>
    <v>638610912000000000,639087303708973323,0</v>
    <v>0</v>
    <v>ahij52</v>
    <v>XNSE:JUNIORBEES</v>
    <v>902</v>
  </rv>
  <rv s="1">
    <v>1</v>
    <v>JUNIORBEES</v>
    <v>Daily</v>
    <v>45742</v>
    <v>45742</v>
    <v>0</v>
    <v>1</v>
    <v>638785440000000000,639087303709212105,0</v>
    <v>0</v>
    <v>ahij52</v>
    <v>XNSE:JUNIORBEES</v>
    <v>903</v>
  </rv>
  <rv s="1">
    <v>1</v>
    <v>JUNIORBEES</v>
    <v>Daily</v>
    <v>45673</v>
    <v>45673</v>
    <v>0</v>
    <v>1</v>
    <v>638725824000000000,639087303709686362,0</v>
    <v>0</v>
    <v>ahij52</v>
    <v>XNSE:JUNIORBEES</v>
    <v>904</v>
  </rv>
  <rv s="1">
    <v>1</v>
    <v>JUNIORBEES</v>
    <v>Daily</v>
    <v>45386</v>
    <v>45386</v>
    <v>0</v>
    <v>1</v>
    <v>638477856000000000,639087303708065963,0</v>
    <v>0</v>
    <v>ahij52</v>
    <v>XNSE:JUNIORBEES</v>
    <v>905</v>
  </rv>
  <rv s="1">
    <v>1</v>
    <v>JUNIORBEES</v>
    <v>Daily</v>
    <v>45477</v>
    <v>45477</v>
    <v>0</v>
    <v>1</v>
    <v>638556480000000000,639087303708153530,0</v>
    <v>0</v>
    <v>ahij52</v>
    <v>XNSE:JUNIORBEES</v>
    <v>906</v>
  </rv>
  <rv s="1">
    <v>1</v>
    <v>JUNIORBEES</v>
    <v>Daily</v>
    <v>45008</v>
    <v>45008</v>
    <v>0</v>
    <v>1</v>
    <v>638151264000000000,639087303711364713,0</v>
    <v>0</v>
    <v>ahij52</v>
    <v>XNSE:JUNIORBEES</v>
    <v>907</v>
  </rv>
  <rv s="1">
    <v>1</v>
    <v>JUNIORBEES</v>
    <v>Daily</v>
    <v>44810</v>
    <v>44810</v>
    <v>0</v>
    <v>1</v>
    <v>637980192000000000,639087303712776024,0</v>
    <v>0</v>
    <v>ahij52</v>
    <v>XNSE:JUNIORBEES</v>
    <v>908</v>
  </rv>
  <rv s="1">
    <v>1</v>
    <v>JUNIORBEES</v>
    <v>Daily</v>
    <v>45448</v>
    <v>45448</v>
    <v>0</v>
    <v>1</v>
    <v>638531424000000000,639087303713256125,0</v>
    <v>0</v>
    <v>ahij52</v>
    <v>XNSE:JUNIORBEES</v>
    <v>909</v>
  </rv>
  <rv s="1">
    <v>1</v>
    <v>JUNIORBEES</v>
    <v>Daily</v>
    <v>45568</v>
    <v>45568</v>
    <v>0</v>
    <v>1</v>
    <v>638635104000000000,639087303714208656,0</v>
    <v>0</v>
    <v>ahij52</v>
    <v>XNSE:JUNIORBEES</v>
    <v>910</v>
  </rv>
  <rv s="1">
    <v>1</v>
    <v>JUNIORBEES</v>
    <v>Daily</v>
    <v>45365</v>
    <v>45365</v>
    <v>0</v>
    <v>1</v>
    <v>638459712000000000,639087303713945290,0</v>
    <v>0</v>
    <v>ahij52</v>
    <v>XNSE:JUNIORBEES</v>
    <v>911</v>
  </rv>
  <rv s="1">
    <v>1</v>
    <v>JUNIORBEES</v>
    <v>Daily</v>
    <v>45665</v>
    <v>45665</v>
    <v>0</v>
    <v>1</v>
    <v>638718912000000000,639087303712254914,0</v>
    <v>0</v>
    <v>ahij52</v>
    <v>XNSE:JUNIORBEES</v>
    <v>912</v>
  </rv>
  <rv s="1">
    <v>1</v>
    <v>JUNIORBEES</v>
    <v>Daily</v>
    <v>45678</v>
    <v>45678</v>
    <v>0</v>
    <v>1</v>
    <v>638730144000000000,639087303713925285,0</v>
    <v>0</v>
    <v>ahij52</v>
    <v>XNSE:JUNIORBEES</v>
    <v>913</v>
  </rv>
  <rv s="1">
    <v>1</v>
    <v>JUNIORBEES</v>
    <v>Daily</v>
    <v>44686</v>
    <v>44686</v>
    <v>0</v>
    <v>1</v>
    <v>637873056000000000,639087303714765471,0</v>
    <v>0</v>
    <v>ahij52</v>
    <v>XNSE:JUNIORBEES</v>
    <v>914</v>
  </rv>
  <rv s="1">
    <v>1</v>
    <v>JUNIORBEES</v>
    <v>Daily</v>
    <v>45476</v>
    <v>45476</v>
    <v>0</v>
    <v>1</v>
    <v>638555616000000000,639087303711411266,0</v>
    <v>0</v>
    <v>ahij52</v>
    <v>XNSE:JUNIORBEES</v>
    <v>915</v>
  </rv>
  <rv s="1">
    <v>1</v>
    <v>JUNIORBEES</v>
    <v>Daily</v>
    <v>45489</v>
    <v>45489</v>
    <v>0</v>
    <v>1</v>
    <v>638566848000000000,639087303712603415,0</v>
    <v>0</v>
    <v>ahij52</v>
    <v>XNSE:JUNIORBEES</v>
    <v>916</v>
  </rv>
  <rv s="1">
    <v>1</v>
    <v>JUNIORBEES</v>
    <v>Daily</v>
    <v>45322</v>
    <v>45322</v>
    <v>0</v>
    <v>1</v>
    <v>638422560000000000,639087303712090282,0</v>
    <v>0</v>
    <v>ahij52</v>
    <v>XNSE:JUNIORBEES</v>
    <v>917</v>
  </rv>
  <rv s="1">
    <v>1</v>
    <v>JUNIORBEES</v>
    <v>Daily</v>
    <v>45749</v>
    <v>45749</v>
    <v>0</v>
    <v>1</v>
    <v>638791488000000000,639087303712408983,0</v>
    <v>0</v>
    <v>ahij52</v>
    <v>XNSE:JUNIORBEES</v>
    <v>918</v>
  </rv>
  <rv s="1">
    <v>1</v>
    <v>JUNIORBEES</v>
    <v>Daily</v>
    <v>45090</v>
    <v>45090</v>
    <v>0</v>
    <v>1</v>
    <v>638222112000000000,639087303712453713,0</v>
    <v>0</v>
    <v>ahij52</v>
    <v>XNSE:JUNIORBEES</v>
    <v>919</v>
  </rv>
  <rv s="1">
    <v>1</v>
    <v>JUNIORBEES</v>
    <v>Daily</v>
    <v>45315</v>
    <v>45315</v>
    <v>0</v>
    <v>1</v>
    <v>638416512000000000,639087303712503481,0</v>
    <v>0</v>
    <v>ahij52</v>
    <v>XNSE:JUNIORBEES</v>
    <v>920</v>
  </rv>
  <rv s="1">
    <v>1</v>
    <v>JUNIORBEES</v>
    <v>Daily</v>
    <v>44936</v>
    <v>44936</v>
    <v>0</v>
    <v>1</v>
    <v>638089056000000000,639087303712583502,0</v>
    <v>0</v>
    <v>ahij52</v>
    <v>XNSE:JUNIORBEES</v>
    <v>921</v>
  </rv>
  <rv s="1">
    <v>1</v>
    <v>JUNIORBEES</v>
    <v>Daily</v>
    <v>44959</v>
    <v>44959</v>
    <v>0</v>
    <v>1</v>
    <v>638108928000000000,639087303712603415,0</v>
    <v>0</v>
    <v>ahij52</v>
    <v>XNSE:JUNIORBEES</v>
    <v>922</v>
  </rv>
  <rv s="1">
    <v>1</v>
    <v>JUNIORBEES</v>
    <v>Daily</v>
    <v>45707</v>
    <v>45707</v>
    <v>0</v>
    <v>1</v>
    <v>638755200000000000,639087303712633847,0</v>
    <v>0</v>
    <v>ahij52</v>
    <v>XNSE:JUNIORBEES</v>
    <v>923</v>
  </rv>
  <rv s="1">
    <v>1</v>
    <v>JUNIORBEES</v>
    <v>Daily</v>
    <v>45288</v>
    <v>45288</v>
    <v>0</v>
    <v>1</v>
    <v>638393184000000000,639087303714813925,0</v>
    <v>0</v>
    <v>ahij52</v>
    <v>XNSE:JUNIORBEES</v>
    <v>924</v>
  </rv>
  <rv s="1">
    <v>1</v>
    <v>JUNIORBEES</v>
    <v>Daily</v>
    <v>45435</v>
    <v>45435</v>
    <v>0</v>
    <v>1</v>
    <v>638520192000000000,639087303715275597,0</v>
    <v>0</v>
    <v>ahij52</v>
    <v>XNSE:JUNIORBEES</v>
    <v>925</v>
  </rv>
  <rv s="1">
    <v>1</v>
    <v>JUNIORBEES</v>
    <v>Daily</v>
    <v>44635</v>
    <v>44635</v>
    <v>0</v>
    <v>1</v>
    <v>637828992000000000,639087303715524493,0</v>
    <v>0</v>
    <v>ahij52</v>
    <v>XNSE:JUNIORBEES</v>
    <v>926</v>
  </rv>
  <rv s="1">
    <v>1</v>
    <v>JUNIORBEES</v>
    <v>Daily</v>
    <v>45414</v>
    <v>45414</v>
    <v>0</v>
    <v>1</v>
    <v>638502048000000000,639087303717173912,0</v>
    <v>0</v>
    <v>ahij52</v>
    <v>XNSE:JUNIORBEES</v>
    <v>927</v>
  </rv>
  <rv s="1">
    <v>1</v>
    <v>JUNIORBEES</v>
    <v>Daily</v>
    <v>44705</v>
    <v>44705</v>
    <v>0</v>
    <v>1</v>
    <v>637889472000000000,639087303717283419,0</v>
    <v>0</v>
    <v>ahij52</v>
    <v>XNSE:JUNIORBEES</v>
    <v>928</v>
  </rv>
  <rv s="1">
    <v>1</v>
    <v>JUNIORBEES</v>
    <v>Daily</v>
    <v>45756</v>
    <v>45756</v>
    <v>0</v>
    <v>1</v>
    <v>638797536000000000,639087303722910549,0</v>
    <v>0</v>
    <v>ahij52</v>
    <v>XNSE:JUNIORBEES</v>
    <v>929</v>
  </rv>
  <rv s="1">
    <v>1</v>
    <v>JUNIORBEES</v>
    <v>Daily</v>
    <v>45412</v>
    <v>45412</v>
    <v>0</v>
    <v>1</v>
    <v>638500320000000000,639087303719403817,0</v>
    <v>0</v>
    <v>ahij52</v>
    <v>XNSE:JUNIORBEES</v>
    <v>930</v>
  </rv>
  <rv s="1">
    <v>1</v>
    <v>JUNIORBEES</v>
    <v>Daily</v>
    <v>45119</v>
    <v>45119</v>
    <v>0</v>
    <v>1</v>
    <v>638247168000000000,639087303720094432,0</v>
    <v>0</v>
    <v>ahij52</v>
    <v>XNSE:JUNIORBEES</v>
    <v>931</v>
  </rv>
  <rv s="1">
    <v>1</v>
    <v>JUNIORBEES</v>
    <v>Daily</v>
    <v>44693</v>
    <v>44693</v>
    <v>0</v>
    <v>1</v>
    <v>637879104000000000,639087303717929687,0</v>
    <v>0</v>
    <v>ahij52</v>
    <v>XNSE:JUNIORBEES</v>
    <v>932</v>
  </rv>
  <rv s="1">
    <v>1</v>
    <v>JUNIORBEES</v>
    <v>Daily</v>
    <v>44817</v>
    <v>44817</v>
    <v>0</v>
    <v>1</v>
    <v>637986240000000000,639087303717954522,0</v>
    <v>0</v>
    <v>ahij52</v>
    <v>XNSE:JUNIORBEES</v>
    <v>933</v>
  </rv>
  <rv s="1">
    <v>1</v>
    <v>JUNIORBEES</v>
    <v>Daily</v>
    <v>45211</v>
    <v>45211</v>
    <v>0</v>
    <v>1</v>
    <v>638326656000000000,639087303718024354,0</v>
    <v>0</v>
    <v>ahij52</v>
    <v>XNSE:JUNIORBEES</v>
    <v>934</v>
  </rv>
  <rv s="1">
    <v>1</v>
    <v>JUNIORBEES</v>
    <v>Daily</v>
    <v>45036</v>
    <v>45036</v>
    <v>0</v>
    <v>1</v>
    <v>638175456000000000,639087303718093911,0</v>
    <v>0</v>
    <v>ahij52</v>
    <v>XNSE:JUNIORBEES</v>
    <v>935</v>
  </rv>
  <rv s="1">
    <v>1</v>
    <v>JUNIORBEES</v>
    <v>Daily</v>
    <v>45553</v>
    <v>45553</v>
    <v>0</v>
    <v>1</v>
    <v>638622144000000000,639087303718557526,0</v>
    <v>0</v>
    <v>ahij52</v>
    <v>XNSE:JUNIORBEES</v>
    <v>936</v>
  </rv>
  <rv s="1">
    <v>1</v>
    <v>JUNIORBEES</v>
    <v>Daily</v>
    <v>45566</v>
    <v>45566</v>
    <v>0</v>
    <v>1</v>
    <v>638633376000000000,639087303719503365,0</v>
    <v>0</v>
    <v>ahij52</v>
    <v>XNSE:JUNIORBEES</v>
    <v>937</v>
  </rv>
  <rv s="1">
    <v>1</v>
    <v>JUNIORBEES</v>
    <v>Daily</v>
    <v>45608</v>
    <v>45608</v>
    <v>0</v>
    <v>1</v>
    <v>638669664000000000,639087303720680056,0</v>
    <v>0</v>
    <v>ahij52</v>
    <v>XNSE:JUNIORBEES</v>
    <v>938</v>
  </rv>
  <rv s="1">
    <v>1</v>
    <v>JUNIORBEES</v>
    <v>Daily</v>
    <v>45258</v>
    <v>45258</v>
    <v>0</v>
    <v>1</v>
    <v>638367264000000000,639087303723450663,0</v>
    <v>0</v>
    <v>ahij52</v>
    <v>XNSE:JUNIORBEES</v>
    <v>939</v>
  </rv>
  <rv s="1">
    <v>1</v>
    <v>JUNIORBEES</v>
    <v>Daily</v>
    <v>45309</v>
    <v>45309</v>
    <v>0</v>
    <v>1</v>
    <v>638411328000000000,639087303723910760,0</v>
    <v>0</v>
    <v>ahij52</v>
    <v>XNSE:JUNIORBEES</v>
    <v>940</v>
  </rv>
  <rv s="1">
    <v>1</v>
    <v>JUNIORBEES</v>
    <v>Daily</v>
    <v>44938</v>
    <v>44938</v>
    <v>0</v>
    <v>1</v>
    <v>638090784000000000,639087303719889886,0</v>
    <v>0</v>
    <v>ahij52</v>
    <v>XNSE:JUNIORBEES</v>
    <v>941</v>
  </rv>
  <rv s="1">
    <v>1</v>
    <v>JUNIORBEES</v>
    <v>Daily</v>
    <v>45686</v>
    <v>45686</v>
    <v>0</v>
    <v>1</v>
    <v>638737056000000000,639087303723697445,0</v>
    <v>0</v>
    <v>ahij52</v>
    <v>XNSE:JUNIORBEES</v>
    <v>942</v>
  </rv>
  <rv s="1">
    <v>1</v>
    <v>JUNIORBEES</v>
    <v>Daily</v>
    <v>45784</v>
    <v>45784</v>
    <v>0</v>
    <v>1</v>
    <v>638821728000000000,639087303720399449,0</v>
    <v>0</v>
    <v>ahij52</v>
    <v>XNSE:JUNIORBEES</v>
    <v>943</v>
  </rv>
  <rv s="1">
    <v>1</v>
    <v>JUNIORBEES</v>
    <v>Daily</v>
    <v>45174</v>
    <v>45174</v>
    <v>0</v>
    <v>1</v>
    <v>638294688000000000,639087303721090039,0</v>
    <v>0</v>
    <v>ahij52</v>
    <v>XNSE:JUNIORBEES</v>
    <v>944</v>
  </rv>
  <rv s="1">
    <v>1</v>
    <v>JUNIORBEES</v>
    <v>Daily</v>
    <v>45644</v>
    <v>45644</v>
    <v>0</v>
    <v>1</v>
    <v>638700768000000000,639087303721000129,0</v>
    <v>0</v>
    <v>ahij52</v>
    <v>XNSE:JUNIORBEES</v>
    <v>945</v>
  </rv>
  <rv s="1">
    <v>1</v>
    <v>JUNIORBEES</v>
    <v>Daily</v>
    <v>44945</v>
    <v>44945</v>
    <v>0</v>
    <v>1</v>
    <v>638096832000000000,639087303724310845,0</v>
    <v>0</v>
    <v>ahij52</v>
    <v>XNSE:JUNIORBEES</v>
    <v>946</v>
  </rv>
  <rv s="1">
    <v>1</v>
    <v>JUNIORBEES</v>
    <v>Daily</v>
    <v>45680</v>
    <v>45680</v>
    <v>0</v>
    <v>1</v>
    <v>638731872000000000,639087303721464200,0</v>
    <v>0</v>
    <v>ahij52</v>
    <v>XNSE:JUNIORBEES</v>
    <v>947</v>
  </rv>
  <rv s="1">
    <v>1</v>
    <v>JUNIORBEES</v>
    <v>Daily</v>
    <v>45449</v>
    <v>45449</v>
    <v>0</v>
    <v>1</v>
    <v>638532288000000000,639087303724972945,0</v>
    <v>0</v>
    <v>ahij52</v>
    <v>XNSE:JUNIORBEES</v>
    <v>948</v>
  </rv>
  <rv s="1">
    <v>1</v>
    <v>JUNIORBEES</v>
    <v>Daily</v>
    <v>45615</v>
    <v>45615</v>
    <v>0</v>
    <v>1</v>
    <v>638675712000000000,639087303725201939,0</v>
    <v>0</v>
    <v>ahij52</v>
    <v>XNSE:JUNIORBEES</v>
    <v>949</v>
  </rv>
  <rv s="1">
    <v>1</v>
    <v>JUNIORBEES</v>
    <v>Daily</v>
    <v>45595</v>
    <v>45595</v>
    <v>0</v>
    <v>1</v>
    <v>638658432000000000,639087303724998648,0</v>
    <v>0</v>
    <v>ahij52</v>
    <v>XNSE:JUNIORBEES</v>
    <v>950</v>
  </rv>
  <rv s="1">
    <v>1</v>
    <v>JUNIORBEES</v>
    <v>Daily</v>
    <v>45496</v>
    <v>45496</v>
    <v>0</v>
    <v>1</v>
    <v>638572896000000000,639087303726691364,0</v>
    <v>0</v>
    <v>ahij52</v>
    <v>XNSE:JUNIORBEES</v>
    <v>951</v>
  </rv>
  <rv s="1">
    <v>1</v>
    <v>JUNIORBEES</v>
    <v>Daily</v>
    <v>45547</v>
    <v>45547</v>
    <v>0</v>
    <v>1</v>
    <v>638616960000000000,639087303727549206,0</v>
    <v>0</v>
    <v>ahij52</v>
    <v>XNSE:JUNIORBEES</v>
    <v>952</v>
  </rv>
  <rv s="1">
    <v>1</v>
    <v>JUNIORBEES</v>
    <v>Daily</v>
    <v>45713</v>
    <v>45713</v>
    <v>0</v>
    <v>1</v>
    <v>638760384000000000,639087303726184316,0</v>
    <v>0</v>
    <v>ahij52</v>
    <v>XNSE:JUNIORBEES</v>
    <v>953</v>
  </rv>
  <rv s="1">
    <v>1</v>
    <v>JUNIORBEES</v>
    <v>Daily</v>
    <v>45231</v>
    <v>45231</v>
    <v>0</v>
    <v>1</v>
    <v>638343936000000000,639087303726325728,0</v>
    <v>0</v>
    <v>ahij52</v>
    <v>XNSE:JUNIORBEES</v>
    <v>954</v>
  </rv>
  <rv s="1">
    <v>1</v>
    <v>JUNIORBEES</v>
    <v>Daily</v>
    <v>45792</v>
    <v>45792</v>
    <v>0</v>
    <v>1</v>
    <v>638828640000000000,639087303726783721,0</v>
    <v>0</v>
    <v>ahij52</v>
    <v>XNSE:JUNIORBEES</v>
    <v>955</v>
  </rv>
  <rv s="1">
    <v>1</v>
    <v>JUNIORBEES</v>
    <v>Daily</v>
    <v>44656</v>
    <v>44656</v>
    <v>0</v>
    <v>1</v>
    <v>637847136000000000,639087303726193458,0</v>
    <v>0</v>
    <v>ahij52</v>
    <v>XNSE:JUNIORBEES</v>
    <v>956</v>
  </rv>
  <rv s="1">
    <v>1</v>
    <v>JUNIORBEES</v>
    <v>Daily</v>
    <v>45062</v>
    <v>45062</v>
    <v>0</v>
    <v>1</v>
    <v>638197920000000000,639087303726208466,0</v>
    <v>0</v>
    <v>ahij52</v>
    <v>XNSE:JUNIORBEES</v>
    <v>957</v>
  </rv>
  <rv s="1">
    <v>1</v>
    <v>JUNIORBEES</v>
    <v>Daily</v>
    <v>45420</v>
    <v>45420</v>
    <v>0</v>
    <v>1</v>
    <v>638507232000000000,639087303726268001,0</v>
    <v>0</v>
    <v>ahij52</v>
    <v>XNSE:JUNIORBEES</v>
    <v>958</v>
  </rv>
  <rv s="1">
    <v>1</v>
    <v>JUNIORBEES</v>
    <v>Daily</v>
    <v>45708</v>
    <v>45708</v>
    <v>0</v>
    <v>1</v>
    <v>638756064000000000,639087303726153633,0</v>
    <v>0</v>
    <v>ahij52</v>
    <v>XNSE:JUNIORBEES</v>
    <v>959</v>
  </rv>
  <rv s="1">
    <v>1</v>
    <v>JUNIORBEES</v>
    <v>Daily</v>
    <v>44574</v>
    <v>44574</v>
    <v>0</v>
    <v>1</v>
    <v>637776288000000000,639087303726293022,0</v>
    <v>0</v>
    <v>ahij52</v>
    <v>XNSE:JUNIORBEES</v>
    <v>960</v>
  </rv>
  <rv s="1">
    <v>1</v>
    <v>JUNIORBEES</v>
    <v>Daily</v>
    <v>44749</v>
    <v>44749</v>
    <v>0</v>
    <v>1</v>
    <v>637927488000000000,639087303726302979,0</v>
    <v>0</v>
    <v>ahij52</v>
    <v>XNSE:JUNIORBEES</v>
    <v>961</v>
  </rv>
  <rv s="1">
    <v>1</v>
    <v>JUNIORBEES</v>
    <v>Daily</v>
    <v>44560</v>
    <v>44560</v>
    <v>0</v>
    <v>1</v>
    <v>637764192000000000,639087303727092354,0</v>
    <v>0</v>
    <v>ahij52</v>
    <v>XNSE:JUNIORBEES</v>
    <v>962</v>
  </rv>
  <rv s="1">
    <v>1</v>
    <v>JUNIORBEES</v>
    <v>Daily</v>
    <v>45085</v>
    <v>45085</v>
    <v>0</v>
    <v>1</v>
    <v>638217792000000000,639087303727849045,0</v>
    <v>0</v>
    <v>ahij52</v>
    <v>XNSE:JUNIORBEES</v>
    <v>963</v>
  </rv>
  <rv s="1">
    <v>1</v>
    <v>JUNIORBEES</v>
    <v>Daily</v>
    <v>44630</v>
    <v>44630</v>
    <v>0</v>
    <v>1</v>
    <v>637824672000000000,639087303728247301,0</v>
    <v>0</v>
    <v>ahij52</v>
    <v>XNSE:JUNIORBEES</v>
    <v>964</v>
  </rv>
  <rv s="1">
    <v>1</v>
    <v>JUNIORBEES</v>
    <v>Daily</v>
    <v>45300</v>
    <v>45300</v>
    <v>0</v>
    <v>1</v>
    <v>638403552000000000,639087303728267214,0</v>
    <v>0</v>
    <v>ahij52</v>
    <v>XNSE:JUNIORBEES</v>
    <v>965</v>
  </rv>
  <rv s="1">
    <v>1</v>
    <v>JUNIORBEES</v>
    <v>Daily</v>
    <v>44642</v>
    <v>44642</v>
    <v>0</v>
    <v>1</v>
    <v>637835040000000000,639087303727799283,0</v>
    <v>0</v>
    <v>ahij52</v>
    <v>XNSE:JUNIORBEES</v>
    <v>966</v>
  </rv>
  <rv s="1">
    <v>1</v>
    <v>JUNIORBEES</v>
    <v>Daily</v>
    <v>45763</v>
    <v>45763</v>
    <v>0</v>
    <v>1</v>
    <v>638803584000000000,639087303727829131,0</v>
    <v>0</v>
    <v>ahij52</v>
    <v>XNSE:JUNIORBEES</v>
    <v>967</v>
  </rv>
  <rv s="1">
    <v>1</v>
    <v>JUNIORBEES</v>
    <v>Daily</v>
    <v>44784</v>
    <v>44784</v>
    <v>0</v>
    <v>1</v>
    <v>637957728000000000,639087303727847010,0</v>
    <v>0</v>
    <v>ahij52</v>
    <v>XNSE:JUNIORBEES</v>
    <v>968</v>
  </rv>
  <rv s="1">
    <v>1</v>
    <v>JUNIORBEES</v>
    <v>Daily</v>
    <v>44609</v>
    <v>44609</v>
    <v>0</v>
    <v>1</v>
    <v>637806528000000000,639087303727866924,0</v>
    <v>0</v>
    <v>ahij52</v>
    <v>XNSE:JUNIORBEES</v>
    <v>969</v>
  </rv>
  <rv s="1">
    <v>1</v>
    <v>JUNIORBEES</v>
    <v>Daily</v>
    <v>45146</v>
    <v>45146</v>
    <v>0</v>
    <v>1</v>
    <v>638270496000000000,639087303729758405,0</v>
    <v>0</v>
    <v>ahij52</v>
    <v>XNSE:JUNIORBEES</v>
    <v>970</v>
  </rv>
  <rv s="1">
    <v>1</v>
    <v>JUNIORBEES</v>
    <v>Daily</v>
    <v>45230</v>
    <v>45230</v>
    <v>0</v>
    <v>1</v>
    <v>638343072000000000,639087303730000882,0</v>
    <v>0</v>
    <v>ahij52</v>
    <v>XNSE:JUNIORBEES</v>
    <v>971</v>
  </rv>
  <rv s="1">
    <v>1</v>
    <v>JUNIORBEES</v>
    <v>Daily</v>
    <v>45692</v>
    <v>45692</v>
    <v>0</v>
    <v>1</v>
    <v>638742240000000000,639087303732632653,0</v>
    <v>0</v>
    <v>ahij52</v>
    <v>XNSE:JUNIORBEES</v>
    <v>972</v>
  </rv>
  <rv s="1">
    <v>1</v>
    <v>JUNIORBEES</v>
    <v>Daily</v>
    <v>45190</v>
    <v>45190</v>
    <v>0</v>
    <v>1</v>
    <v>638308512000000000,639087303734060632,0</v>
    <v>0</v>
    <v>ahij52</v>
    <v>XNSE:JUNIORBEES</v>
    <v>973</v>
  </rv>
  <rv s="1">
    <v>1</v>
    <v>JUNIORBEES</v>
    <v>Daily</v>
    <v>45575</v>
    <v>45575</v>
    <v>0</v>
    <v>1</v>
    <v>638641152000000000,639087303734530735,0</v>
    <v>0</v>
    <v>ahij52</v>
    <v>XNSE:JUNIORBEES</v>
    <v>974</v>
  </rv>
  <rv s="1">
    <v>1</v>
    <v>JUNIORBEES</v>
    <v>Daily</v>
    <v>45176</v>
    <v>45176</v>
    <v>0</v>
    <v>1</v>
    <v>638296416000000000,639087303731413409,0</v>
    <v>0</v>
    <v>ahij52</v>
    <v>XNSE:JUNIORBEES</v>
    <v>975</v>
  </rv>
  <rv s="1">
    <v>1</v>
    <v>JUNIORBEES</v>
    <v>Daily</v>
    <v>45687</v>
    <v>45687</v>
    <v>0</v>
    <v>1</v>
    <v>638737920000000000,639087303731570652,0</v>
    <v>0</v>
    <v>ahij52</v>
    <v>XNSE:JUNIORBEES</v>
    <v>976</v>
  </rv>
  <rv s="1">
    <v>1</v>
    <v>JUNIORBEES</v>
    <v>Daily</v>
    <v>44721</v>
    <v>44721</v>
    <v>0</v>
    <v>1</v>
    <v>637903296000000000,639087303731560084,0</v>
    <v>0</v>
    <v>ahij52</v>
    <v>XNSE:JUNIORBEES</v>
    <v>977</v>
  </rv>
  <rv s="1">
    <v>1</v>
    <v>JUNIORBEES</v>
    <v>Daily</v>
    <v>45706</v>
    <v>45706</v>
    <v>0</v>
    <v>1</v>
    <v>638754336000000000,639087303732349407,0</v>
    <v>0</v>
    <v>ahij52</v>
    <v>XNSE:JUNIORBEES</v>
    <v>978</v>
  </rv>
  <rv s="1">
    <v>1</v>
    <v>JUNIORBEES</v>
    <v>Daily</v>
    <v>45743</v>
    <v>45743</v>
    <v>0</v>
    <v>1</v>
    <v>638786304000000000,639087303732740344,0</v>
    <v>0</v>
    <v>ahij52</v>
    <v>XNSE:JUNIORBEES</v>
    <v>979</v>
  </rv>
  <rv s="1">
    <v>1</v>
    <v>JUNIORBEES</v>
    <v>Daily</v>
    <v>45666</v>
    <v>45666</v>
    <v>0</v>
    <v>1</v>
    <v>638719776000000000,639087303732091706,0</v>
    <v>0</v>
    <v>ahij52</v>
    <v>XNSE:JUNIORBEES</v>
    <v>980</v>
  </rv>
  <rv s="1">
    <v>1</v>
    <v>JUNIORBEES</v>
    <v>Daily</v>
    <v>45048</v>
    <v>45048</v>
    <v>0</v>
    <v>1</v>
    <v>638185824000000000,639087303732788654,0</v>
    <v>0</v>
    <v>ahij52</v>
    <v>XNSE:JUNIORBEES</v>
    <v>981</v>
  </rv>
  <rv s="1">
    <v>1</v>
    <v>JUNIORBEES</v>
    <v>Daily</v>
    <v>45771</v>
    <v>45771</v>
    <v>0</v>
    <v>1</v>
    <v>638810496000000000,639087303733017631,0</v>
    <v>0</v>
    <v>ahij52</v>
    <v>XNSE:JUNIORBEES</v>
    <v>982</v>
  </rv>
  <rv s="1">
    <v>1</v>
    <v>JUNIORBEES</v>
    <v>Daily</v>
    <v>44679</v>
    <v>44679</v>
    <v>0</v>
    <v>1</v>
    <v>637867008000000000,639087303731510377,0</v>
    <v>0</v>
    <v>ahij52</v>
    <v>XNSE:JUNIORBEES</v>
    <v>983</v>
  </rv>
  <rv s="1">
    <v>1</v>
    <v>JUNIORBEES</v>
    <v>Daily</v>
    <v>45168</v>
    <v>45168</v>
    <v>0</v>
    <v>1</v>
    <v>638289504000000000,639087303734519891,0</v>
    <v>0</v>
    <v>ahij52</v>
    <v>XNSE:JUNIORBEES</v>
    <v>984</v>
  </rv>
  <rv s="1">
    <v>1</v>
    <v>JUNIORBEES</v>
    <v>Daily</v>
    <v>45057</v>
    <v>45057</v>
    <v>0</v>
    <v>1</v>
    <v>638193600000000000,639087303735480094,0</v>
    <v>0</v>
    <v>ahij52</v>
    <v>XNSE:JUNIORBEES</v>
    <v>985</v>
  </rv>
  <rv s="1">
    <v>1</v>
    <v>JUNIORBEES</v>
    <v>Daily</v>
    <v>44700</v>
    <v>44700</v>
    <v>0</v>
    <v>1</v>
    <v>637885152000000000,639087303735960201,0</v>
    <v>0</v>
    <v>ahij52</v>
    <v>XNSE:JUNIORBEES</v>
    <v>986</v>
  </rv>
  <rv s="1">
    <v>1</v>
    <v>JUNIORBEES</v>
    <v>Daily</v>
    <v>44714</v>
    <v>44714</v>
    <v>0</v>
    <v>1</v>
    <v>637897248000000000,639087303732160132,0</v>
    <v>0</v>
    <v>ahij52</v>
    <v>XNSE:JUNIORBEES</v>
    <v>987</v>
  </rv>
  <rv s="1">
    <v>1</v>
    <v>JUNIORBEES</v>
    <v>Daily</v>
    <v>44719</v>
    <v>44719</v>
    <v>0</v>
    <v>1</v>
    <v>637901568000000000,639087303732050604,0</v>
    <v>0</v>
    <v>ahij52</v>
    <v>XNSE:JUNIORBEES</v>
    <v>988</v>
  </rv>
  <rv s="1">
    <v>1</v>
    <v>JUNIORBEES</v>
    <v>Daily</v>
    <v>45483</v>
    <v>45483</v>
    <v>0</v>
    <v>1</v>
    <v>638561664000000000,639087303732078426,0</v>
    <v>0</v>
    <v>ahij52</v>
    <v>XNSE:JUNIORBEES</v>
    <v>989</v>
  </rv>
  <rv s="1">
    <v>1</v>
    <v>JUNIORBEES</v>
    <v>Daily</v>
    <v>45728</v>
    <v>45728</v>
    <v>0</v>
    <v>1</v>
    <v>638773344000000000,639087303732217271,0</v>
    <v>0</v>
    <v>ahij52</v>
    <v>XNSE:JUNIORBEES</v>
    <v>990</v>
  </rv>
  <rv s="1">
    <v>1</v>
    <v>JUNIORBEES</v>
    <v>Daily</v>
    <v>45378</v>
    <v>45378</v>
    <v>0</v>
    <v>1</v>
    <v>638470944000000000,639087303732687818,0</v>
    <v>0</v>
    <v>ahij52</v>
    <v>XNSE:JUNIORBEES</v>
    <v>991</v>
  </rv>
  <rv s="1">
    <v>1</v>
    <v>JUNIORBEES</v>
    <v>Daily</v>
    <v>45546</v>
    <v>45546</v>
    <v>0</v>
    <v>1</v>
    <v>638616096000000000,639087303733285194,0</v>
    <v>0</v>
    <v>ahij52</v>
    <v>XNSE:JUNIORBEES</v>
    <v>992</v>
  </rv>
  <rv s="1">
    <v>1</v>
    <v>JUNIORBEES</v>
    <v>Daily</v>
    <v>45069</v>
    <v>45069</v>
    <v>0</v>
    <v>1</v>
    <v>638203968000000000,639087303733442455,0</v>
    <v>0</v>
    <v>ahij52</v>
    <v>XNSE:JUNIORBEES</v>
    <v>993</v>
  </rv>
  <rv s="1">
    <v>1</v>
    <v>JUNIORBEES</v>
    <v>Daily</v>
    <v>45196</v>
    <v>45196</v>
    <v>0</v>
    <v>1</v>
    <v>638313696000000000,639087303736518373,0</v>
    <v>0</v>
    <v>ahij52</v>
    <v>XNSE:JUNIORBEES</v>
    <v>994</v>
  </rv>
  <rv s="1">
    <v>1</v>
    <v>JUNIORBEES</v>
    <v>Daily</v>
    <v>44658</v>
    <v>44658</v>
    <v>0</v>
    <v>1</v>
    <v>637848864000000000,639087303736966405,0</v>
    <v>0</v>
    <v>ahij52</v>
    <v>XNSE:JUNIORBEES</v>
    <v>995</v>
  </rv>
  <rv s="1">
    <v>1</v>
    <v>JUNIORBEES</v>
    <v>Daily</v>
    <v>44917</v>
    <v>44917</v>
    <v>0</v>
    <v>1</v>
    <v>638072640000000000,639087303741211364,0</v>
    <v>0</v>
    <v>ahij52</v>
    <v>XNSE:JUNIORBEES</v>
    <v>996</v>
  </rv>
  <rv s="1">
    <v>1</v>
    <v>JUNIORBEES</v>
    <v>Daily</v>
    <v>44796</v>
    <v>44796</v>
    <v>0</v>
    <v>1</v>
    <v>637968096000000000,639087303738980875,0</v>
    <v>0</v>
    <v>ahij52</v>
    <v>XNSE:JUNIORBEES</v>
    <v>997</v>
  </rv>
  <rv s="1">
    <v>1</v>
    <v>JUNIORBEES</v>
    <v>Daily</v>
    <v>45538</v>
    <v>45538</v>
    <v>0</v>
    <v>1</v>
    <v>638609184000000000,639087303738910857,0</v>
    <v>0</v>
    <v>ahij52</v>
    <v>XNSE:JUNIORBEES</v>
    <v>998</v>
  </rv>
  <rv s="1">
    <v>1</v>
    <v>JUNIORBEES</v>
    <v>Daily</v>
    <v>45462</v>
    <v>45462</v>
    <v>0</v>
    <v>1</v>
    <v>638543520000000000,639087303738350722,0</v>
    <v>0</v>
    <v>ahij52</v>
    <v>XNSE:JUNIORBEES</v>
    <v>999</v>
  </rv>
  <rv s="1">
    <v>1</v>
    <v>JUNIORBEES</v>
    <v>Daily</v>
    <v>45210</v>
    <v>45210</v>
    <v>0</v>
    <v>1</v>
    <v>638325792000000000,639087303738589681,0</v>
    <v>0</v>
    <v>ahij52</v>
    <v>XNSE:JUNIORBEES</v>
    <v>1000</v>
  </rv>
  <rv s="1">
    <v>1</v>
    <v>JUNIORBEES</v>
    <v>Daily</v>
    <v>45539</v>
    <v>45539</v>
    <v>0</v>
    <v>1</v>
    <v>638610048000000000,639087303737715753,0</v>
    <v>0</v>
    <v>ahij52</v>
    <v>XNSE:JUNIORBEES</v>
    <v>1001</v>
  </rv>
  <rv s="1">
    <v>1</v>
    <v>JUNIORBEES</v>
    <v>Daily</v>
    <v>45659</v>
    <v>45659</v>
    <v>0</v>
    <v>1</v>
    <v>638713728000000000,639087303738014440,0</v>
    <v>0</v>
    <v>ahij52</v>
    <v>XNSE:JUNIORBEES</v>
    <v>1002</v>
  </rv>
  <rv s="1">
    <v>1</v>
    <v>JUNIORBEES</v>
    <v>Daily</v>
    <v>45657</v>
    <v>45657</v>
    <v>0</v>
    <v>1</v>
    <v>638712000000000000,639087303739077716,0</v>
    <v>0</v>
    <v>ahij52</v>
    <v>XNSE:JUNIORBEES</v>
    <v>1003</v>
  </rv>
  <rv s="1">
    <v>1</v>
    <v>JUNIORBEES</v>
    <v>Daily</v>
    <v>45329</v>
    <v>45329</v>
    <v>0</v>
    <v>1</v>
    <v>638428608000000000,639087303738161738,0</v>
    <v>0</v>
    <v>ahij52</v>
    <v>XNSE:JUNIORBEES</v>
    <v>1004</v>
  </rv>
  <rv s="1">
    <v>1</v>
    <v>JUNIORBEES</v>
    <v>Daily</v>
    <v>45321</v>
    <v>45321</v>
    <v>0</v>
    <v>1</v>
    <v>638421696000000000,639087303738490290,0</v>
    <v>0</v>
    <v>ahij52</v>
    <v>XNSE:JUNIORBEES</v>
    <v>1005</v>
  </rv>
  <rv s="1">
    <v>1</v>
    <v>JUNIORBEES</v>
    <v>Daily</v>
    <v>45664</v>
    <v>45664</v>
    <v>0</v>
    <v>1</v>
    <v>638718048000000000,639087303738808899,0</v>
    <v>0</v>
    <v>ahij52</v>
    <v>XNSE:JUNIORBEES</v>
    <v>1006</v>
  </rv>
  <rv s="1">
    <v>1</v>
    <v>JUNIORBEES</v>
    <v>Daily</v>
    <v>44868</v>
    <v>44868</v>
    <v>0</v>
    <v>1</v>
    <v>638030304000000000,639087303739110902,0</v>
    <v>0</v>
    <v>ahij52</v>
    <v>XNSE:JUNIORBEES</v>
    <v>1007</v>
  </rv>
  <rv s="1">
    <v>1</v>
    <v>JUNIORBEES</v>
    <v>Daily</v>
    <v>44672</v>
    <v>44672</v>
    <v>0</v>
    <v>1</v>
    <v>637860960000000000,639087303740061109,0</v>
    <v>0</v>
    <v>ahij52</v>
    <v>XNSE:JUNIORBEES</v>
    <v>1008</v>
  </rv>
  <rv s="1">
    <v>1</v>
    <v>JUNIORBEES</v>
    <v>Daily</v>
    <v>45484</v>
    <v>45484</v>
    <v>0</v>
    <v>1</v>
    <v>638562528000000000,639087303741961523,0</v>
    <v>0</v>
    <v>ahij52</v>
    <v>XNSE:JUNIORBEES</v>
    <v>1009</v>
  </rv>
  <rv s="1">
    <v>1</v>
    <v>JUNIORBEES</v>
    <v>Daily</v>
    <v>44789</v>
    <v>44789</v>
    <v>0</v>
    <v>1</v>
    <v>637962048000000000,639087303742441647,0</v>
    <v>0</v>
    <v>ahij52</v>
    <v>XNSE:JUNIORBEES</v>
    <v>1010</v>
  </rv>
  <rv s="1">
    <v>1</v>
    <v>JUNIORBEES</v>
    <v>Daily</v>
    <v>45652</v>
    <v>45652</v>
    <v>0</v>
    <v>1</v>
    <v>638707680000000000,639087303738240798,0</v>
    <v>0</v>
    <v>ahij52</v>
    <v>XNSE:JUNIORBEES</v>
    <v>1011</v>
  </rv>
  <rv s="1">
    <v>1</v>
    <v>JUNIORBEES</v>
    <v>Daily</v>
    <v>45379</v>
    <v>45379</v>
    <v>0</v>
    <v>1</v>
    <v>638471808000000000,639087303738340367,0</v>
    <v>0</v>
    <v>ahij52</v>
    <v>XNSE:JUNIORBEES</v>
    <v>1012</v>
  </rv>
  <rv s="1">
    <v>1</v>
    <v>JUNIORBEES</v>
    <v>Daily</v>
    <v>45239</v>
    <v>45239</v>
    <v>0</v>
    <v>1</v>
    <v>638350848000000000,639087303738360286,0</v>
    <v>0</v>
    <v>ahij52</v>
    <v>XNSE:JUNIORBEES</v>
    <v>1013</v>
  </rv>
  <rv s="1">
    <v>1</v>
    <v>JUNIORBEES</v>
    <v>Daily</v>
    <v>45735</v>
    <v>45735</v>
    <v>0</v>
    <v>1</v>
    <v>638779392000000000,639087303748360262,0</v>
    <v>0</v>
    <v>ahij52</v>
    <v>XNSE:JUNIORBEES</v>
    <v>1014</v>
  </rv>
  <rv s="1">
    <v>1</v>
    <v>JUNIORBEES</v>
    <v>Daily</v>
    <v>45470</v>
    <v>45470</v>
    <v>0</v>
    <v>1</v>
    <v>638550432000000000,639087303748589257,0</v>
    <v>0</v>
    <v>ahij52</v>
    <v>XNSE:JUNIORBEES</v>
    <v>1015</v>
  </rv>
  <rv s="1">
    <v>1</v>
    <v>JUNIORBEES</v>
    <v>Daily</v>
    <v>45701</v>
    <v>45701</v>
    <v>0</v>
    <v>1</v>
    <v>638750016000000000,639087303749057214,0</v>
    <v>0</v>
    <v>ahij52</v>
    <v>XNSE:JUNIORBEES</v>
    <v>1016</v>
  </rv>
  <rv s="1">
    <v>1</v>
    <v>JUNIORBEES</v>
    <v>Daily</v>
    <v>44763</v>
    <v>44763</v>
    <v>0</v>
    <v>1</v>
    <v>637939584000000000,639087303749754142,0</v>
    <v>0</v>
    <v>ahij52</v>
    <v>XNSE:JUNIORBEES</v>
    <v>1017</v>
  </rv>
  <rv s="1">
    <v>1</v>
    <v>JUNIORBEES</v>
    <v>Daily</v>
    <v>45280</v>
    <v>45280</v>
    <v>0</v>
    <v>1</v>
    <v>638386272000000000,639087303748366374,0</v>
    <v>0</v>
    <v>ahij52</v>
    <v>XNSE:JUNIORBEES</v>
    <v>1018</v>
  </rv>
  <rv s="1">
    <v>1</v>
    <v>JUNIORBEES</v>
    <v>Daily</v>
    <v>45559</v>
    <v>45559</v>
    <v>0</v>
    <v>1</v>
    <v>638627328000000000,639087303748576004,0</v>
    <v>0</v>
    <v>ahij52</v>
    <v>XNSE:JUNIORBEES</v>
    <v>1019</v>
  </rv>
  <rv s="1">
    <v>1</v>
    <v>JUNIORBEES</v>
    <v>Daily</v>
    <v>44999</v>
    <v>44999</v>
    <v>0</v>
    <v>1</v>
    <v>638143488000000000,639087303750439861,0</v>
    <v>0</v>
    <v>ahij52</v>
    <v>XNSE:JUNIORBEES</v>
    <v>1020</v>
  </rv>
  <rv s="1">
    <v>1</v>
    <v>JUNIORBEES</v>
    <v>Daily</v>
    <v>44733</v>
    <v>44733</v>
    <v>0</v>
    <v>1</v>
    <v>637913664000000000,639087303750599168,0</v>
    <v>0</v>
    <v>ahij52</v>
    <v>XNSE:JUNIORBEES</v>
    <v>1021</v>
  </rv>
  <rv s="1">
    <v>1</v>
    <v>JUNIORBEES</v>
    <v>Daily</v>
    <v>45314</v>
    <v>45314</v>
    <v>0</v>
    <v>1</v>
    <v>638415648000000000,639087303749242442,0</v>
    <v>0</v>
    <v>ahij52</v>
    <v>XNSE:JUNIORBEES</v>
    <v>1022</v>
  </rv>
  <rv s="1">
    <v>1</v>
    <v>JUNIORBEES</v>
    <v>Daily</v>
    <v>45511</v>
    <v>45511</v>
    <v>0</v>
    <v>1</v>
    <v>638585856000000000,639087303749243094,0</v>
    <v>0</v>
    <v>ahij52</v>
    <v>XNSE:JUNIORBEES</v>
    <v>1023</v>
  </rv>
  <rv s="1">
    <v>1</v>
    <v>JUNIORBEES</v>
    <v>Daily</v>
    <v>44847</v>
    <v>44847</v>
    <v>0</v>
    <v>1</v>
    <v>638012160000000000,639087303751366721,0</v>
    <v>0</v>
    <v>ahij52</v>
    <v>XNSE:JUNIORBEES</v>
    <v>1024</v>
  </rv>
  <rv s="1">
    <v>1</v>
    <v>JUNIORBEES</v>
    <v>Daily</v>
    <v>45469</v>
    <v>45469</v>
    <v>0</v>
    <v>1</v>
    <v>638549568000000000,639087303752336929,0</v>
    <v>0</v>
    <v>ahij52</v>
    <v>XNSE:JUNIORBEES</v>
    <v>1025</v>
  </rv>
  <rv s="1">
    <v>1</v>
    <v>JUNIORBEES</v>
    <v>Daily</v>
    <v>44929</v>
    <v>44929</v>
    <v>0</v>
    <v>1</v>
    <v>638083008000000000,639087303754257346,0</v>
    <v>0</v>
    <v>ahij52</v>
    <v>XNSE:JUNIORBEES</v>
    <v>1026</v>
  </rv>
  <rv s="1">
    <v>1</v>
    <v>JUNIORBEES</v>
    <v>Daily</v>
    <v>45181</v>
    <v>45181</v>
    <v>0</v>
    <v>1</v>
    <v>638300736000000000,639087303750318290,0</v>
    <v>0</v>
    <v>ahij52</v>
    <v>XNSE:JUNIORBEES</v>
    <v>1027</v>
  </rv>
  <rv s="1">
    <v>1</v>
    <v>JUNIORBEES</v>
    <v>Daily</v>
    <v>45364</v>
    <v>45364</v>
    <v>0</v>
    <v>1</v>
    <v>638458848000000000,639087303751025189,0</v>
    <v>0</v>
    <v>ahij52</v>
    <v>XNSE:JUNIORBEES</v>
    <v>1028</v>
  </rv>
  <rv s="1">
    <v>1</v>
    <v>JUNIORBEES</v>
    <v>Daily</v>
    <v>44803</v>
    <v>44803</v>
    <v>0</v>
    <v>1</v>
    <v>637974144000000000,639087303752193430,0</v>
    <v>0</v>
    <v>ahij52</v>
    <v>XNSE:JUNIORBEES</v>
    <v>1029</v>
  </rv>
  <rv s="1">
    <v>1</v>
    <v>JUNIORBEES</v>
    <v>Daily</v>
    <v>44875</v>
    <v>44875</v>
    <v>0</v>
    <v>1</v>
    <v>638036352000000000,639087303750760418,0</v>
    <v>0</v>
    <v>ahij52</v>
    <v>XNSE:JUNIORBEES</v>
    <v>1030</v>
  </rv>
  <rv s="1">
    <v>1</v>
    <v>JUNIORBEES</v>
    <v>Daily</v>
    <v>44966</v>
    <v>44966</v>
    <v>0</v>
    <v>1</v>
    <v>638114976000000000,639087303750800245,0</v>
    <v>0</v>
    <v>ahij52</v>
    <v>XNSE:JUNIORBEES</v>
    <v>1031</v>
  </rv>
  <rv s="1">
    <v>1</v>
    <v>JUNIORBEES</v>
    <v>Daily</v>
    <v>45370</v>
    <v>45370</v>
    <v>0</v>
    <v>1</v>
    <v>638464032000000000,639087303750909764,0</v>
    <v>0</v>
    <v>ahij52</v>
    <v>XNSE:JUNIORBEES</v>
    <v>1032</v>
  </rv>
  <rv s="1">
    <v>1</v>
    <v>JUNIORBEES</v>
    <v>Daily</v>
    <v>45126</v>
    <v>45126</v>
    <v>0</v>
    <v>1</v>
    <v>638253216000000000,639087303752648070,0</v>
    <v>0</v>
    <v>ahij52</v>
    <v>XNSE:JUNIORBEES</v>
    <v>1033</v>
  </rv>
  <rv s="1">
    <v>1</v>
    <v>JUNIORBEES</v>
    <v>Daily</v>
    <v>45636</v>
    <v>45636</v>
    <v>0</v>
    <v>1</v>
    <v>638693856000000000,639087303752877076,0</v>
    <v>0</v>
    <v>ahij52</v>
    <v>XNSE:JUNIORBEES</v>
    <v>1034</v>
  </rv>
  <rv s="1">
    <v>1</v>
    <v>JUNIORBEES</v>
    <v>Daily</v>
    <v>45777</v>
    <v>45777</v>
    <v>0</v>
    <v>1</v>
    <v>638815680000000000,639087303753345027,0</v>
    <v>0</v>
    <v>ahij52</v>
    <v>XNSE:JUNIORBEES</v>
    <v>1035</v>
  </rv>
  <rv s="1">
    <v>1</v>
    <v>JUNIORBEES</v>
    <v>Daily</v>
    <v>45503</v>
    <v>45503</v>
    <v>0</v>
    <v>1</v>
    <v>638578944000000000,639087303754280921,0</v>
    <v>0</v>
    <v>ahij52</v>
    <v>XNSE:JUNIORBEES</v>
    <v>1036</v>
  </rv>
  <rv s="1">
    <v>1</v>
    <v>JUNIORBEES</v>
    <v>Daily</v>
    <v>45517</v>
    <v>45517</v>
    <v>0</v>
    <v>1</v>
    <v>638591040000000000,639087303755116720,0</v>
    <v>0</v>
    <v>ahij52</v>
    <v>XNSE:JUNIORBEES</v>
    <v>1037</v>
  </rv>
  <rv s="1">
    <v>1</v>
    <v>JUNIORBEES</v>
    <v>Daily</v>
    <v>45560</v>
    <v>45560</v>
    <v>0</v>
    <v>1</v>
    <v>638628192000000000,639087303755248762,0</v>
    <v>0</v>
    <v>ahij52</v>
    <v>XNSE:JUNIORBEES</v>
    <v>1038</v>
  </rv>
  <rv s="1">
    <v>1</v>
    <v>JUNIORBEES</v>
    <v>Daily</v>
    <v>44511</v>
    <v>44511</v>
    <v>0</v>
    <v>1</v>
    <v>637721856000000000,639087303758137317,0</v>
    <v>0</v>
    <v>ahij52</v>
    <v>XNSE:JUNIORBEES</v>
    <v>1039</v>
  </rv>
  <rv s="1">
    <v>1</v>
    <v>JUNIORBEES</v>
    <v>Daily</v>
    <v>45491</v>
    <v>45491</v>
    <v>0</v>
    <v>1</v>
    <v>638568576000000000,639087303759089822,0</v>
    <v>0</v>
    <v>ahij52</v>
    <v>XNSE:JUNIORBEES</v>
    <v>1040</v>
  </rv>
  <rv s="1">
    <v>1</v>
    <v>JUNIORBEES</v>
    <v>Daily</v>
    <v>45391</v>
    <v>45391</v>
    <v>0</v>
    <v>1</v>
    <v>638482176000000000,639087303757346924,0</v>
    <v>0</v>
    <v>ahij52</v>
    <v>XNSE:JUNIORBEES</v>
    <v>1041</v>
  </rv>
  <rv s="1">
    <v>1</v>
    <v>JUNIORBEES</v>
    <v>Daily</v>
    <v>45175</v>
    <v>45175</v>
    <v>0</v>
    <v>1</v>
    <v>638295552000000000,639087303757409293,0</v>
    <v>0</v>
    <v>ahij52</v>
    <v>XNSE:JUNIORBEES</v>
    <v>1042</v>
  </rv>
  <rv s="1">
    <v>1</v>
    <v>JUNIORBEES</v>
    <v>Daily</v>
    <v>45330</v>
    <v>45330</v>
    <v>0</v>
    <v>1</v>
    <v>638429472000000000,639087303757439160,0</v>
    <v>0</v>
    <v>ahij52</v>
    <v>XNSE:JUNIORBEES</v>
    <v>1043</v>
  </rv>
  <rv s="1">
    <v>1</v>
    <v>JUNIORBEES</v>
    <v>Daily</v>
    <v>45512</v>
    <v>45512</v>
    <v>0</v>
    <v>1</v>
    <v>638586720000000000,639087303757508850,0</v>
    <v>0</v>
    <v>ahij52</v>
    <v>XNSE:JUNIORBEES</v>
    <v>1044</v>
  </rv>
  <rv s="1">
    <v>1</v>
    <v>JUNIORBEES</v>
    <v>Daily</v>
    <v>45357</v>
    <v>45357</v>
    <v>0</v>
    <v>1</v>
    <v>638452800000000000,639087303757496254,0</v>
    <v>0</v>
    <v>ahij52</v>
    <v>XNSE:JUNIORBEES</v>
    <v>1045</v>
  </rv>
  <rv s="1">
    <v>1</v>
    <v>JUNIORBEES</v>
    <v>Daily</v>
    <v>45434</v>
    <v>45434</v>
    <v>0</v>
    <v>1</v>
    <v>638519328000000000,639087303757570509,0</v>
    <v>0</v>
    <v>ahij52</v>
    <v>XNSE:JUNIORBEES</v>
    <v>1046</v>
  </rv>
  <rv s="1">
    <v>1</v>
    <v>JUNIORBEES</v>
    <v>Daily</v>
    <v>45281</v>
    <v>45281</v>
    <v>0</v>
    <v>1</v>
    <v>638387136000000000,639087303757725245,0</v>
    <v>0</v>
    <v>ahij52</v>
    <v>XNSE:JUNIORBEES</v>
    <v>1047</v>
  </rv>
  <rv s="1">
    <v>1</v>
    <v>JUNIORBEES</v>
    <v>Daily</v>
    <v>45133</v>
    <v>45133</v>
    <v>0</v>
    <v>1</v>
    <v>638259264000000000,639087303757749743,0</v>
    <v>0</v>
    <v>ahij52</v>
    <v>XNSE:JUNIORBEES</v>
    <v>1048</v>
  </rv>
  <rv s="1">
    <v>1</v>
    <v>JUNIORBEES</v>
    <v>Daily</v>
    <v>45328</v>
    <v>45328</v>
    <v>0</v>
    <v>1</v>
    <v>638427744000000000,639087303757775024,0</v>
    <v>0</v>
    <v>ahij52</v>
    <v>XNSE:JUNIORBEES</v>
    <v>1049</v>
  </rv>
  <rv s="1">
    <v>1</v>
    <v>JUNIORBEES</v>
    <v>Daily</v>
    <v>45624</v>
    <v>45624</v>
    <v>0</v>
    <v>1</v>
    <v>638683488000000000,639087303757794929,0</v>
    <v>0</v>
    <v>ahij52</v>
    <v>XNSE:JUNIORBEES</v>
    <v>1050</v>
  </rv>
  <rv s="1">
    <v>1</v>
    <v>JUNIORBEES</v>
    <v>Daily</v>
    <v>45518</v>
    <v>45518</v>
    <v>0</v>
    <v>1</v>
    <v>638591904000000000,639087303758598285,0</v>
    <v>0</v>
    <v>ahij52</v>
    <v>XNSE:JUNIORBEES</v>
    <v>1051</v>
  </rv>
  <rv s="1">
    <v>1</v>
    <v>JUNIORBEES</v>
    <v>Daily</v>
    <v>45609</v>
    <v>45609</v>
    <v>0</v>
    <v>1</v>
    <v>638670528000000000,639087303762829211,0</v>
    <v>0</v>
    <v>ahij52</v>
    <v>XNSE:JUNIORBEES</v>
    <v>1052</v>
  </rv>
  <rv s="1">
    <v>1</v>
    <v>JUNIORBEES</v>
    <v>Daily</v>
    <v>44707</v>
    <v>44707</v>
    <v>0</v>
    <v>1</v>
    <v>637891200000000000,639087303759808547,0</v>
    <v>0</v>
    <v>ahij52</v>
    <v>XNSE:JUNIORBEES</v>
    <v>1053</v>
  </rv>
  <rv s="1">
    <v>1</v>
    <v>JUNIORBEES</v>
    <v>Daily</v>
    <v>44861</v>
    <v>44861</v>
    <v>0</v>
    <v>1</v>
    <v>638024256000000000,639087303760225612,0</v>
    <v>0</v>
    <v>ahij52</v>
    <v>XNSE:JUNIORBEES</v>
    <v>1054</v>
  </rv>
  <rv s="1">
    <v>1</v>
    <v>JUNIORBEES</v>
    <v>Daily</v>
    <v>45426</v>
    <v>45426</v>
    <v>0</v>
    <v>1</v>
    <v>638512416000000000,639087303764717345,0</v>
    <v>0</v>
    <v>ahij52</v>
    <v>XNSE:JUNIORBEES</v>
    <v>1055</v>
  </rv>
  <rv s="1">
    <v>1</v>
    <v>JUNIORBEES</v>
    <v>Daily</v>
    <v>45722</v>
    <v>45722</v>
    <v>0</v>
    <v>1</v>
    <v>638768160000000000,639087303765187447,0</v>
    <v>0</v>
    <v>ahij52</v>
    <v>XNSE:JUNIORBEES</v>
    <v>923</v>
  </rv>
  <rv s="1">
    <v>1</v>
    <v>JUNIORBEES</v>
    <v>Daily</v>
    <v>45209</v>
    <v>45209</v>
    <v>0</v>
    <v>1</v>
    <v>638324928000000000,639087303763179276,0</v>
    <v>0</v>
    <v>ahij52</v>
    <v>XNSE:JUNIORBEES</v>
    <v>1056</v>
  </rv>
  <rv s="1">
    <v>1</v>
    <v>JUNIORBEES</v>
    <v>Daily</v>
    <v>45421</v>
    <v>45421</v>
    <v>0</v>
    <v>1</v>
    <v>638508096000000000,639087303761630739,0</v>
    <v>0</v>
    <v>ahij52</v>
    <v>XNSE:JUNIORBEES</v>
    <v>1057</v>
  </rv>
  <rv s="1">
    <v>1</v>
    <v>JUNIORBEES</v>
    <v>Daily</v>
    <v>45356</v>
    <v>45356</v>
    <v>0</v>
    <v>1</v>
    <v>638451936000000000,639087303761650653,0</v>
    <v>0</v>
    <v>ahij52</v>
    <v>XNSE:JUNIORBEES</v>
    <v>1058</v>
  </rv>
  <rv s="1">
    <v>1</v>
    <v>JUNIORBEES</v>
    <v>Daily</v>
    <v>45336</v>
    <v>45336</v>
    <v>0</v>
    <v>1</v>
    <v>638434656000000000,639087303763089258,0</v>
    <v>0</v>
    <v>ahij52</v>
    <v>XNSE:JUNIORBEES</v>
    <v>1059</v>
  </rv>
  <rv s="1">
    <v>1</v>
    <v>JUNIORBEES</v>
    <v>Daily</v>
    <v>45589</v>
    <v>45589</v>
    <v>0</v>
    <v>1</v>
    <v>638653248000000000,639087303763569364,0</v>
    <v>0</v>
    <v>ahij52</v>
    <v>XNSE:JUNIORBEES</v>
    <v>1060</v>
  </rv>
  <rv s="1">
    <v>1</v>
    <v>JUNIORBEES</v>
    <v>Daily</v>
    <v>44747</v>
    <v>44747</v>
    <v>0</v>
    <v>1</v>
    <v>637925760000000000,639087303764979670,0</v>
    <v>0</v>
    <v>ahij52</v>
    <v>XNSE:JUNIORBEES</v>
    <v>1061</v>
  </rv>
  <rv s="1">
    <v>1</v>
    <v>JUNIORBEES</v>
    <v>Daily</v>
    <v>45461</v>
    <v>45461</v>
    <v>0</v>
    <v>1</v>
    <v>638542656000000000,639087303765449771,0</v>
    <v>0</v>
    <v>ahij52</v>
    <v>XNSE:JUNIORBEES</v>
    <v>1062</v>
  </rv>
  <rv s="1">
    <v>1</v>
    <v>JUNIORBEES</v>
    <v>Daily</v>
    <v>44994</v>
    <v>44994</v>
    <v>0</v>
    <v>1</v>
    <v>638139168000000000,639087303766079907,0</v>
    <v>0</v>
    <v>ahij52</v>
    <v>XNSE:JUNIORBEES</v>
    <v>1063</v>
  </rv>
  <rv s="1">
    <v>1</v>
    <v>JUNIORBEES</v>
    <v>Daily</v>
    <v>45785</v>
    <v>45785</v>
    <v>0</v>
    <v>1</v>
    <v>638822592000000000,639087303767957358,0</v>
    <v>0</v>
    <v>ahij52</v>
    <v>XNSE:JUNIORBEES</v>
    <v>1064</v>
  </rv>
  <rv s="1">
    <v>1</v>
    <v>JUNIORBEES</v>
    <v>Daily</v>
    <v>44670</v>
    <v>44670</v>
    <v>0</v>
    <v>1</v>
    <v>637859232000000000,639087303764956132,0</v>
    <v>0</v>
    <v>ahij52</v>
    <v>XNSE:JUNIORBEES</v>
    <v>1065</v>
  </rv>
  <rv s="1">
    <v>1</v>
    <v>JUNIORBEES</v>
    <v>Daily</v>
    <v>44838</v>
    <v>44838</v>
    <v>0</v>
    <v>1</v>
    <v>638004384000000000,639087303765949194,0</v>
    <v>0</v>
    <v>ahij52</v>
    <v>XNSE:JUNIORBEES</v>
    <v>1066</v>
  </rv>
  <rv s="1">
    <v>1</v>
    <v>JUNIORBEES</v>
    <v>Daily</v>
    <v>45092</v>
    <v>45092</v>
    <v>0</v>
    <v>1</v>
    <v>638223840000000000,639087303766270355,0</v>
    <v>0</v>
    <v>ahij52</v>
    <v>XNSE:JUNIORBEES</v>
    <v>1067</v>
  </rv>
  <rv s="1">
    <v>1</v>
    <v>JUNIORBEES</v>
    <v>Daily</v>
    <v>44824</v>
    <v>44824</v>
    <v>0</v>
    <v>1</v>
    <v>637992288000000000,639087303766706464,0</v>
    <v>0</v>
    <v>ahij52</v>
    <v>XNSE:JUNIORBEES</v>
    <v>1068</v>
  </rv>
  <rv s="1">
    <v>1</v>
    <v>JUNIORBEES</v>
    <v>Daily</v>
    <v>45351</v>
    <v>45351</v>
    <v>0</v>
    <v>1</v>
    <v>638447616000000000,639087303766988443,0</v>
    <v>0</v>
    <v>ahij52</v>
    <v>XNSE:JUNIORBEES</v>
    <v>1069</v>
  </rv>
  <rv s="1">
    <v>1</v>
    <v>JUNIORBEES</v>
    <v>Daily</v>
    <v>44896</v>
    <v>44896</v>
    <v>0</v>
    <v>1</v>
    <v>638054496000000000,639087303769265099,0</v>
    <v>0</v>
    <v>ahij52</v>
    <v>XNSE:JUNIORBEES</v>
    <v>1070</v>
  </rv>
  <rv s="1">
    <v>1</v>
    <v>JUNIORBEES</v>
    <v>Daily</v>
    <v>44518</v>
    <v>44518</v>
    <v>0</v>
    <v>1</v>
    <v>637727904000000000,639087303769424408,0</v>
    <v>0</v>
    <v>ahij52</v>
    <v>XNSE:JUNIORBEES</v>
    <v>1071</v>
  </rv>
  <rv s="1">
    <v>1</v>
    <v>JUNIORBEES</v>
    <v>Daily</v>
    <v>45643</v>
    <v>45643</v>
    <v>0</v>
    <v>1</v>
    <v>638699904000000000,639087303769872438,0</v>
    <v>0</v>
    <v>ahij52</v>
    <v>XNSE:JUNIORBEES</v>
    <v>1072</v>
  </rv>
  <rv s="1">
    <v>1</v>
    <v>JUNIORBEES</v>
    <v>Daily</v>
    <v>45371</v>
    <v>45371</v>
    <v>0</v>
    <v>1</v>
    <v>638464896000000000,639087303769058108,0</v>
    <v>0</v>
    <v>ahij52</v>
    <v>XNSE:JUNIORBEES</v>
    <v>1073</v>
  </rv>
  <rv s="1">
    <v>1</v>
    <v>JUNIORBEES</v>
    <v>Daily</v>
    <v>45001</v>
    <v>45001</v>
    <v>0</v>
    <v>1</v>
    <v>638145216000000000,639087303770340832,0</v>
    <v>0</v>
    <v>ahij52</v>
    <v>XNSE:JUNIORBEES</v>
    <v>1074</v>
  </rv>
  <rv s="1">
    <v>1</v>
    <v>JUNIORBEES</v>
    <v>Daily</v>
    <v>45027</v>
    <v>45027</v>
    <v>0</v>
    <v>1</v>
    <v>638167680000000000,639087303772011193,0</v>
    <v>0</v>
    <v>ahij52</v>
    <v>XNSE:JUNIORBEES</v>
    <v>1075</v>
  </rv>
  <rv s="1">
    <v>1</v>
    <v>JUNIORBEES</v>
    <v>Daily</v>
    <v>44581</v>
    <v>44581</v>
    <v>0</v>
    <v>1</v>
    <v>637782336000000000,639087303770304540,0</v>
    <v>0</v>
    <v>ahij52</v>
    <v>XNSE:JUNIORBEES</v>
    <v>1076</v>
  </rv>
  <rv s="1">
    <v>1</v>
    <v>JUNIORBEES</v>
    <v>Daily</v>
    <v>44637</v>
    <v>44637</v>
    <v>0</v>
    <v>1</v>
    <v>637830720000000000,639087303770334911,0</v>
    <v>0</v>
    <v>ahij52</v>
    <v>XNSE:JUNIORBEES</v>
    <v>969</v>
  </rv>
  <rv s="1">
    <v>1</v>
    <v>JUNIORBEES</v>
    <v>Daily</v>
    <v>44854</v>
    <v>44854</v>
    <v>0</v>
    <v>1</v>
    <v>638018208000000000,639087303771306311,0</v>
    <v>0</v>
    <v>ahij52</v>
    <v>XNSE:JUNIORBEES</v>
    <v>1077</v>
  </rv>
  <rv s="1">
    <v>1</v>
    <v>JUNIORBEES</v>
    <v>Daily</v>
    <v>44915</v>
    <v>44915</v>
    <v>0</v>
    <v>1</v>
    <v>638070912000000000,639087303775149600,0</v>
    <v>0</v>
    <v>ahij52</v>
    <v>XNSE:JUNIORBEES</v>
    <v>1067</v>
  </rv>
  <rv s="1">
    <v>1</v>
    <v>JUNIORBEES</v>
    <v>Daily</v>
    <v>44866</v>
    <v>44866</v>
    <v>0</v>
    <v>1</v>
    <v>638028576000000000,639087303775609697,0</v>
    <v>0</v>
    <v>ahij52</v>
    <v>XNSE:JUNIORBEES</v>
    <v>1078</v>
  </rv>
  <rv s="1">
    <v>1</v>
    <v>JUNIORBEES</v>
    <v>Daily</v>
    <v>45308</v>
    <v>45308</v>
    <v>0</v>
    <v>1</v>
    <v>638410464000000000,639087303776579903,0</v>
    <v>0</v>
    <v>ahij52</v>
    <v>XNSE:JUNIORBEES</v>
    <v>1079</v>
  </rv>
  <rv s="1">
    <v>1</v>
    <v>JUNIORBEES</v>
    <v>Daily</v>
    <v>45637</v>
    <v>45637</v>
    <v>0</v>
    <v>1</v>
    <v>638694720000000000,639087303772554640,0</v>
    <v>0</v>
    <v>ahij52</v>
    <v>XNSE:JUNIORBEES</v>
    <v>1080</v>
  </rv>
  <rv s="1">
    <v>1</v>
    <v>JUNIORBEES</v>
    <v>Daily</v>
    <v>45441</v>
    <v>45441</v>
    <v>0</v>
    <v>1</v>
    <v>638525376000000000,639087303774281691,0</v>
    <v>0</v>
    <v>ahij52</v>
    <v>XNSE:JUNIORBEES</v>
    <v>1081</v>
  </rv>
  <rv s="1">
    <v>1</v>
    <v>JUNIORBEES</v>
    <v>Daily</v>
    <v>45343</v>
    <v>45343</v>
    <v>0</v>
    <v>1</v>
    <v>638440704000000000,639087303775211893,0</v>
    <v>0</v>
    <v>ahij52</v>
    <v>XNSE:JUNIORBEES</v>
    <v>1082</v>
  </rv>
  <rv s="1">
    <v>1</v>
    <v>JUNIORBEES</v>
    <v>Daily</v>
    <v>44852</v>
    <v>44852</v>
    <v>0</v>
    <v>1</v>
    <v>638016480000000000,639087303776142092,0</v>
    <v>0</v>
    <v>ahij52</v>
    <v>XNSE:JUNIORBEES</v>
    <v>1083</v>
  </rv>
  <rv s="1">
    <v>1</v>
    <v>JUNIORBEES</v>
    <v>Daily</v>
    <v>45454</v>
    <v>45454</v>
    <v>0</v>
    <v>1</v>
    <v>638536608000000000,639087303777542398,0</v>
    <v>0</v>
    <v>ahij52</v>
    <v>XNSE:JUNIORBEES</v>
    <v>1084</v>
  </rv>
  <rv s="1">
    <v>1</v>
    <v>JUNIORBEES</v>
    <v>Daily</v>
    <v>44798</v>
    <v>44798</v>
    <v>0</v>
    <v>1</v>
    <v>637969824000000000,639087303778002496,0</v>
    <v>0</v>
    <v>ahij52</v>
    <v>XNSE:JUNIORBEES</v>
    <v>1085</v>
  </rv>
  <rv s="1">
    <v>1</v>
    <v>JUNIORBEES</v>
    <v>Daily</v>
    <v>44768</v>
    <v>44768</v>
    <v>0</v>
    <v>1</v>
    <v>637943904000000000,639087303773231668,0</v>
    <v>0</v>
    <v>ahij52</v>
    <v>XNSE:JUNIORBEES</v>
    <v>1086</v>
  </rv>
  <rv s="1">
    <v>1</v>
    <v>JUNIORBEES</v>
    <v>Daily</v>
    <v>45587</v>
    <v>45587</v>
    <v>0</v>
    <v>1</v>
    <v>638651520000000000,639087303773331768,0</v>
    <v>0</v>
    <v>ahij52</v>
    <v>XNSE:JUNIORBEES</v>
    <v>1087</v>
  </rv>
  <rv s="1">
    <v>1</v>
    <v>JUNIORBEES</v>
    <v>Daily</v>
    <v>45400</v>
    <v>45400</v>
    <v>0</v>
    <v>1</v>
    <v>638489952000000000,639087303773381006,0</v>
    <v>0</v>
    <v>ahij52</v>
    <v>XNSE:JUNIORBEES</v>
    <v>1088</v>
  </rv>
  <rv s="1">
    <v>1</v>
    <v>JUNIORBEES</v>
    <v>Daily</v>
    <v>44924</v>
    <v>44924</v>
    <v>0</v>
    <v>1</v>
    <v>638078688000000000,639087303773440743,0</v>
    <v>0</v>
    <v>ahij52</v>
    <v>XNSE:JUNIORBEES</v>
    <v>1089</v>
  </rv>
  <rv s="1">
    <v>1</v>
    <v>JUNIORBEES</v>
    <v>Daily</v>
    <v>45504</v>
    <v>45504</v>
    <v>0</v>
    <v>1</v>
    <v>638579808000000000,639087303773476169,0</v>
    <v>0</v>
    <v>ahij52</v>
    <v>XNSE:JUNIORBEES</v>
    <v>1090</v>
  </rv>
  <rv s="1">
    <v>1</v>
    <v>JUNIORBEES</v>
    <v>Daily</v>
    <v>45161</v>
    <v>45161</v>
    <v>0</v>
    <v>1</v>
    <v>638283456000000000,639087303776789948,0</v>
    <v>0</v>
    <v>ahij52</v>
    <v>XNSE:JUNIORBEES</v>
    <v>1091</v>
  </rv>
  <rv s="1">
    <v>1</v>
    <v>JUNIORBEES</v>
    <v>Daily</v>
    <v>45154</v>
    <v>45154</v>
    <v>0</v>
    <v>1</v>
    <v>638277408000000000,639087303777250046,0</v>
    <v>0</v>
    <v>ahij52</v>
    <v>XNSE:JUNIORBEES</v>
    <v>1092</v>
  </rv>
  <rv s="1">
    <v>1</v>
    <v>JUNIORBEES</v>
    <v>Daily</v>
    <v>44957</v>
    <v>44957</v>
    <v>0</v>
    <v>1</v>
    <v>638107200000000000,639087303775351944,0</v>
    <v>0</v>
    <v>ahij52</v>
    <v>XNSE:JUNIORBEES</v>
    <v>1093</v>
  </rv>
  <rv s="1">
    <v>1</v>
    <v>JUNIORBEES</v>
    <v>Daily</v>
    <v>44588</v>
    <v>44588</v>
    <v>0</v>
    <v>1</v>
    <v>637788384000000000,639087303776287836,0</v>
    <v>0</v>
    <v>ahij52</v>
    <v>XNSE:JUNIORBEES</v>
    <v>1094</v>
  </rv>
  <rv s="1">
    <v>1</v>
    <v>JUNIORBEES</v>
    <v>Daily</v>
    <v>44644</v>
    <v>44644</v>
    <v>0</v>
    <v>1</v>
    <v>637836768000000000,639087303776012060,0</v>
    <v>0</v>
    <v>ahij52</v>
    <v>XNSE:JUNIORBEES</v>
    <v>1095</v>
  </rv>
  <rv s="1">
    <v>1</v>
    <v>JUNIORBEES</v>
    <v>Daily</v>
    <v>45006</v>
    <v>45006</v>
    <v>0</v>
    <v>1</v>
    <v>638149536000000000,639087303779988258,0</v>
    <v>0</v>
    <v>ahij52</v>
    <v>XNSE:JUNIORBEES</v>
    <v>1096</v>
  </rv>
  <rv s="1">
    <v>1</v>
    <v>JUNIORBEES</v>
    <v>Daily</v>
    <v>45118</v>
    <v>45118</v>
    <v>0</v>
    <v>1</v>
    <v>638246304000000000,639087303780456210,0</v>
    <v>0</v>
    <v>ahij52</v>
    <v>XNSE:JUNIORBEES</v>
    <v>1097</v>
  </rv>
  <rv s="1">
    <v>1</v>
    <v>JUNIORBEES</v>
    <v>Daily</v>
    <v>45532</v>
    <v>45532</v>
    <v>0</v>
    <v>1</v>
    <v>638604000000000000,639087303780695152,0</v>
    <v>0</v>
    <v>ahij52</v>
    <v>XNSE:JUNIORBEES</v>
    <v>1098</v>
  </rv>
  <rv s="1">
    <v>1</v>
    <v>JUNIORBEES</v>
    <v>Daily</v>
    <v>44775</v>
    <v>44775</v>
    <v>0</v>
    <v>1</v>
    <v>637949952000000000,639087303780924152,0</v>
    <v>0</v>
    <v>ahij52</v>
    <v>XNSE:JUNIORBEES</v>
    <v>1099</v>
  </rv>
  <rv s="1">
    <v>1</v>
    <v>JUNIORBEES</v>
    <v>Daily</v>
    <v>45286</v>
    <v>45286</v>
    <v>0</v>
    <v>1</v>
    <v>638391456000000000,639087303779300484,0</v>
    <v>0</v>
    <v>ahij52</v>
    <v>XNSE:JUNIORBEES</v>
    <v>1100</v>
  </rv>
  <rv s="1">
    <v>1</v>
    <v>JUNIORBEES</v>
    <v>Daily</v>
    <v>45323</v>
    <v>45323</v>
    <v>0</v>
    <v>1</v>
    <v>638423424000000000,639087303780130073,0</v>
    <v>0</v>
    <v>ahij52</v>
    <v>XNSE:JUNIORBEES</v>
    <v>1101</v>
  </rv>
  <rv s="1">
    <v>1</v>
    <v>JUNIORBEES</v>
    <v>Daily</v>
    <v>45596</v>
    <v>45596</v>
    <v>0</v>
    <v>1</v>
    <v>638659296000000000,639087303780970839,0</v>
    <v>0</v>
    <v>ahij52</v>
    <v>XNSE:JUNIORBEES</v>
    <v>1102</v>
  </rv>
  <rv s="1">
    <v>1</v>
    <v>JUNIORBEES</v>
    <v>Daily</v>
    <v>45650</v>
    <v>45650</v>
    <v>0</v>
    <v>1</v>
    <v>638705952000000000,639087303781800440,0</v>
    <v>0</v>
    <v>ahij52</v>
    <v>XNSE:JUNIORBEES</v>
    <v>1103</v>
  </rv>
  <rv s="1">
    <v>1</v>
    <v>JUNIORBEES</v>
    <v>Daily</v>
    <v>45265</v>
    <v>45265</v>
    <v>0</v>
    <v>1</v>
    <v>638373312000000000,639087303782221112,0</v>
    <v>0</v>
    <v>ahij52</v>
    <v>XNSE:JUNIORBEES</v>
    <v>1104</v>
  </rv>
  <rv s="1">
    <v>1</v>
    <v>JUNIORBEES</v>
    <v>Daily</v>
    <v>45195</v>
    <v>45195</v>
    <v>0</v>
    <v>1</v>
    <v>638312832000000000,639087303779540532,0</v>
    <v>0</v>
    <v>ahij52</v>
    <v>XNSE:JUNIORBEES</v>
    <v>1105</v>
  </rv>
  <rv s="1">
    <v>1</v>
    <v>JUNIORBEES</v>
    <v>Daily</v>
    <v>45497</v>
    <v>45497</v>
    <v>0</v>
    <v>1</v>
    <v>638573760000000000,639087303779350422,0</v>
    <v>0</v>
    <v>ahij52</v>
    <v>XNSE:JUNIORBEES</v>
    <v>1106</v>
  </rv>
  <rv s="1">
    <v>1</v>
    <v>JUNIORBEES</v>
    <v>Daily</v>
    <v>44728</v>
    <v>44728</v>
    <v>0</v>
    <v>1</v>
    <v>637909344000000000,639087303779420117,0</v>
    <v>0</v>
    <v>ahij52</v>
    <v>XNSE:JUNIORBEES</v>
    <v>1107</v>
  </rv>
  <rv s="1">
    <v>1</v>
    <v>JUNIORBEES</v>
    <v>Daily</v>
    <v>45259</v>
    <v>45259</v>
    <v>0</v>
    <v>1</v>
    <v>638368128000000000,639087303779499767,0</v>
    <v>0</v>
    <v>ahij52</v>
    <v>XNSE:JUNIORBEES</v>
    <v>1108</v>
  </rv>
  <rv s="1">
    <v>1</v>
    <v>JUNIORBEES</v>
    <v>Daily</v>
    <v>45671</v>
    <v>45671</v>
    <v>0</v>
    <v>1</v>
    <v>638724096000000000,639087303780246852,0</v>
    <v>0</v>
    <v>ahij52</v>
    <v>XNSE:JUNIORBEES</v>
    <v>1109</v>
  </rv>
  <rv s="1">
    <v>1</v>
    <v>JUNIORBEES</v>
    <v>Daily</v>
    <v>44756</v>
    <v>44756</v>
    <v>0</v>
    <v>1</v>
    <v>637933536000000000,639087303781312180,0</v>
    <v>0</v>
    <v>ahij52</v>
    <v>XNSE:JUNIORBEES</v>
    <v>1110</v>
  </rv>
  <rv s="1">
    <v>1</v>
    <v>JUNIORBEES</v>
    <v>Daily</v>
    <v>45526</v>
    <v>45526</v>
    <v>0</v>
    <v>1</v>
    <v>638598816000000000,639087303781273206,0</v>
    <v>0</v>
    <v>ahij52</v>
    <v>XNSE:JUNIORBEES</v>
    <v>1111</v>
  </rv>
  <rv s="1">
    <v>1</v>
    <v>JUNIORBEES</v>
    <v>Daily</v>
    <v>44910</v>
    <v>44910</v>
    <v>0</v>
    <v>1</v>
    <v>638066592000000000,639087303781741000,0</v>
    <v>0</v>
    <v>ahij52</v>
    <v>XNSE:JUNIORBEES</v>
    <v>1112</v>
  </rv>
  <rv s="1">
    <v>1</v>
    <v>JUNIORBEES</v>
    <v>Daily</v>
    <v>44964</v>
    <v>44964</v>
    <v>0</v>
    <v>1</v>
    <v>638113248000000000,639087303784103814,0</v>
    <v>0</v>
    <v>ahij52</v>
    <v>XNSE:JUNIORBEES</v>
    <v>1113</v>
  </rv>
  <rv s="1">
    <v>1</v>
    <v>JUNIORBEES</v>
    <v>Daily</v>
    <v>45076</v>
    <v>45076</v>
    <v>0</v>
    <v>1</v>
    <v>638210016000000000,639087303781226536,0</v>
    <v>0</v>
    <v>ahij52</v>
    <v>XNSE:JUNIORBEES</v>
    <v>1114</v>
  </rv>
  <rv s="1">
    <v>1</v>
    <v>JUNIORBEES</v>
    <v>Daily</v>
    <v>45273</v>
    <v>45273</v>
    <v>0</v>
    <v>1</v>
    <v>638380224000000000,639087303781257029,0</v>
    <v>0</v>
    <v>ahij52</v>
    <v>XNSE:JUNIORBEES</v>
    <v>1115</v>
  </rv>
  <rv s="1">
    <v>1</v>
    <v>JUNIORBEES</v>
    <v>Daily</v>
    <v>45204</v>
    <v>45204</v>
    <v>0</v>
    <v>1</v>
    <v>638320608000000000,639087303781296854,0</v>
    <v>0</v>
    <v>ahij52</v>
    <v>XNSE:JUNIORBEES</v>
    <v>1116</v>
  </rv>
  <rv s="1">
    <v>1</v>
    <v>JUNIORBEES</v>
    <v>Daily</v>
    <v>45013</v>
    <v>45013</v>
    <v>0</v>
    <v>1</v>
    <v>638155584000000000,639087303781336659,0</v>
    <v>0</v>
    <v>ahij52</v>
    <v>XNSE:JUNIORBEES</v>
    <v>1117</v>
  </rv>
  <rv s="1">
    <v>1</v>
    <v>JUNIORBEES</v>
    <v>Daily</v>
    <v>45736</v>
    <v>45736</v>
    <v>0</v>
    <v>1</v>
    <v>638780256000000000,639087303781501377,0</v>
    <v>0</v>
    <v>ahij52</v>
    <v>XNSE:JUNIORBEES</v>
    <v>1118</v>
  </rv>
  <rv s="1">
    <v>1</v>
    <v>JUNIORBEES</v>
    <v>Daily</v>
    <v>45545</v>
    <v>45545</v>
    <v>0</v>
    <v>1</v>
    <v>638615232000000000,639087303784450540,0</v>
    <v>0</v>
    <v>ahij52</v>
    <v>XNSE:JUNIORBEES</v>
    <v>1119</v>
  </rv>
  <rv s="1">
    <v>1</v>
    <v>JUNIORBEES</v>
    <v>Daily</v>
    <v>45622</v>
    <v>45622</v>
    <v>0</v>
    <v>1</v>
    <v>638681760000000000,639087303784706824,0</v>
    <v>0</v>
    <v>ahij52</v>
    <v>XNSE:JUNIORBEES</v>
    <v>1120</v>
  </rv>
  <rv s="1">
    <v>1</v>
    <v>JUNIORBEES</v>
    <v>Daily</v>
    <v>44539</v>
    <v>44539</v>
    <v>0</v>
    <v>1</v>
    <v>637746048000000000,639087303785005517,0</v>
    <v>0</v>
    <v>ahij52</v>
    <v>XNSE:JUNIORBEES</v>
    <v>996</v>
  </rv>
  <rv s="1">
    <v>1</v>
    <v>JUNIORBEES</v>
    <v>Daily</v>
    <v>45770</v>
    <v>45770</v>
    <v>0</v>
    <v>1</v>
    <v>638809632000000000,639087303785453550,0</v>
    <v>0</v>
    <v>ahij52</v>
    <v>XNSE:JUNIORBEES</v>
    <v>1121</v>
  </rv>
  <rv s="1">
    <v>1</v>
    <v>JUNIORBEES</v>
    <v>Daily</v>
    <v>45337</v>
    <v>45337</v>
    <v>0</v>
    <v>1</v>
    <v>638435520000000000,639087303787691773,0</v>
    <v>0</v>
    <v>ahij52</v>
    <v>XNSE:JUNIORBEES</v>
    <v>1122</v>
  </rv>
  <rv s="1">
    <v>1</v>
    <v>JUNIORBEES</v>
    <v>Daily</v>
    <v>45433</v>
    <v>45433</v>
    <v>0</v>
    <v>1</v>
    <v>638518464000000000,639087303786790269,0</v>
    <v>0</v>
    <v>ahij52</v>
    <v>XNSE:JUNIORBEES</v>
    <v>1123</v>
  </rv>
  <rv s="1">
    <v>1</v>
    <v>JUNIORBEES</v>
    <v>Daily</v>
    <v>45392</v>
    <v>45392</v>
    <v>0</v>
    <v>1</v>
    <v>638483040000000000,639087303786949555,0</v>
    <v>0</v>
    <v>ahij52</v>
    <v>XNSE:JUNIORBEES</v>
    <v>1124</v>
  </rv>
  <rv s="1">
    <v>1</v>
    <v>JUNIORBEES</v>
    <v>Daily</v>
    <v>45071</v>
    <v>45071</v>
    <v>0</v>
    <v>1</v>
    <v>638205696000000000,639087303787586761,0</v>
    <v>0</v>
    <v>ahij52</v>
    <v>XNSE:JUNIORBEES</v>
    <v>1125</v>
  </rv>
  <rv s="1">
    <v>1</v>
    <v>JUNIORBEES</v>
    <v>Daily</v>
    <v>45672</v>
    <v>45672</v>
    <v>0</v>
    <v>1</v>
    <v>638724960000000000,639087303786230238,0</v>
    <v>0</v>
    <v>ahij52</v>
    <v>XNSE:JUNIORBEES</v>
    <v>1126</v>
  </rv>
  <rv s="1">
    <v>1</v>
    <v>JUNIORBEES</v>
    <v>Daily</v>
    <v>45630</v>
    <v>45630</v>
    <v>0</v>
    <v>1</v>
    <v>638688672000000000,639087303786459241,0</v>
    <v>0</v>
    <v>ahij52</v>
    <v>XNSE:JUNIORBEES</v>
    <v>1127</v>
  </rv>
  <rv s="1">
    <v>1</v>
    <v>JUNIORBEES</v>
    <v>Daily</v>
    <v>45043</v>
    <v>45043</v>
    <v>0</v>
    <v>1</v>
    <v>638181504000000000,639087303788062394,0</v>
    <v>0</v>
    <v>ahij52</v>
    <v>XNSE:JUNIORBEES</v>
    <v>1128</v>
  </rv>
  <rv s="1">
    <v>1</v>
    <v>JUNIORBEES</v>
    <v>Daily</v>
    <v>45428</v>
    <v>45428</v>
    <v>0</v>
    <v>1</v>
    <v>638514144000000000,639087303786522572,0</v>
    <v>0</v>
    <v>ahij52</v>
    <v>XNSE:JUNIORBEES</v>
    <v>1129</v>
  </rv>
  <rv s="1">
    <v>1</v>
    <v>JUNIORBEES</v>
    <v>Daily</v>
    <v>44985</v>
    <v>44985</v>
    <v>0</v>
    <v>1</v>
    <v>638131392000000000,639087303788145803,0</v>
    <v>0</v>
    <v>ahij52</v>
    <v>XNSE:JUNIORBEES</v>
    <v>1130</v>
  </rv>
  <rv s="1">
    <v>1</v>
    <v>JUNIORBEES</v>
    <v>Daily</v>
    <v>44894</v>
    <v>44894</v>
    <v>0</v>
    <v>1</v>
    <v>638052768000000000,639087303788374437,0</v>
    <v>0</v>
    <v>ahij52</v>
    <v>XNSE:JUNIORBEES</v>
    <v>1131</v>
  </rv>
  <rv s="1">
    <v>1</v>
    <v>JUNIORBEES</v>
    <v>Daily</v>
    <v>44882</v>
    <v>44882</v>
    <v>0</v>
    <v>1</v>
    <v>638042400000000000,639087303787331687,0</v>
    <v>0</v>
    <v>ahij52</v>
    <v>XNSE:JUNIORBEES</v>
    <v>1132</v>
  </rv>
  <rv s="1">
    <v>1</v>
    <v>JUNIORBEES</v>
    <v>Daily</v>
    <v>45603</v>
    <v>45603</v>
    <v>0</v>
    <v>1</v>
    <v>638665344000000000,639087303788161868,0</v>
    <v>0</v>
    <v>ahij52</v>
    <v>XNSE:JUNIORBEES</v>
    <v>1133</v>
  </rv>
  <rv s="1">
    <v>1</v>
    <v>JUNIORBEES</v>
    <v>Daily</v>
    <v>45266</v>
    <v>45266</v>
    <v>0</v>
    <v>1</v>
    <v>638374176000000000,639087303790262356,0</v>
    <v>0</v>
    <v>ahij52</v>
    <v>XNSE:JUNIORBEES</v>
    <v>1134</v>
  </rv>
  <rv s="1">
    <v>1</v>
    <v>JUNIORBEES</v>
    <v>Daily</v>
    <v>45251</v>
    <v>45251</v>
    <v>0</v>
    <v>1</v>
    <v>638361216000000000,639087303790853005,0</v>
    <v>0</v>
    <v>ahij52</v>
    <v>XNSE:JUNIORBEES</v>
    <v>1135</v>
  </rv>
  <rv s="1">
    <v>1</v>
    <v>JUNIORBEES</v>
    <v>Daily</v>
    <v>45573</v>
    <v>45573</v>
    <v>0</v>
    <v>1</v>
    <v>638639424000000000,639087303788960738,0</v>
    <v>0</v>
    <v>ahij52</v>
    <v>XNSE:JUNIORBEES</v>
    <v>1136</v>
  </rv>
  <rv s="1">
    <v>1</v>
    <v>JUNIORBEES</v>
    <v>Daily</v>
    <v>44698</v>
    <v>44698</v>
    <v>0</v>
    <v>1</v>
    <v>637883424000000000,639087303788980642,0</v>
    <v>0</v>
    <v>ahij52</v>
    <v>XNSE:JUNIORBEES</v>
    <v>1137</v>
  </rv>
  <rv s="1">
    <v>1</v>
    <v>JUNIORBEES</v>
    <v>Daily</v>
    <v>44931</v>
    <v>44931</v>
    <v>0</v>
    <v>1</v>
    <v>638084736000000000,639087303789000562,0</v>
    <v>0</v>
    <v>ahij52</v>
    <v>XNSE:JUNIORBEES</v>
    <v>1138</v>
  </rv>
  <rv s="1">
    <v>1</v>
    <v>JUNIORBEES</v>
    <v>Daily</v>
    <v>45533</v>
    <v>45533</v>
    <v>0</v>
    <v>1</v>
    <v>638604864000000000,639087303790800556,0</v>
    <v>0</v>
    <v>ahij52</v>
    <v>XNSE:JUNIORBEES</v>
    <v>1139</v>
  </rv>
  <rv s="1">
    <v>1</v>
    <v>JUNIORBEES</v>
    <v>Daily</v>
    <v>45055</v>
    <v>45055</v>
    <v>0</v>
    <v>1</v>
    <v>638191872000000000,639087303789828746,0</v>
    <v>0</v>
    <v>ahij52</v>
    <v>XNSE:JUNIORBEES</v>
    <v>1140</v>
  </rv>
  <rv s="1">
    <v>1</v>
    <v>JUNIORBEES</v>
    <v>Daily</v>
    <v>45498</v>
    <v>45498</v>
    <v>0</v>
    <v>1</v>
    <v>638574624000000000,639087303790894732,0</v>
    <v>0</v>
    <v>ahij52</v>
    <v>XNSE:JUNIORBEES</v>
    <v>1141</v>
  </rv>
  <rv s="1">
    <v>1</v>
    <v>JUNIORBEES</v>
    <v>Daily</v>
    <v>45183</v>
    <v>45183</v>
    <v>0</v>
    <v>1</v>
    <v>638302464000000000,639087303790934563,0</v>
    <v>0</v>
    <v>ahij52</v>
    <v>XNSE:JUNIORBEES</v>
    <v>1142</v>
  </rv>
  <rv s="1">
    <v>1</v>
    <v>JUNIORBEES</v>
    <v>Daily</v>
    <v>44754</v>
    <v>44754</v>
    <v>0</v>
    <v>1</v>
    <v>637931808000000000,639087303791004249,0</v>
    <v>0</v>
    <v>ahij52</v>
    <v>XNSE:JUNIORBEES</v>
    <v>1143</v>
  </rv>
  <rv s="1">
    <v>1</v>
    <v>JUNIORBEES</v>
    <v>Daily</v>
    <v>45482</v>
    <v>45482</v>
    <v>0</v>
    <v>1</v>
    <v>638560800000000000,639087303791054031,0</v>
    <v>0</v>
    <v>ahij52</v>
    <v>XNSE:JUNIORBEES</v>
    <v>1144</v>
  </rv>
  <rv s="1">
    <v>1</v>
    <v>JUNIORBEES</v>
    <v>Daily</v>
    <v>45440</v>
    <v>45440</v>
    <v>0</v>
    <v>1</v>
    <v>638524512000000000,639087303791501399,0</v>
    <v>0</v>
    <v>ahij52</v>
    <v>XNSE:JUNIORBEES</v>
    <v>1145</v>
  </rv>
  <rv s="1">
    <v>1</v>
    <v>JUNIORBEES</v>
    <v>Daily</v>
    <v>45729</v>
    <v>45729</v>
    <v>0</v>
    <v>1</v>
    <v>638774208000000000,639087303791700524,0</v>
    <v>0</v>
    <v>ahij52</v>
    <v>XNSE:JUNIORBEES</v>
    <v>1146</v>
  </rv>
  <rv s="1">
    <v>1</v>
    <v>JUNIORBEES</v>
    <v>Daily</v>
    <v>45272</v>
    <v>45272</v>
    <v>0</v>
    <v>1</v>
    <v>638379360000000000,639087303795423510,0</v>
    <v>0</v>
    <v>ahij52</v>
    <v>XNSE:JUNIORBEES</v>
    <v>1147</v>
  </rv>
  <rv s="1">
    <v>1</v>
    <v>JUNIORBEES</v>
    <v>Daily</v>
    <v>44987</v>
    <v>44987</v>
    <v>0</v>
    <v>1</v>
    <v>638133120000000000,639087303795893614,0</v>
    <v>0</v>
    <v>ahij52</v>
    <v>XNSE:JUNIORBEES</v>
    <v>1148</v>
  </rv>
  <rv s="1">
    <v>1</v>
    <v>JUNIORBEES</v>
    <v>Daily</v>
    <v>45406</v>
    <v>45406</v>
    <v>0</v>
    <v>1</v>
    <v>638495136000000000,639087303796393724,0</v>
    <v>0</v>
    <v>ahij52</v>
    <v>XNSE:JUNIORBEES</v>
    <v>1149</v>
  </rv>
  <rv s="1">
    <v>1</v>
    <v>JUNIORBEES</v>
    <v>Daily</v>
    <v>44740</v>
    <v>44740</v>
    <v>0</v>
    <v>1</v>
    <v>637919712000000000,639087303796863826,0</v>
    <v>0</v>
    <v>ahij52</v>
    <v>XNSE:JUNIORBEES</v>
    <v>1150</v>
  </rv>
  <rv s="1">
    <v>1</v>
    <v>JUNIORBEES</v>
    <v>Daily</v>
    <v>45419</v>
    <v>45419</v>
    <v>0</v>
    <v>1</v>
    <v>638506368000000000,639087303797364426,0</v>
    <v>0</v>
    <v>ahij52</v>
    <v>XNSE:JUNIORBEES</v>
    <v>1151</v>
  </rv>
  <rv s="1">
    <v>1</v>
    <v>JUNIORBEES</v>
    <v>Daily</v>
    <v>45182</v>
    <v>45182</v>
    <v>0</v>
    <v>1</v>
    <v>638301600000000000,639087303793767522,0</v>
    <v>0</v>
    <v>ahij52</v>
    <v>XNSE:JUNIORBEES</v>
    <v>1152</v>
  </rv>
  <rv s="1">
    <v>1</v>
    <v>JUNIORBEES</v>
    <v>Daily</v>
    <v>45350</v>
    <v>45350</v>
    <v>0</v>
    <v>1</v>
    <v>638446752000000000,639087303796156851,0</v>
    <v>0</v>
    <v>ahij52</v>
    <v>XNSE:JUNIORBEES</v>
    <v>1153</v>
  </rv>
  <rv s="1">
    <v>1</v>
    <v>JUNIORBEES</v>
    <v>Daily</v>
    <v>45715</v>
    <v>45715</v>
    <v>0</v>
    <v>1</v>
    <v>638762112000000000,639087303795171088,0</v>
    <v>0</v>
    <v>ahij52</v>
    <v>XNSE:JUNIORBEES</v>
    <v>1154</v>
  </rv>
  <rv s="1">
    <v>1</v>
    <v>JUNIORBEES</v>
    <v>Daily</v>
    <v>45246</v>
    <v>45246</v>
    <v>0</v>
    <v>1</v>
    <v>638356896000000000,639087303795220867,0</v>
    <v>0</v>
    <v>ahij52</v>
    <v>XNSE:JUNIORBEES</v>
    <v>1155</v>
  </rv>
  <rv s="1">
    <v>1</v>
    <v>JUNIORBEES</v>
    <v>Daily</v>
    <v>44546</v>
    <v>44546</v>
    <v>0</v>
    <v>1</v>
    <v>637752096000000000,639087303795240781,0</v>
    <v>0</v>
    <v>ahij52</v>
    <v>XNSE:JUNIORBEES</v>
    <v>1156</v>
  </rv>
  <rv s="1">
    <v>1</v>
    <v>JUNIORBEES</v>
    <v>Daily</v>
    <v>44532</v>
    <v>44532</v>
    <v>0</v>
    <v>1</v>
    <v>637740000000000000,639087303798944773,0</v>
    <v>0</v>
    <v>ahij52</v>
    <v>XNSE:JUNIORBEES</v>
    <v>1157</v>
  </rv>
  <rv s="1">
    <v>1</v>
    <v>JUNIORBEES</v>
    <v>Daily</v>
    <v>45287</v>
    <v>45287</v>
    <v>0</v>
    <v>1</v>
    <v>638392320000000000,639087303799324369,0</v>
    <v>0</v>
    <v>ahij52</v>
    <v>XNSE:JUNIORBEES</v>
    <v>1158</v>
  </rv>
  <rv s="1">
    <v>1</v>
    <v>JUNIORBEES</v>
    <v>Daily</v>
    <v>45372</v>
    <v>45372</v>
    <v>0</v>
    <v>1</v>
    <v>638465760000000000,639087303800115026,0</v>
    <v>0</v>
    <v>ahij52</v>
    <v>XNSE:JUNIORBEES</v>
    <v>1159</v>
  </rv>
  <rv s="1">
    <v>1</v>
    <v>JUNIORBEES</v>
    <v>Daily</v>
    <v>45224</v>
    <v>45224</v>
    <v>0</v>
    <v>1</v>
    <v>638337888000000000,639087303796150967,0</v>
    <v>0</v>
    <v>ahij52</v>
    <v>XNSE:JUNIORBEES</v>
    <v>1112</v>
  </rv>
  <rv s="1">
    <v>1</v>
    <v>JUNIORBEES</v>
    <v>Daily</v>
    <v>44595</v>
    <v>44595</v>
    <v>0</v>
    <v>1</v>
    <v>637794432000000000,639087303796350106,0</v>
    <v>0</v>
    <v>ahij52</v>
    <v>XNSE:JUNIORBEES</v>
    <v>1160</v>
  </rv>
  <rv s="1">
    <v>1</v>
    <v>JUNIORBEES</v>
    <v>Daily</v>
    <v>45750</v>
    <v>45750</v>
    <v>0</v>
    <v>1</v>
    <v>638792352000000000,639087303798754243,0</v>
    <v>0</v>
    <v>ahij52</v>
    <v>XNSE:JUNIORBEES</v>
    <v>1161</v>
  </rv>
  <rv s="1">
    <v>1</v>
    <v>JUNIORBEES</v>
    <v>Daily</v>
    <v>45197</v>
    <v>45197</v>
    <v>0</v>
    <v>1</v>
    <v>638314560000000000,639087303835812422,0</v>
    <v>0</v>
    <v>ahij52</v>
    <v>XNSE:JUNIORBEES</v>
    <v>1162</v>
  </rv>
  <rv s="1">
    <v>1</v>
    <v>JUNIORBEES</v>
    <v>Daily</v>
    <v>44980</v>
    <v>44980</v>
    <v>0</v>
    <v>1</v>
    <v>638127072000000000,639087303835902030,0</v>
    <v>0</v>
    <v>ahij52</v>
    <v>XNSE:JUNIORBEES</v>
    <v>1163</v>
  </rv>
  <rv s="1">
    <v>1</v>
    <v>JUNIORBEES</v>
    <v>Daily</v>
    <v>45554</v>
    <v>45554</v>
    <v>0</v>
    <v>1</v>
    <v>638623008000000000,639087303801697568,0</v>
    <v>0</v>
    <v>ahij52</v>
    <v>XNSE:JUNIORBEES</v>
    <v>1164</v>
  </rv>
  <rv s="1">
    <v>1</v>
    <v>JUNIORBEES</v>
    <v>Daily</v>
    <v>44623</v>
    <v>44623</v>
    <v>0</v>
    <v>1</v>
    <v>637818624000000000,639087303802527749,0</v>
    <v>0</v>
    <v>ahij52</v>
    <v>XNSE:JUNIORBEES</v>
    <v>1165</v>
  </rv>
  <rv s="1">
    <v>1</v>
    <v>JUNIORBEES</v>
    <v>Daily</v>
    <v>44525</v>
    <v>44525</v>
    <v>0</v>
    <v>1</v>
    <v>637733952000000000,639087303803788027,0</v>
    <v>0</v>
    <v>ahij52</v>
    <v>XNSE:JUNIORBEES</v>
    <v>1166</v>
  </rv>
  <rv s="1">
    <v>1</v>
    <v>JUNIORBEES</v>
    <v>Daily</v>
    <v>45581</v>
    <v>45581</v>
    <v>0</v>
    <v>1</v>
    <v>638646336000000000,639087303801085802,0</v>
    <v>0</v>
    <v>ahij52</v>
    <v>XNSE:JUNIORBEES</v>
    <v>1167</v>
  </rv>
  <rv s="1">
    <v>1</v>
    <v>JUNIORBEES</v>
    <v>Daily</v>
    <v>44791</v>
    <v>44791</v>
    <v>0</v>
    <v>1</v>
    <v>637963776000000000,639087303801314791,0</v>
    <v>0</v>
    <v>ahij52</v>
    <v>XNSE:JUNIORBEES</v>
    <v>1168</v>
  </rv>
  <rv s="1">
    <v>1</v>
    <v>JUNIORBEES</v>
    <v>Daily</v>
    <v>45525</v>
    <v>45525</v>
    <v>0</v>
    <v>1</v>
    <v>638597952000000000,639087303801765618,0</v>
    <v>0</v>
    <v>ahij52</v>
    <v>XNSE:JUNIORBEES</v>
    <v>1169</v>
  </rv>
  <rv s="1">
    <v>1</v>
    <v>JUNIORBEES</v>
    <v>Daily</v>
    <v>44602</v>
    <v>44602</v>
    <v>0</v>
    <v>1</v>
    <v>637800480000000000,639087303801994601,0</v>
    <v>0</v>
    <v>ahij52</v>
    <v>XNSE:JUNIORBEES</v>
    <v>1170</v>
  </rv>
  <rv s="1">
    <v>1</v>
    <v>JUNIORBEES</v>
    <v>Daily</v>
    <v>45377</v>
    <v>45377</v>
    <v>0</v>
    <v>1</v>
    <v>638470080000000000,639087303802682008,0</v>
    <v>0</v>
    <v>ahij52</v>
    <v>XNSE:JUNIORBEES</v>
    <v>1171</v>
  </rv>
  <rv s="1">
    <v>1</v>
    <v>JUNIORBEES</v>
    <v>Daily</v>
    <v>45384</v>
    <v>45384</v>
    <v>0</v>
    <v>1</v>
    <v>638476128000000000,639087303803139583,0</v>
    <v>0</v>
    <v>ahij52</v>
    <v>XNSE:JUNIORBEES</v>
    <v>1172</v>
  </rv>
  <rv s="1">
    <v>1</v>
    <v>JUNIORBEES</v>
    <v>Daily</v>
    <v>44567</v>
    <v>44567</v>
    <v>0</v>
    <v>1</v>
    <v>637770240000000000,639087303804918270,0</v>
    <v>0</v>
    <v>ahij52</v>
    <v>XNSE:JUNIORBEES</v>
    <v>1173</v>
  </rv>
  <rv s="1">
    <v>1</v>
    <v>JUNIORBEES</v>
    <v>Daily</v>
    <v>44651</v>
    <v>44651</v>
    <v>0</v>
    <v>1</v>
    <v>637842816000000000,639087303801208071,0</v>
    <v>0</v>
    <v>ahij52</v>
    <v>XNSE:JUNIORBEES</v>
    <v>1174</v>
  </rv>
  <rv s="1">
    <v>1</v>
    <v>JUNIORBEES</v>
    <v>Daily</v>
    <v>45385</v>
    <v>45385</v>
    <v>0</v>
    <v>1</v>
    <v>638476992000000000,639087303801676010,0</v>
    <v>0</v>
    <v>ahij52</v>
    <v>XNSE:JUNIORBEES</v>
    <v>1175</v>
  </rv>
  <rv s="1">
    <v>1</v>
    <v>JUNIORBEES</v>
    <v>Daily</v>
    <v>44908</v>
    <v>44908</v>
    <v>0</v>
    <v>1</v>
    <v>638064864000000000,639087303802363002,0</v>
    <v>0</v>
    <v>ahij52</v>
    <v>XNSE:JUNIORBEES</v>
    <v>1176</v>
  </rv>
  <rv s="1">
    <v>1</v>
    <v>JUNIORBEES</v>
    <v>Daily</v>
    <v>45294</v>
    <v>45294</v>
    <v>0</v>
    <v>1</v>
    <v>638398368000000000,639087303802591990,0</v>
    <v>0</v>
    <v>ahij52</v>
    <v>XNSE:JUNIORBEES</v>
    <v>1177</v>
  </rv>
  <rv s="1">
    <v>1</v>
    <v>JUNIORBEES</v>
    <v>Daily</v>
    <v>45574</v>
    <v>45574</v>
    <v>0</v>
    <v>1</v>
    <v>638640288000000000,639087303802830941,0</v>
    <v>0</v>
    <v>ahij52</v>
    <v>XNSE:JUNIORBEES</v>
    <v>1178</v>
  </rv>
  <rv s="1">
    <v>1</v>
    <v>JUNIORBEES</v>
    <v>Daily</v>
    <v>44859</v>
    <v>44859</v>
    <v>0</v>
    <v>1</v>
    <v>638022528000000000,639087303801835717,0</v>
    <v>0</v>
    <v>ahij52</v>
    <v>XNSE:JUNIORBEES</v>
    <v>1179</v>
  </rv>
  <rv s="1">
    <v>1</v>
    <v>JUNIORBEES</v>
    <v>Daily</v>
    <v>45342</v>
    <v>45342</v>
    <v>0</v>
    <v>1</v>
    <v>638439840000000000,639087303802791115,0</v>
    <v>0</v>
    <v>ahij52</v>
    <v>XNSE:JUNIORBEES</v>
    <v>1180</v>
  </rv>
  <rv s="1">
    <v>1</v>
    <v>JUNIORBEES</v>
    <v>Daily</v>
    <v>45237</v>
    <v>45237</v>
    <v>0</v>
    <v>1</v>
    <v>638349120000000000,639087303802050645,0</v>
    <v>0</v>
    <v>ahij52</v>
    <v>XNSE:JUNIORBEES</v>
    <v>1181</v>
  </rv>
  <rv s="1">
    <v>1</v>
    <v>JUNIORBEES</v>
    <v>Daily</v>
    <v>44889</v>
    <v>44889</v>
    <v>0</v>
    <v>1</v>
    <v>638048448000000000,639087303802219900,0</v>
    <v>0</v>
    <v>ahij52</v>
    <v>XNSE:JUNIORBEES</v>
    <v>1182</v>
  </rv>
  <rv s="1">
    <v>1</v>
    <v>JUNIORBEES</v>
    <v>Daily</v>
    <v>45456</v>
    <v>45456</v>
    <v>0</v>
    <v>1</v>
    <v>638538336000000000,639087303802242431,0</v>
    <v>0</v>
    <v>ahij52</v>
    <v>XNSE:JUNIORBEES</v>
    <v>1183</v>
  </rv>
  <rv s="1">
    <v>1</v>
    <v>JUNIORBEES</v>
    <v>Daily</v>
    <v>45125</v>
    <v>45125</v>
    <v>0</v>
    <v>1</v>
    <v>638252352000000000,639087303802282248,0</v>
    <v>0</v>
    <v>ahij52</v>
    <v>XNSE:JUNIORBEES</v>
    <v>1184</v>
  </rv>
  <rv s="1">
    <v>1</v>
    <v>JUNIORBEES</v>
    <v>Daily</v>
    <v>45582</v>
    <v>45582</v>
    <v>0</v>
    <v>1</v>
    <v>638647200000000000,639087303803614067,0</v>
    <v>0</v>
    <v>ahij52</v>
    <v>XNSE:JUNIORBEES</v>
    <v>1185</v>
  </rv>
  <rv s="1">
    <v>1</v>
    <v>JUNIORBEES</v>
    <v>Daily</v>
    <v>44922</v>
    <v>44922</v>
    <v>0</v>
    <v>1</v>
    <v>638076960000000000,639087303804176472,0</v>
    <v>0</v>
    <v>ahij52</v>
    <v>XNSE:JUNIORBEES</v>
    <v>1186</v>
  </rv>
  <rv s="1">
    <v>1</v>
    <v>JUNIORBEES</v>
    <v>Daily</v>
    <v>45510</v>
    <v>45510</v>
    <v>0</v>
    <v>1</v>
    <v>638584992000000000,639087303805435767,0</v>
    <v>0</v>
    <v>ahij52</v>
    <v>XNSE:JUNIORBEES</v>
    <v>1187</v>
  </rv>
  <rv s="1">
    <v>1</v>
    <v>JUNIORBEES</v>
    <v>Daily</v>
    <v>45580</v>
    <v>45580</v>
    <v>0</v>
    <v>1</v>
    <v>638645472000000000,639087303805465639,0</v>
    <v>0</v>
    <v>ahij52</v>
    <v>XNSE:JUNIORBEES</v>
    <v>1188</v>
  </rv>
  <rv s="1">
    <v>1</v>
    <v>JUNIORBEES</v>
    <v>Daily</v>
    <v>45594</v>
    <v>45594</v>
    <v>0</v>
    <v>1</v>
    <v>638657568000000000,639087303806610612,0</v>
    <v>0</v>
    <v>ahij52</v>
    <v>XNSE:JUNIORBEES</v>
    <v>1189</v>
  </rv>
  <rv s="1">
    <v>1</v>
    <v>JUNIORBEES</v>
    <v>Daily</v>
    <v>44735</v>
    <v>44735</v>
    <v>0</v>
    <v>1</v>
    <v>637915392000000000,639087303807071214,0</v>
    <v>0</v>
    <v>ahij52</v>
    <v>XNSE:JUNIORBEES</v>
    <v>1190</v>
  </rv>
  <rv s="1">
    <v>1</v>
    <v>JUNIORBEES</v>
    <v>Daily</v>
    <v>45601</v>
    <v>45601</v>
    <v>0</v>
    <v>1</v>
    <v>638663616000000000,639087303807529203,0</v>
    <v>0</v>
    <v>ahij52</v>
    <v>XNSE:JUNIORBEES</v>
    <v>1191</v>
  </rv>
  <rv s="1">
    <v>1</v>
    <v>JUNIORBEES</v>
    <v>Daily</v>
    <v>45658</v>
    <v>45658</v>
    <v>0</v>
    <v>1</v>
    <v>638712864000000000,639087303808736921,0</v>
    <v>0</v>
    <v>ahij52</v>
    <v>XNSE:JUNIORBEES</v>
    <v>1192</v>
  </rv>
  <rv s="1">
    <v>1</v>
    <v>JUNIORBEES</v>
    <v>Daily</v>
    <v>45307</v>
    <v>45307</v>
    <v>0</v>
    <v>1</v>
    <v>638409600000000000,639087303809527082,0</v>
    <v>0</v>
    <v>ahij52</v>
    <v>XNSE:JUNIORBEES</v>
    <v>1193</v>
  </rv>
  <rv s="1">
    <v>1</v>
    <v>JUNIORBEES</v>
    <v>Daily</v>
    <v>45132</v>
    <v>45132</v>
    <v>0</v>
    <v>1</v>
    <v>638258400000000000,639087303810317264,0</v>
    <v>0</v>
    <v>ahij52</v>
    <v>XNSE:JUNIORBEES</v>
    <v>1194</v>
  </rv>
  <rv s="1">
    <v>1</v>
    <v>JUNIORBEES</v>
    <v>Daily</v>
    <v>45253</v>
    <v>45253</v>
    <v>0</v>
    <v>1</v>
    <v>638362944000000000,639087303811497514,0</v>
    <v>0</v>
    <v>ahij52</v>
    <v>XNSE:JUNIORBEES</v>
    <v>1195</v>
  </rv>
  <rv s="1">
    <v>1</v>
    <v>JUNIORBEES</v>
    <v>Daily</v>
    <v>45104</v>
    <v>45104</v>
    <v>0</v>
    <v>1</v>
    <v>638234208000000000,639087303808054752,0</v>
    <v>0</v>
    <v>ahij52</v>
    <v>XNSE:JUNIORBEES</v>
    <v>1196</v>
  </rv>
  <rv s="1">
    <v>1</v>
    <v>JUNIORBEES</v>
    <v>Daily</v>
    <v>45610</v>
    <v>45610</v>
    <v>0</v>
    <v>1</v>
    <v>638671392000000000,639087303808183703,0</v>
    <v>0</v>
    <v>ahij52</v>
    <v>XNSE:JUNIORBEES</v>
    <v>1197</v>
  </rv>
  <rv s="1">
    <v>1</v>
    <v>JUNIORBEES</v>
    <v>Daily</v>
    <v>45160</v>
    <v>45160</v>
    <v>0</v>
    <v>1</v>
    <v>638282592000000000,639087303809969571,0</v>
    <v>0</v>
    <v>ahij52</v>
    <v>XNSE:JUNIORBEES</v>
    <v>1198</v>
  </rv>
  <rv s="1">
    <v>1</v>
    <v>JUNIORBEES</v>
    <v>Daily</v>
    <v>45335</v>
    <v>45335</v>
    <v>0</v>
    <v>1</v>
    <v>638433792000000000,639087303810606781,0</v>
    <v>0</v>
    <v>ahij52</v>
    <v>XNSE:JUNIORBEES</v>
    <v>1199</v>
  </rv>
  <rv s="1">
    <v>1</v>
    <v>JUNIORBEES</v>
    <v>Daily</v>
    <v>45685</v>
    <v>45685</v>
    <v>0</v>
    <v>1</v>
    <v>638736192000000000,639087303811303727,0</v>
    <v>0</v>
    <v>ahij52</v>
    <v>XNSE:JUNIORBEES</v>
    <v>1200</v>
  </rv>
  <rv s="1">
    <v>1</v>
    <v>JUNIORBEES</v>
    <v>Daily</v>
    <v>44950</v>
    <v>44950</v>
    <v>0</v>
    <v>1</v>
    <v>638101152000000000,639087303808622264,0</v>
    <v>0</v>
    <v>ahij52</v>
    <v>XNSE:JUNIORBEES</v>
    <v>1201</v>
  </rv>
  <rv s="1">
    <v>1</v>
    <v>JUNIORBEES</v>
    <v>Daily</v>
    <v>45112</v>
    <v>45112</v>
    <v>0</v>
    <v>1</v>
    <v>638241120000000000,639087303808791508,0</v>
    <v>0</v>
    <v>ahij52</v>
    <v>XNSE:JUNIORBEES</v>
    <v>1202</v>
  </rv>
  <rv s="1">
    <v>1</v>
    <v>JUNIORBEES</v>
    <v>Daily</v>
    <v>45225</v>
    <v>45225</v>
    <v>0</v>
    <v>1</v>
    <v>638338752000000000,639087303809412722,0</v>
    <v>0</v>
    <v>ahij52</v>
    <v>XNSE:JUNIORBEES</v>
    <v>1203</v>
  </rv>
  <rv s="1">
    <v>1</v>
    <v>JUNIORBEES</v>
    <v>Daily</v>
    <v>45260</v>
    <v>45260</v>
    <v>0</v>
    <v>1</v>
    <v>638368992000000000,639087303809452572,0</v>
    <v>0</v>
    <v>ahij52</v>
    <v>XNSE:JUNIORBEES</v>
    <v>1204</v>
  </rv>
  <rv s="1">
    <v>1</v>
    <v>JUNIORBEES</v>
    <v>Daily</v>
    <v>44887</v>
    <v>44887</v>
    <v>0</v>
    <v>1</v>
    <v>638046720000000000,639087303809512285,0</v>
    <v>0</v>
    <v>ahij52</v>
    <v>XNSE:JUNIORBEES</v>
    <v>1205</v>
  </rv>
  <rv s="1">
    <v>1</v>
    <v>JUNIORBEES</v>
    <v>Daily</v>
    <v>45022</v>
    <v>45022</v>
    <v>0</v>
    <v>1</v>
    <v>638163360000000000,639087303809552887,0</v>
    <v>0</v>
    <v>ahij52</v>
    <v>XNSE:JUNIORBEES</v>
    <v>1206</v>
  </rv>
  <rv s="1">
    <v>1</v>
    <v>JUNIORBEES</v>
    <v>Daily</v>
    <v>45629</v>
    <v>45629</v>
    <v>0</v>
    <v>1</v>
    <v>638687808000000000,639087303809572806,0</v>
    <v>0</v>
    <v>ahij52</v>
    <v>XNSE:JUNIORBEES</v>
    <v>1207</v>
  </rv>
  <rv s="1">
    <v>1</v>
    <v>JUNIORBEES</v>
    <v>Daily</v>
    <v>45447</v>
    <v>45447</v>
    <v>0</v>
    <v>1</v>
    <v>638530560000000000,639087303814588199,0</v>
    <v>0</v>
    <v>ahij52</v>
    <v>XNSE:JUNIORBEES</v>
    <v>1208</v>
  </rv>
  <rv s="1">
    <v>1</v>
    <v>JUNIORBEES</v>
    <v>Daily</v>
    <v>45267</v>
    <v>45267</v>
    <v>0</v>
    <v>1</v>
    <v>638375040000000000,639087303813117472,0</v>
    <v>0</v>
    <v>ahij52</v>
    <v>XNSE:JUNIORBEES</v>
    <v>1209</v>
  </rv>
  <rv s="1">
    <v>1</v>
    <v>JUNIORBEES</v>
    <v>Daily</v>
    <v>45427</v>
    <v>45427</v>
    <v>0</v>
    <v>1</v>
    <v>638513280000000000,639087303814287733,0</v>
    <v>0</v>
    <v>ahij52</v>
    <v>XNSE:JUNIORBEES</v>
    <v>1210</v>
  </rv>
  <rv s="1">
    <v>1</v>
    <v>JUNIORBEES</v>
    <v>Daily</v>
    <v>44826</v>
    <v>44826</v>
    <v>0</v>
    <v>1</v>
    <v>637994016000000000,639087303812917834,0</v>
    <v>0</v>
    <v>ahij52</v>
    <v>XNSE:JUNIORBEES</v>
    <v>1211</v>
  </rv>
  <rv s="1">
    <v>1</v>
    <v>JUNIORBEES</v>
    <v>Daily</v>
    <v>44973</v>
    <v>44973</v>
    <v>0</v>
    <v>1</v>
    <v>638121024000000000,639087303813307922,0</v>
    <v>0</v>
    <v>ahij52</v>
    <v>XNSE:JUNIORBEES</v>
    <v>1212</v>
  </rv>
  <rv s="1">
    <v>1</v>
    <v>JUNIORBEES</v>
    <v>Daily</v>
    <v>45791</v>
    <v>45791</v>
    <v>0</v>
    <v>1</v>
    <v>638827776000000000,639087303813697605,0</v>
    <v>0</v>
    <v>ahij52</v>
    <v>XNSE:JUNIORBEES</v>
    <v>1213</v>
  </rv>
  <rv s="1">
    <v>1</v>
    <v>JUNIORBEES</v>
    <v>Daily</v>
    <v>44777</v>
    <v>44777</v>
    <v>0</v>
    <v>1</v>
    <v>637951680000000000,639087303812779975,0</v>
    <v>0</v>
    <v>ahij52</v>
    <v>XNSE:JUNIORBEES</v>
    <v>1214</v>
  </rv>
  <rv s="1">
    <v>1</v>
    <v>JUNIORBEES</v>
    <v>Daily</v>
    <v>44504</v>
    <v>44504</v>
    <v>0</v>
    <v>1</v>
    <v>637715808000000000,639087303815297966,0</v>
    <v>0</v>
    <v>ahij52</v>
    <v>XNSE:JUNIORBEES</v>
    <v>1215</v>
  </rv>
  <rv s="1">
    <v>1</v>
    <v>JUNIORBEES</v>
    <v>Daily</v>
    <v>45202</v>
    <v>45202</v>
    <v>0</v>
    <v>1</v>
    <v>638318880000000000,639087303814131775,0</v>
    <v>0</v>
    <v>ahij52</v>
    <v>XNSE:JUNIORBEES</v>
    <v>1216</v>
  </rv>
  <rv s="1">
    <v>1</v>
    <v>JUNIORBEES</v>
    <v>Daily</v>
    <v>44691</v>
    <v>44691</v>
    <v>0</v>
    <v>1</v>
    <v>637877376000000000,639087303814599748,0</v>
    <v>0</v>
    <v>ahij52</v>
    <v>XNSE:JUNIORBEES</v>
    <v>1217</v>
  </rv>
  <rv s="1">
    <v>1</v>
    <v>JUNIORBEES</v>
    <v>Daily</v>
    <v>45302</v>
    <v>45302</v>
    <v>0</v>
    <v>1</v>
    <v>638405280000000000,639087303815690606,0</v>
    <v>0</v>
    <v>ahij52</v>
    <v>XNSE:JUNIORBEES</v>
    <v>1218</v>
  </rv>
  <rv s="1">
    <v>1</v>
    <v>JUNIORBEES</v>
    <v>Daily</v>
    <v>45694</v>
    <v>45694</v>
    <v>0</v>
    <v>1</v>
    <v>638743968000000000,639087303817611022,0</v>
    <v>0</v>
    <v>ahij52</v>
    <v>XNSE:JUNIORBEES</v>
    <v>1219</v>
  </rv>
  <rv s="1">
    <v>1</v>
    <v>JUNIORBEES</v>
    <v>Daily</v>
    <v>45617</v>
    <v>45617</v>
    <v>0</v>
    <v>1</v>
    <v>638677440000000000,639087303835971722,0</v>
    <v>0</v>
    <v>ahij52</v>
    <v>XNSE:JUNIORBEES</v>
    <v>1220</v>
  </rv>
  <rv s="1">
    <v>1</v>
    <v>JUNIORBEES</v>
    <v>Daily</v>
    <v>44553</v>
    <v>44553</v>
    <v>0</v>
    <v>1</v>
    <v>637758144000000000,639087303816596788,0</v>
    <v>0</v>
    <v>ahij52</v>
    <v>XNSE:JUNIORBEES</v>
    <v>1221</v>
  </rv>
  <rv s="1">
    <v>1</v>
    <v>JUNIORBEES</v>
    <v>Daily</v>
    <v>45588</v>
    <v>45588</v>
    <v>0</v>
    <v>1</v>
    <v>638652384000000000,639087303815673476,0</v>
    <v>0</v>
    <v>ahij52</v>
    <v>XNSE:JUNIORBEES</v>
    <v>1222</v>
  </rv>
  <rv s="1">
    <v>1</v>
    <v>JUNIORBEES</v>
    <v>Daily</v>
    <v>45363</v>
    <v>45363</v>
    <v>0</v>
    <v>1</v>
    <v>638457984000000000,639087303815713300,0</v>
    <v>0</v>
    <v>ahij52</v>
    <v>XNSE:JUNIORBEES</v>
    <v>1223</v>
  </rv>
  <rv s="1">
    <v>1</v>
    <v>JUNIORBEES</v>
    <v>Daily</v>
    <v>45475</v>
    <v>45475</v>
    <v>0</v>
    <v>1</v>
    <v>638554752000000000,639087303819426995,0</v>
    <v>0</v>
    <v>ahij52</v>
    <v>XNSE:JUNIORBEES</v>
    <v>1224</v>
  </rv>
  <rv s="1">
    <v>1</v>
    <v>JUNIORBEES</v>
    <v>Daily</v>
    <v>44770</v>
    <v>44770</v>
    <v>0</v>
    <v>1</v>
    <v>637945632000000000,639087303818602357,0</v>
    <v>0</v>
    <v>ahij52</v>
    <v>XNSE:JUNIORBEES</v>
    <v>1225</v>
  </rv>
  <rv s="1">
    <v>1</v>
    <v>JUNIORBEES</v>
    <v>Daily</v>
    <v>45216</v>
    <v>45216</v>
    <v>0</v>
    <v>1</v>
    <v>638330976000000000,639087303818663011,0</v>
    <v>0</v>
    <v>ahij52</v>
    <v>XNSE:JUNIORBEES</v>
    <v>1226</v>
  </rv>
  <rv s="1">
    <v>1</v>
    <v>JUNIORBEES</v>
    <v>Daily</v>
    <v>45252</v>
    <v>45252</v>
    <v>0</v>
    <v>1</v>
    <v>638362080000000000,639087303823480149,0</v>
    <v>0</v>
    <v>ahij52</v>
    <v>XNSE:JUNIORBEES</v>
    <v>1227</v>
  </rv>
  <rv s="1">
    <v>1</v>
    <v>JUNIORBEES</v>
    <v>Daily</v>
    <v>45217</v>
    <v>45217</v>
    <v>0</v>
    <v>1</v>
    <v>638331840000000000,639087303819417036,0</v>
    <v>0</v>
    <v>ahij52</v>
    <v>XNSE:JUNIORBEES</v>
    <v>1228</v>
  </rv>
  <rv s="1">
    <v>1</v>
    <v>JUNIORBEES</v>
    <v>Daily</v>
    <v>45405</v>
    <v>45405</v>
    <v>0</v>
    <v>1</v>
    <v>638494272000000000,639087303819554165,0</v>
    <v>0</v>
    <v>ahij52</v>
    <v>XNSE:JUNIORBEES</v>
    <v>1229</v>
  </rv>
  <rv s="1">
    <v>1</v>
    <v>JUNIORBEES</v>
    <v>Daily</v>
    <v>44497</v>
    <v>44497</v>
    <v>0</v>
    <v>1</v>
    <v>637709760000000000,639087303819593996,0</v>
    <v>0</v>
    <v>ahij52</v>
    <v>XNSE:JUNIORBEES</v>
    <v>1230</v>
  </rv>
  <rv s="1">
    <v>1</v>
    <v>JUNIORBEES</v>
    <v>Daily</v>
    <v>44805</v>
    <v>44805</v>
    <v>0</v>
    <v>1</v>
    <v>637975872000000000,639087303819603953,0</v>
    <v>0</v>
    <v>ahij52</v>
    <v>XNSE:JUNIORBEES</v>
    <v>1231</v>
  </rv>
  <rv s="1">
    <v>1</v>
    <v>JUNIORBEES</v>
    <v>Daily</v>
    <v>45398</v>
    <v>45398</v>
    <v>0</v>
    <v>1</v>
    <v>638488224000000000,639087303819643772,0</v>
    <v>0</v>
    <v>ahij52</v>
    <v>XNSE:JUNIORBEES</v>
    <v>1232</v>
  </rv>
  <rv s="1">
    <v>1</v>
    <v>JUNIORBEES</v>
    <v>Daily</v>
    <v>45295</v>
    <v>45295</v>
    <v>0</v>
    <v>1</v>
    <v>638399232000000000,639087303820812460,0</v>
    <v>0</v>
    <v>ahij52</v>
    <v>XNSE:JUNIORBEES</v>
    <v>1233</v>
  </rv>
  <rv s="1">
    <v>1</v>
    <v>JUNIORBEES</v>
    <v>Daily</v>
    <v>45358</v>
    <v>45358</v>
    <v>0</v>
    <v>1</v>
    <v>638453664000000000,639087303821509401,0</v>
    <v>0</v>
    <v>ahij52</v>
    <v>XNSE:JUNIORBEES</v>
    <v>1234</v>
  </rv>
  <rv s="1">
    <v>1</v>
    <v>JUNIORBEES</v>
    <v>Daily</v>
    <v>45029</v>
    <v>45029</v>
    <v>0</v>
    <v>1</v>
    <v>638169408000000000,639087303821748358,0</v>
    <v>0</v>
    <v>ahij52</v>
    <v>XNSE:JUNIORBEES</v>
    <v>1235</v>
  </rv>
  <rv s="1">
    <v>1</v>
    <v>JUNIORBEES</v>
    <v>Daily</v>
    <v>45699</v>
    <v>45699</v>
    <v>0</v>
    <v>1</v>
    <v>638748288000000000,639087303822684245,0</v>
    <v>0</v>
    <v>ahij52</v>
    <v>XNSE:JUNIORBEES</v>
    <v>1236</v>
  </rv>
  <rv s="1">
    <v>1</v>
    <v>JUNIORBEES</v>
    <v>Daily</v>
    <v>45645</v>
    <v>45645</v>
    <v>0</v>
    <v>1</v>
    <v>638701632000000000,639087303820808290,0</v>
    <v>0</v>
    <v>ahij52</v>
    <v>XNSE:JUNIORBEES</v>
    <v>1237</v>
  </rv>
  <rv s="1">
    <v>1</v>
    <v>JUNIORBEES</v>
    <v>Daily</v>
    <v>44978</v>
    <v>44978</v>
    <v>0</v>
    <v>1</v>
    <v>638125344000000000,639087303822154995,0</v>
    <v>0</v>
    <v>ahij52</v>
    <v>XNSE:JUNIORBEES</v>
    <v>1238</v>
  </rv>
  <rv s="1">
    <v>1</v>
    <v>JUNIORBEES</v>
    <v>Daily</v>
    <v>45764</v>
    <v>45764</v>
    <v>0</v>
    <v>1</v>
    <v>638804448000000000,639087303822451503,0</v>
    <v>0</v>
    <v>ahij52</v>
    <v>XNSE:JUNIORBEES</v>
    <v>1239</v>
  </rv>
  <rv s="1">
    <v>1</v>
    <v>JUNIORBEES</v>
    <v>Daily</v>
    <v>44726</v>
    <v>44726</v>
    <v>0</v>
    <v>1</v>
    <v>637907616000000000,639087303822901725,0</v>
    <v>0</v>
    <v>ahij52</v>
    <v>XNSE:JUNIORBEES</v>
    <v>1240</v>
  </rv>
  <rv s="1">
    <v>1</v>
    <v>JUNIORBEES</v>
    <v>Daily</v>
    <v>44833</v>
    <v>44833</v>
    <v>0</v>
    <v>1</v>
    <v>638000064000000000,639087303823208166,0</v>
    <v>0</v>
    <v>ahij52</v>
    <v>XNSE:JUNIORBEES</v>
    <v>1241</v>
  </rv>
  <rv s="1">
    <v>1</v>
    <v>JUNIORBEES</v>
    <v>Daily</v>
    <v>45700</v>
    <v>45700</v>
    <v>0</v>
    <v>1</v>
    <v>638749152000000000,639087303823359712,0</v>
    <v>0</v>
    <v>ahij52</v>
    <v>XNSE:JUNIORBEES</v>
    <v>1242</v>
  </rv>
  <rv s="1">
    <v>1</v>
    <v>JUNIORBEES</v>
    <v>Daily</v>
    <v>45245</v>
    <v>45245</v>
    <v>0</v>
    <v>1</v>
    <v>638356032000000000,639087303824079897,0</v>
    <v>0</v>
    <v>ahij52</v>
    <v>XNSE:JUNIORBEES</v>
    <v>1243</v>
  </rv>
  <rv s="1">
    <v>1</v>
    <v>JUNIORBEES</v>
    <v>Daily</v>
    <v>45034</v>
    <v>45034</v>
    <v>0</v>
    <v>1</v>
    <v>638173728000000000,639087303827860758,0</v>
    <v>0</v>
    <v>ahij52</v>
    <v>XNSE:JUNIORBEES</v>
    <v>1244</v>
  </rv>
  <rv s="1">
    <v>1</v>
    <v>JUNIORBEES</v>
    <v>Daily</v>
    <v>44840</v>
    <v>44840</v>
    <v>0</v>
    <v>1</v>
    <v>638006112000000000,639087303828330856,0</v>
    <v>0</v>
    <v>ahij52</v>
    <v>XNSE:JUNIORBEES</v>
    <v>1245</v>
  </rv>
  <rv s="1">
    <v>1</v>
    <v>JUNIORBEES</v>
    <v>Daily</v>
    <v>45505</v>
    <v>45505</v>
    <v>0</v>
    <v>1</v>
    <v>638580672000000000,639087303824173508,0</v>
    <v>0</v>
    <v>ahij52</v>
    <v>XNSE:JUNIORBEES</v>
    <v>1246</v>
  </rv>
  <rv s="1">
    <v>1</v>
    <v>JUNIORBEES</v>
    <v>Daily</v>
    <v>45203</v>
    <v>45203</v>
    <v>0</v>
    <v>1</v>
    <v>638319744000000000,639087303824193423,0</v>
    <v>0</v>
    <v>ahij52</v>
    <v>XNSE:JUNIORBEES</v>
    <v>1247</v>
  </rv>
  <rv s="1">
    <v>1</v>
    <v>JUNIORBEES</v>
    <v>Daily</v>
    <v>44742</v>
    <v>44742</v>
    <v>0</v>
    <v>1</v>
    <v>637921440000000000,639087303824263113,0</v>
    <v>0</v>
    <v>ahij52</v>
    <v>XNSE:JUNIORBEES</v>
    <v>1248</v>
  </rv>
  <rv s="1">
    <v>1</v>
    <v>JUNIORBEES</v>
    <v>Daily</v>
    <v>45169</v>
    <v>45169</v>
    <v>0</v>
    <v>1</v>
    <v>638290368000000000,639087303825129740,0</v>
    <v>0</v>
    <v>ahij52</v>
    <v>XNSE:JUNIORBEES</v>
    <v>1249</v>
  </rv>
  <rv s="1">
    <v>1</v>
    <v>JUNIORBEES</v>
    <v>Daily</v>
    <v>44490</v>
    <v>44490</v>
    <v>0</v>
    <v>1</v>
    <v>637703712000000000,639087303825617163,0</v>
    <v>0</v>
    <v>ahij52</v>
    <v>XNSE:JUNIORBEES</v>
    <v>1250</v>
  </rv>
  <rv s="1">
    <v>1</v>
    <v>JUNIORBEES</v>
    <v>Daily</v>
    <v>45162</v>
    <v>45162</v>
    <v>0</v>
    <v>1</v>
    <v>638284320000000000,639087303825311144,0</v>
    <v>0</v>
    <v>ahij52</v>
    <v>XNSE:JUNIORBEES</v>
    <v>1251</v>
  </rv>
  <rv s="1">
    <v>1</v>
    <v>JUNIORBEES</v>
    <v>Daily</v>
    <v>44483</v>
    <v>44483</v>
    <v>0</v>
    <v>1</v>
    <v>637697664000000000,639087303825759156,0</v>
    <v>0</v>
    <v>ahij52</v>
    <v>XNSE:JUNIORBEES</v>
    <v>1252</v>
  </rv>
  <rv s="1">
    <v>1</v>
    <v>JUNIORBEES</v>
    <v>Daily</v>
    <v>45155</v>
    <v>45155</v>
    <v>0</v>
    <v>1</v>
    <v>638278272000000000,639087303824820651,0</v>
    <v>0</v>
    <v>ahij52</v>
    <v>XNSE:JUNIORBEES</v>
    <v>1253</v>
  </rv>
  <rv s="1">
    <v>1</v>
    <v>JUNIORBEES</v>
    <v>Daily</v>
    <v>44476</v>
    <v>44476</v>
    <v>0</v>
    <v>1</v>
    <v>637691616000000000,639087303824860487,0</v>
    <v>0</v>
    <v>ahij52</v>
    <v>XNSE:JUNIORBEES</v>
    <v>1254</v>
  </rv>
  <rv s="1">
    <v>1</v>
    <v>JUNIORBEES</v>
    <v>Daily</v>
    <v>44469</v>
    <v>44469</v>
    <v>0</v>
    <v>1</v>
    <v>637685568000000000,639087303824979950,0</v>
    <v>0</v>
    <v>ahij52</v>
    <v>XNSE:JUNIORBEES</v>
    <v>1255</v>
  </rv>
  <rv s="1">
    <v>1</v>
    <v>JUNIORBEES</v>
    <v>Daily</v>
    <v>45148</v>
    <v>45148</v>
    <v>0</v>
    <v>1</v>
    <v>638272224000000000,639087303828377670,0</v>
    <v>0</v>
    <v>ahij52</v>
    <v>XNSE:JUNIORBEES</v>
    <v>1256</v>
  </rv>
  <rv s="1">
    <v>1</v>
    <v>JUNIORBEES</v>
    <v>Daily</v>
    <v>44462</v>
    <v>44462</v>
    <v>0</v>
    <v>1</v>
    <v>637679520000000000,639087303836111489,0</v>
    <v>0</v>
    <v>ahij52</v>
    <v>XNSE:JUNIORBEES</v>
    <v>1257</v>
  </rv>
  <rv s="1">
    <v>1</v>
    <v>JUNIORBEES</v>
    <v>Daily</v>
    <v>45141</v>
    <v>45141</v>
    <v>0</v>
    <v>1</v>
    <v>638266176000000000,639087303836153555,0</v>
    <v>0</v>
    <v>ahij52</v>
    <v>XNSE:JUNIORBEES</v>
    <v>1258</v>
  </rv>
  <rv s="1">
    <v>1</v>
    <v>JUNIORBEES</v>
    <v>Daily</v>
    <v>45134</v>
    <v>45134</v>
    <v>0</v>
    <v>1</v>
    <v>638260128000000000,639087303836230956,0</v>
    <v>0</v>
    <v>ahij52</v>
    <v>XNSE:JUNIORBEES</v>
    <v>1259</v>
  </rv>
  <rv s="1">
    <v>1</v>
    <v>JUNIORBEES</v>
    <v>Daily</v>
    <v>44455</v>
    <v>44455</v>
    <v>0</v>
    <v>1</v>
    <v>637673472000000000,639087303836452233,0</v>
    <v>0</v>
    <v>ahij52</v>
    <v>XNSE:JUNIORBEES</v>
    <v>1260</v>
  </rv>
  <rv s="1">
    <v>1</v>
    <v>JUNIORBEES</v>
    <v>Daily</v>
    <v>45127</v>
    <v>45127</v>
    <v>0</v>
    <v>1</v>
    <v>638254080000000000,639087303831023931,0</v>
    <v>0</v>
    <v>ahij52</v>
    <v>XNSE:JUNIORBEES</v>
    <v>1261</v>
  </rv>
  <rv s="1">
    <v>1</v>
    <v>JUNIORBEES</v>
    <v>Daily</v>
    <v>44448</v>
    <v>44448</v>
    <v>0</v>
    <v>1</v>
    <v>637667424000000000,639087303829071032,0</v>
    <v>0</v>
    <v>ahij52</v>
    <v>XNSE:JUNIORBEES</v>
    <v>1262</v>
  </rv>
  <rv s="1">
    <v>1</v>
    <v>JUNIORBEES</v>
    <v>Daily</v>
    <v>45120</v>
    <v>45120</v>
    <v>0</v>
    <v>1</v>
    <v>638248032000000000,639087303830333779,0</v>
    <v>0</v>
    <v>ahij52</v>
    <v>XNSE:JUNIORBEES</v>
    <v>1263</v>
  </rv>
  <rv s="1">
    <v>1</v>
    <v>JUNIORBEES</v>
    <v>Daily</v>
    <v>44441</v>
    <v>44441</v>
    <v>0</v>
    <v>1</v>
    <v>637661376000000000,639087303830753880,0</v>
    <v>0</v>
    <v>ahij52</v>
    <v>XNSE:JUNIORBEES</v>
    <v>1221</v>
  </rv>
  <rv s="1">
    <v>1</v>
    <v>JUNIORBEES</v>
    <v>Daily</v>
    <v>44434</v>
    <v>44434</v>
    <v>0</v>
    <v>1</v>
    <v>637655328000000000,639087303831621609,0</v>
    <v>0</v>
    <v>ahij52</v>
    <v>XNSE:JUNIORBEES</v>
    <v>1264</v>
  </rv>
  <rv s="1">
    <v>1</v>
    <v>JUNIORBEES</v>
    <v>Daily</v>
    <v>45113</v>
    <v>45113</v>
    <v>0</v>
    <v>1</v>
    <v>638241984000000000,639087303832081715,0</v>
    <v>0</v>
    <v>ahij52</v>
    <v>XNSE:JUNIORBEES</v>
    <v>1265</v>
  </rv>
  <rv s="1">
    <v>1</v>
    <v>JUNIORBEES</v>
    <v>Daily</v>
    <v>44420</v>
    <v>44420</v>
    <v>0</v>
    <v>1</v>
    <v>637643232000000000,639087303833021927,0</v>
    <v>0</v>
    <v>ahij52</v>
    <v>XNSE:JUNIORBEES</v>
    <v>1266</v>
  </rv>
  <rv s="1">
    <v>1</v>
    <v>JUNIORBEES</v>
    <v>Daily</v>
    <v>45099</v>
    <v>45099</v>
    <v>0</v>
    <v>1</v>
    <v>638229888000000000,639087303833952129,0</v>
    <v>0</v>
    <v>ahij52</v>
    <v>XNSE:JUNIORBEES</v>
    <v>1267</v>
  </rv>
  <rv s="1">
    <v>1</v>
    <v>JUNIORBEES</v>
    <v>Daily</v>
    <v>44585</v>
    <v>44585</v>
    <v>0</v>
    <v>1</v>
    <v>637785792000000000,639087303875000370,0</v>
    <v>0</v>
    <v>ahij52</v>
    <v>XNSE:JUNIORBEES</v>
    <v>1268</v>
  </rv>
  <rv s="1">
    <v>1</v>
    <v>JUNIORBEES</v>
    <v>Daily</v>
    <v>44263</v>
    <v>44263</v>
    <v>0</v>
    <v>1</v>
    <v>637507584000000000,639087303874786828,0</v>
    <v>0</v>
    <v>ahij52</v>
    <v>XNSE:JUNIORBEES</v>
    <v>1269</v>
  </rv>
  <rv s="1">
    <v>1</v>
    <v>JUNIORBEES</v>
    <v>Daily</v>
    <v>45327</v>
    <v>45327</v>
    <v>0</v>
    <v>1</v>
    <v>638426880000000000,639087303874916254,0</v>
    <v>0</v>
    <v>ahij52</v>
    <v>XNSE:JUNIORBEES</v>
    <v>1270</v>
  </rv>
  <rv s="1">
    <v>1</v>
    <v>JUNIORBEES</v>
    <v>Daily</v>
    <v>45509</v>
    <v>45509</v>
    <v>0</v>
    <v>1</v>
    <v>638584128000000000,639087303876912297,0</v>
    <v>0</v>
    <v>ahij52</v>
    <v>XNSE:JUNIORBEES</v>
    <v>1271</v>
  </rv>
  <rv s="1">
    <v>1</v>
    <v>JUNIORBEES</v>
    <v>Daily</v>
    <v>45642</v>
    <v>45642</v>
    <v>0</v>
    <v>1</v>
    <v>638699040000000000,639087303877071285,0</v>
    <v>0</v>
    <v>ahij52</v>
    <v>XNSE:JUNIORBEES</v>
    <v>1272</v>
  </rv>
  <rv s="1">
    <v>1</v>
    <v>JUNIORBEES</v>
    <v>Daily</v>
    <v>45355</v>
    <v>45355</v>
    <v>0</v>
    <v>1</v>
    <v>638451072000000000,639087303875837406,0</v>
    <v>0</v>
    <v>ahij52</v>
    <v>XNSE:JUNIORBEES</v>
    <v>1273</v>
  </rv>
  <rv s="1">
    <v>1</v>
    <v>JUNIORBEES</v>
    <v>Daily</v>
    <v>45110</v>
    <v>45110</v>
    <v>0</v>
    <v>1</v>
    <v>638239392000000000,639087303878569068,0</v>
    <v>0</v>
    <v>ahij52</v>
    <v>XNSE:JUNIORBEES</v>
    <v>1274</v>
  </rv>
  <rv s="1">
    <v>1</v>
    <v>JUNIORBEES</v>
    <v>Daily</v>
    <v>44725</v>
    <v>44725</v>
    <v>0</v>
    <v>1</v>
    <v>637906752000000000,639087303877096695,0</v>
    <v>0</v>
    <v>ahij52</v>
    <v>XNSE:JUNIORBEES</v>
    <v>1275</v>
  </rv>
  <rv s="1">
    <v>1</v>
    <v>JUNIORBEES</v>
    <v>Daily</v>
    <v>44571</v>
    <v>44571</v>
    <v>0</v>
    <v>1</v>
    <v>637773696000000000,639087303878224174,0</v>
    <v>0</v>
    <v>ahij52</v>
    <v>XNSE:JUNIORBEES</v>
    <v>1276</v>
  </rv>
  <rv s="1">
    <v>1</v>
    <v>JUNIORBEES</v>
    <v>Daily</v>
    <v>44928</v>
    <v>44928</v>
    <v>0</v>
    <v>1</v>
    <v>638082144000000000,639087303878704273,0</v>
    <v>0</v>
    <v>ahij52</v>
    <v>XNSE:JUNIORBEES</v>
    <v>1277</v>
  </rv>
  <rv s="1">
    <v>1</v>
    <v>JUNIORBEES</v>
    <v>Daily</v>
    <v>45341</v>
    <v>45341</v>
    <v>0</v>
    <v>1</v>
    <v>638438976000000000,639087303879172274,0</v>
    <v>0</v>
    <v>ahij52</v>
    <v>XNSE:JUNIORBEES</v>
    <v>1278</v>
  </rv>
  <rv s="1">
    <v>1</v>
    <v>JUNIORBEES</v>
    <v>Daily</v>
    <v>44998</v>
    <v>44998</v>
    <v>0</v>
    <v>1</v>
    <v>638142624000000000,639087303882492961,0</v>
    <v>0</v>
    <v>ahij52</v>
    <v>XNSE:JUNIORBEES</v>
    <v>1279</v>
  </rv>
  <rv s="1">
    <v>1</v>
    <v>JUNIORBEES</v>
    <v>Daily</v>
    <v>44600</v>
    <v>44600</v>
    <v>0</v>
    <v>1</v>
    <v>637798752000000000,639087303881078072,0</v>
    <v>0</v>
    <v>ahij52</v>
    <v>XNSE:JUNIORBEES</v>
    <v>1280</v>
  </rv>
  <rv s="1">
    <v>1</v>
    <v>JUNIORBEES</v>
    <v>Daily</v>
    <v>45299</v>
    <v>45299</v>
    <v>0</v>
    <v>1</v>
    <v>638402688000000000,639087303879859366,0</v>
    <v>0</v>
    <v>ahij52</v>
    <v>XNSE:JUNIORBEES</v>
    <v>1281</v>
  </rv>
  <rv s="1">
    <v>1</v>
    <v>JUNIORBEES</v>
    <v>Daily</v>
    <v>45586</v>
    <v>45586</v>
    <v>0</v>
    <v>1</v>
    <v>638650656000000000,639087303879909133,0</v>
    <v>0</v>
    <v>ahij52</v>
    <v>XNSE:JUNIORBEES</v>
    <v>1282</v>
  </rv>
  <rv s="1">
    <v>1</v>
    <v>JUNIORBEES</v>
    <v>Daily</v>
    <v>44445</v>
    <v>44445</v>
    <v>0</v>
    <v>1</v>
    <v>637664832000000000,639087303880957677,0</v>
    <v>0</v>
    <v>ahij52</v>
    <v>XNSE:JUNIORBEES</v>
    <v>1283</v>
  </rv>
  <rv s="1">
    <v>1</v>
    <v>JUNIORBEES</v>
    <v>Daily</v>
    <v>45082</v>
    <v>45082</v>
    <v>0</v>
    <v>1</v>
    <v>638215200000000000,639087303881204662,0</v>
    <v>0</v>
    <v>ahij52</v>
    <v>XNSE:JUNIORBEES</v>
    <v>1284</v>
  </rv>
  <rv s="1">
    <v>1</v>
    <v>JUNIORBEES</v>
    <v>Daily</v>
    <v>44270</v>
    <v>44270</v>
    <v>0</v>
    <v>1</v>
    <v>637513632000000000,639087303882630318,0</v>
    <v>0</v>
    <v>ahij52</v>
    <v>XNSE:JUNIORBEES</v>
    <v>1285</v>
  </rv>
  <rv s="1">
    <v>1</v>
    <v>JUNIORBEES</v>
    <v>Daily</v>
    <v>44718</v>
    <v>44718</v>
    <v>0</v>
    <v>1</v>
    <v>637900704000000000,639087303882322954,0</v>
    <v>0</v>
    <v>ahij52</v>
    <v>XNSE:JUNIORBEES</v>
    <v>1286</v>
  </rv>
  <rv s="1">
    <v>1</v>
    <v>JUNIORBEES</v>
    <v>Daily</v>
    <v>44545</v>
    <v>44545</v>
    <v>0</v>
    <v>1</v>
    <v>637751232000000000,639087303882793069,0</v>
    <v>0</v>
    <v>ahij52</v>
    <v>XNSE:JUNIORBEES</v>
    <v>1287</v>
  </rv>
  <rv s="1">
    <v>1</v>
    <v>JUNIORBEES</v>
    <v>Daily</v>
    <v>44340</v>
    <v>44340</v>
    <v>0</v>
    <v>1</v>
    <v>637574112000000000,639087303880371034,0</v>
    <v>0</v>
    <v>ahij52</v>
    <v>XNSE:JUNIORBEES</v>
    <v>1288</v>
  </rv>
  <rv s="1">
    <v>1</v>
    <v>JUNIORBEES</v>
    <v>Daily</v>
    <v>44663</v>
    <v>44663</v>
    <v>0</v>
    <v>1</v>
    <v>637853184000000000,639087303882442078,0</v>
    <v>0</v>
    <v>ahij52</v>
    <v>XNSE:JUNIORBEES</v>
    <v>1289</v>
  </rv>
  <rv s="1">
    <v>1</v>
    <v>JUNIORBEES</v>
    <v>Daily</v>
    <v>44452</v>
    <v>44452</v>
    <v>0</v>
    <v>1</v>
    <v>637670880000000000,639087303882681038,0</v>
    <v>0</v>
    <v>ahij52</v>
    <v>XNSE:JUNIORBEES</v>
    <v>1205</v>
  </rv>
  <rv s="1">
    <v>1</v>
    <v>JUNIORBEES</v>
    <v>Daily</v>
    <v>45005</v>
    <v>45005</v>
    <v>0</v>
    <v>1</v>
    <v>638148672000000000,639087303883375139,0</v>
    <v>0</v>
    <v>ahij52</v>
    <v>XNSE:JUNIORBEES</v>
    <v>1290</v>
  </rv>
  <rv s="1">
    <v>1</v>
    <v>JUNIORBEES</v>
    <v>Daily</v>
    <v>45187</v>
    <v>45187</v>
    <v>0</v>
    <v>1</v>
    <v>638305920000000000,639087303883477544,0</v>
    <v>0</v>
    <v>ahij52</v>
    <v>XNSE:JUNIORBEES</v>
    <v>1291</v>
  </rv>
  <rv s="1">
    <v>1</v>
    <v>JUNIORBEES</v>
    <v>Daily</v>
    <v>45474</v>
    <v>45474</v>
    <v>0</v>
    <v>1</v>
    <v>638553888000000000,639087303883955447,0</v>
    <v>0</v>
    <v>ahij52</v>
    <v>XNSE:JUNIORBEES</v>
    <v>1292</v>
  </rv>
  <rv s="1">
    <v>1</v>
    <v>JUNIORBEES</v>
    <v>Daily</v>
    <v>45516</v>
    <v>45516</v>
    <v>0</v>
    <v>1</v>
    <v>638590176000000000,639087303887076089,0</v>
    <v>0</v>
    <v>ahij52</v>
    <v>XNSE:JUNIORBEES</v>
    <v>1293</v>
  </rv>
  <rv s="1">
    <v>1</v>
    <v>JUNIORBEES</v>
    <v>Daily</v>
    <v>45166</v>
    <v>45166</v>
    <v>0</v>
    <v>1</v>
    <v>638287776000000000,639087303884458815,0</v>
    <v>0</v>
    <v>ahij52</v>
    <v>XNSE:JUNIORBEES</v>
    <v>1294</v>
  </rv>
  <rv s="1">
    <v>1</v>
    <v>JUNIORBEES</v>
    <v>Daily</v>
    <v>45278</v>
    <v>45278</v>
    <v>0</v>
    <v>1</v>
    <v>638384544000000000,639087303884620739,0</v>
    <v>0</v>
    <v>ahij52</v>
    <v>XNSE:JUNIORBEES</v>
    <v>1295</v>
  </rv>
  <rv s="1">
    <v>1</v>
    <v>JUNIORBEES</v>
    <v>Daily</v>
    <v>44907</v>
    <v>44907</v>
    <v>0</v>
    <v>1</v>
    <v>638064000000000000,639087303884787699,0</v>
    <v>0</v>
    <v>ahij52</v>
    <v>XNSE:JUNIORBEES</v>
    <v>1296</v>
  </rv>
  <rv s="1">
    <v>1</v>
    <v>JUNIORBEES</v>
    <v>Daily</v>
    <v>45320</v>
    <v>45320</v>
    <v>0</v>
    <v>1</v>
    <v>638420832000000000,639087303884723236,0</v>
    <v>0</v>
    <v>ahij52</v>
    <v>XNSE:JUNIORBEES</v>
    <v>1297</v>
  </rv>
  <rv s="1">
    <v>1</v>
    <v>JUNIORBEES</v>
    <v>Daily</v>
    <v>44914</v>
    <v>44914</v>
    <v>0</v>
    <v>1</v>
    <v>638070048000000000,639087303884891180,0</v>
    <v>0</v>
    <v>ahij52</v>
    <v>XNSE:JUNIORBEES</v>
    <v>1298</v>
  </rv>
  <rv s="1">
    <v>1</v>
    <v>JUNIORBEES</v>
    <v>Daily</v>
    <v>45649</v>
    <v>45649</v>
    <v>0</v>
    <v>1</v>
    <v>638705088000000000,639087303886553877,0</v>
    <v>0</v>
    <v>ahij52</v>
    <v>XNSE:JUNIORBEES</v>
    <v>1299</v>
  </rv>
  <rv s="1">
    <v>1</v>
    <v>JUNIORBEES</v>
    <v>Daily</v>
    <v>45418</v>
    <v>45418</v>
    <v>0</v>
    <v>1</v>
    <v>638505504000000000,639087303886704549,0</v>
    <v>0</v>
    <v>ahij52</v>
    <v>XNSE:JUNIORBEES</v>
    <v>1300</v>
  </rv>
  <rv s="1">
    <v>1</v>
    <v>JUNIORBEES</v>
    <v>Daily</v>
    <v>45523</v>
    <v>45523</v>
    <v>0</v>
    <v>1</v>
    <v>638596224000000000,639087303886734423,0</v>
    <v>0</v>
    <v>ahij52</v>
    <v>XNSE:JUNIORBEES</v>
    <v>1301</v>
  </rv>
  <rv s="1">
    <v>1</v>
    <v>JUNIORBEES</v>
    <v>Daily</v>
    <v>45229</v>
    <v>45229</v>
    <v>0</v>
    <v>1</v>
    <v>638342208000000000,639087303886286383,0</v>
    <v>0</v>
    <v>ahij52</v>
    <v>XNSE:JUNIORBEES</v>
    <v>1302</v>
  </rv>
  <rv s="1">
    <v>1</v>
    <v>JUNIORBEES</v>
    <v>Daily</v>
    <v>45621</v>
    <v>45621</v>
    <v>0</v>
    <v>1</v>
    <v>638680896000000000,639087303888604340,0</v>
    <v>0</v>
    <v>ahij52</v>
    <v>XNSE:JUNIORBEES</v>
    <v>1303</v>
  </rv>
  <rv s="1">
    <v>1</v>
    <v>JUNIORBEES</v>
    <v>Daily</v>
    <v>45762</v>
    <v>45762</v>
    <v>0</v>
    <v>1</v>
    <v>638802720000000000,639087303890034654,0</v>
    <v>0</v>
    <v>ahij52</v>
    <v>XNSE:JUNIORBEES</v>
    <v>1304</v>
  </rv>
  <rv s="1">
    <v>1</v>
    <v>JUNIORBEES</v>
    <v>Daily</v>
    <v>44291</v>
    <v>44291</v>
    <v>0</v>
    <v>1</v>
    <v>637531776000000000,639087303891927143,0</v>
    <v>0</v>
    <v>ahij52</v>
    <v>XNSE:JUNIORBEES</v>
    <v>1305</v>
  </rv>
  <rv s="1">
    <v>1</v>
    <v>JUNIORBEES</v>
    <v>Daily</v>
    <v>44697</v>
    <v>44697</v>
    <v>0</v>
    <v>1</v>
    <v>637882560000000000,639087303887876263,0</v>
    <v>0</v>
    <v>ahij52</v>
    <v>XNSE:JUNIORBEES</v>
    <v>1306</v>
  </rv>
  <rv s="1">
    <v>1</v>
    <v>JUNIORBEES</v>
    <v>Daily</v>
    <v>45054</v>
    <v>45054</v>
    <v>0</v>
    <v>1</v>
    <v>638191008000000000,639087303888296355,0</v>
    <v>0</v>
    <v>ahij52</v>
    <v>XNSE:JUNIORBEES</v>
    <v>1307</v>
  </rv>
  <rv s="1">
    <v>1</v>
    <v>JUNIORBEES</v>
    <v>Daily</v>
    <v>45677</v>
    <v>45677</v>
    <v>0</v>
    <v>1</v>
    <v>638729280000000000,639087303889566630,0</v>
    <v>0</v>
    <v>ahij52</v>
    <v>XNSE:JUNIORBEES</v>
    <v>1308</v>
  </rv>
  <rv s="1">
    <v>1</v>
    <v>JUNIORBEES</v>
    <v>Daily</v>
    <v>44543</v>
    <v>44543</v>
    <v>0</v>
    <v>1</v>
    <v>637749504000000000,639087303891687091,0</v>
    <v>0</v>
    <v>ahij52</v>
    <v>XNSE:JUNIORBEES</v>
    <v>1309</v>
  </rv>
  <rv s="1">
    <v>1</v>
    <v>JUNIORBEES</v>
    <v>Daily</v>
    <v>44530</v>
    <v>44530</v>
    <v>0</v>
    <v>1</v>
    <v>637738272000000000,639087303889054446,0</v>
    <v>0</v>
    <v>ahij52</v>
    <v>XNSE:JUNIORBEES</v>
    <v>1310</v>
  </rv>
  <rv s="1">
    <v>1</v>
    <v>JUNIORBEES</v>
    <v>Daily</v>
    <v>45208</v>
    <v>45208</v>
    <v>0</v>
    <v>1</v>
    <v>638324064000000000,639087303890224696,0</v>
    <v>0</v>
    <v>ahij52</v>
    <v>XNSE:JUNIORBEES</v>
    <v>1311</v>
  </rv>
  <rv s="1">
    <v>1</v>
    <v>JUNIORBEES</v>
    <v>Daily</v>
    <v>44277</v>
    <v>44277</v>
    <v>0</v>
    <v>1</v>
    <v>637519680000000000,639087303887884094,0</v>
    <v>0</v>
    <v>ahij52</v>
    <v>XNSE:JUNIORBEES</v>
    <v>1312</v>
  </rv>
  <rv s="1">
    <v>1</v>
    <v>JUNIORBEES</v>
    <v>Daily</v>
    <v>44753</v>
    <v>44753</v>
    <v>0</v>
    <v>1</v>
    <v>637930944000000000,639087303887926207,0</v>
    <v>0</v>
    <v>ahij52</v>
    <v>XNSE:JUNIORBEES</v>
    <v>1313</v>
  </rv>
  <rv s="1">
    <v>1</v>
    <v>JUNIORBEES</v>
    <v>Daily</v>
    <v>44578</v>
    <v>44578</v>
    <v>0</v>
    <v>1</v>
    <v>637779744000000000,639087303887946130,0</v>
    <v>0</v>
    <v>ahij52</v>
    <v>XNSE:JUNIORBEES</v>
    <v>1314</v>
  </rv>
  <rv s="1">
    <v>1</v>
    <v>JUNIORBEES</v>
    <v>Daily</v>
    <v>45138</v>
    <v>45138</v>
    <v>0</v>
    <v>1</v>
    <v>638263584000000000,639087303891565018,0</v>
    <v>0</v>
    <v>ahij52</v>
    <v>XNSE:JUNIORBEES</v>
    <v>1315</v>
  </rv>
  <rv s="1">
    <v>1</v>
    <v>JUNIORBEES</v>
    <v>Daily</v>
    <v>45145</v>
    <v>45145</v>
    <v>0</v>
    <v>1</v>
    <v>638269632000000000,639087303890076787,0</v>
    <v>0</v>
    <v>ahij52</v>
    <v>XNSE:JUNIORBEES</v>
    <v>1316</v>
  </rv>
  <rv s="1">
    <v>1</v>
    <v>JUNIORBEES</v>
    <v>Daily</v>
    <v>45656</v>
    <v>45656</v>
    <v>0</v>
    <v>1</v>
    <v>638711136000000000,639087303890223816,0</v>
    <v>0</v>
    <v>ahij52</v>
    <v>XNSE:JUNIORBEES</v>
    <v>1317</v>
  </rv>
  <rv s="1">
    <v>1</v>
    <v>JUNIORBEES</v>
    <v>Daily</v>
    <v>44354</v>
    <v>44354</v>
    <v>0</v>
    <v>1</v>
    <v>637586208000000000,639087303890373159,0</v>
    <v>0</v>
    <v>ahij52</v>
    <v>XNSE:JUNIORBEES</v>
    <v>1318</v>
  </rv>
  <rv s="1">
    <v>1</v>
    <v>JUNIORBEES</v>
    <v>Daily</v>
    <v>45117</v>
    <v>45117</v>
    <v>0</v>
    <v>1</v>
    <v>638245440000000000,639087303890544732,0</v>
    <v>0</v>
    <v>ahij52</v>
    <v>XNSE:JUNIORBEES</v>
    <v>1319</v>
  </rv>
  <rv s="1">
    <v>1</v>
    <v>JUNIORBEES</v>
    <v>Daily</v>
    <v>45695</v>
    <v>45695</v>
    <v>0</v>
    <v>1</v>
    <v>638744832000000000,639087303892395597,0</v>
    <v>0</v>
    <v>ahij52</v>
    <v>XNSE:JUNIORBEES</v>
    <v>1320</v>
  </rv>
  <rv s="1">
    <v>1</v>
    <v>JUNIORBEES</v>
    <v>Daily</v>
    <v>44627</v>
    <v>44627</v>
    <v>0</v>
    <v>1</v>
    <v>637822080000000000,639087303891231720,0</v>
    <v>0</v>
    <v>ahij52</v>
    <v>XNSE:JUNIORBEES</v>
    <v>1321</v>
  </rv>
  <rv s="1">
    <v>1</v>
    <v>JUNIORBEES</v>
    <v>Daily</v>
    <v>44566</v>
    <v>44566</v>
    <v>0</v>
    <v>1</v>
    <v>637769376000000000,639087303891530406,0</v>
    <v>0</v>
    <v>ahij52</v>
    <v>XNSE:JUNIORBEES</v>
    <v>1322</v>
  </rv>
  <rv s="1">
    <v>1</v>
    <v>JUNIORBEES</v>
    <v>Daily</v>
    <v>44552</v>
    <v>44552</v>
    <v>0</v>
    <v>1</v>
    <v>637757280000000000,639087303891679754,0</v>
    <v>0</v>
    <v>ahij52</v>
    <v>XNSE:JUNIORBEES</v>
    <v>1323</v>
  </rv>
  <rv s="1">
    <v>1</v>
    <v>JUNIORBEES</v>
    <v>Daily</v>
    <v>45600</v>
    <v>45600</v>
    <v>0</v>
    <v>1</v>
    <v>638662752000000000,639087303893847559,0</v>
    <v>0</v>
    <v>ahij52</v>
    <v>XNSE:JUNIORBEES</v>
    <v>1324</v>
  </rv>
  <rv s="1">
    <v>1</v>
    <v>JUNIORBEES</v>
    <v>Daily</v>
    <v>45159</v>
    <v>45159</v>
    <v>0</v>
    <v>1</v>
    <v>638281728000000000,639087303894237650,0</v>
    <v>0</v>
    <v>ahij52</v>
    <v>XNSE:JUNIORBEES</v>
    <v>1325</v>
  </rv>
  <rv s="1">
    <v>1</v>
    <v>JUNIORBEES</v>
    <v>Daily</v>
    <v>44690</v>
    <v>44690</v>
    <v>0</v>
    <v>1</v>
    <v>637876512000000000,639087303895407898,0</v>
    <v>0</v>
    <v>ahij52</v>
    <v>XNSE:JUNIORBEES</v>
    <v>1326</v>
  </rv>
  <rv s="1">
    <v>1</v>
    <v>JUNIORBEES</v>
    <v>Daily</v>
    <v>45614</v>
    <v>45614</v>
    <v>0</v>
    <v>1</v>
    <v>638674848000000000,639087303892656255,0</v>
    <v>0</v>
    <v>ahij52</v>
    <v>XNSE:JUNIORBEES</v>
    <v>1327</v>
  </rv>
  <rv s="1">
    <v>1</v>
    <v>JUNIORBEES</v>
    <v>Daily</v>
    <v>45635</v>
    <v>45635</v>
    <v>0</v>
    <v>1</v>
    <v>638692992000000000,639087303894060088,0</v>
    <v>0</v>
    <v>ahij52</v>
    <v>XNSE:JUNIORBEES</v>
    <v>1328</v>
  </rv>
  <rv s="1">
    <v>1</v>
    <v>JUNIORBEES</v>
    <v>Daily</v>
    <v>44683</v>
    <v>44683</v>
    <v>0</v>
    <v>1</v>
    <v>637870464000000000,639087303894526270,0</v>
    <v>0</v>
    <v>ahij52</v>
    <v>XNSE:JUNIORBEES</v>
    <v>1329</v>
  </rv>
  <rv s="1">
    <v>1</v>
    <v>JUNIORBEES</v>
    <v>Daily</v>
    <v>45740</v>
    <v>45740</v>
    <v>0</v>
    <v>1</v>
    <v>638783712000000000,639087303891888833,0</v>
    <v>0</v>
    <v>ahij52</v>
    <v>XNSE:JUNIORBEES</v>
    <v>1330</v>
  </rv>
  <rv s="1">
    <v>1</v>
    <v>JUNIORBEES</v>
    <v>Daily</v>
    <v>44648</v>
    <v>44648</v>
    <v>0</v>
    <v>1</v>
    <v>637840224000000000,639087303891946253,0</v>
    <v>0</v>
    <v>ahij52</v>
    <v>XNSE:JUNIORBEES</v>
    <v>1331</v>
  </rv>
  <rv s="1">
    <v>1</v>
    <v>JUNIORBEES</v>
    <v>Daily</v>
    <v>45012</v>
    <v>45012</v>
    <v>0</v>
    <v>1</v>
    <v>638154720000000000,639087303899226611,0</v>
    <v>0</v>
    <v>ahij52</v>
    <v>XNSE:JUNIORBEES</v>
    <v>1332</v>
  </rv>
  <rv s="1">
    <v>1</v>
    <v>JUNIORBEES</v>
    <v>Daily</v>
    <v>45180</v>
    <v>45180</v>
    <v>0</v>
    <v>1</v>
    <v>638299872000000000,639087303896410584,0</v>
    <v>0</v>
    <v>ahij52</v>
    <v>XNSE:JUNIORBEES</v>
    <v>1333</v>
  </rv>
  <rv s="1">
    <v>1</v>
    <v>JUNIORBEES</v>
    <v>Daily</v>
    <v>44704</v>
    <v>44704</v>
    <v>0</v>
    <v>1</v>
    <v>637888608000000000,639087303896427166,0</v>
    <v>0</v>
    <v>ahij52</v>
    <v>XNSE:JUNIORBEES</v>
    <v>1334</v>
  </rv>
  <rv s="1">
    <v>1</v>
    <v>JUNIORBEES</v>
    <v>Daily</v>
    <v>44831</v>
    <v>44831</v>
    <v>0</v>
    <v>1</v>
    <v>637998336000000000,639087303897106247,0</v>
    <v>0</v>
    <v>ahij52</v>
    <v>XNSE:JUNIORBEES</v>
    <v>1335</v>
  </rv>
  <rv s="1">
    <v>1</v>
    <v>JUNIORBEES</v>
    <v>Daily</v>
    <v>44431</v>
    <v>44431</v>
    <v>0</v>
    <v>1</v>
    <v>637652736000000000,639087303898967770,0</v>
    <v>0</v>
    <v>ahij52</v>
    <v>XNSE:JUNIORBEES</v>
    <v>1336</v>
  </rv>
  <rv s="1">
    <v>1</v>
    <v>JUNIORBEES</v>
    <v>Daily</v>
    <v>45096</v>
    <v>45096</v>
    <v>0</v>
    <v>1</v>
    <v>638227296000000000,639087303899788849,0</v>
    <v>0</v>
    <v>ahij52</v>
    <v>XNSE:JUNIORBEES</v>
    <v>1337</v>
  </rv>
  <rv s="1">
    <v>1</v>
    <v>JUNIORBEES</v>
    <v>Daily</v>
    <v>44845</v>
    <v>44845</v>
    <v>0</v>
    <v>1</v>
    <v>638010432000000000,639087303900186816,0</v>
    <v>0</v>
    <v>ahij52</v>
    <v>XNSE:JUNIORBEES</v>
    <v>1338</v>
  </rv>
  <rv s="1">
    <v>1</v>
    <v>JUNIORBEES</v>
    <v>Daily</v>
    <v>45173</v>
    <v>45173</v>
    <v>0</v>
    <v>1</v>
    <v>638293824000000000,639087303902939525,0</v>
    <v>0</v>
    <v>ahij52</v>
    <v>XNSE:JUNIORBEES</v>
    <v>1339</v>
  </rv>
  <rv s="1">
    <v>1</v>
    <v>JUNIORBEES</v>
    <v>Daily</v>
    <v>45628</v>
    <v>45628</v>
    <v>0</v>
    <v>1</v>
    <v>638686944000000000,639087303903337503,0</v>
    <v>0</v>
    <v>ahij52</v>
    <v>XNSE:JUNIORBEES</v>
    <v>1340</v>
  </rv>
  <rv s="1">
    <v>1</v>
    <v>JUNIORBEES</v>
    <v>Daily</v>
    <v>45565</v>
    <v>45565</v>
    <v>0</v>
    <v>1</v>
    <v>638632512000000000,639087303900370681,0</v>
    <v>0</v>
    <v>ahij52</v>
    <v>XNSE:JUNIORBEES</v>
    <v>1341</v>
  </rv>
  <rv s="1">
    <v>1</v>
    <v>JUNIORBEES</v>
    <v>Daily</v>
    <v>45572</v>
    <v>45572</v>
    <v>0</v>
    <v>1</v>
    <v>638638560000000000,639087303900830350,0</v>
    <v>0</v>
    <v>ahij52</v>
    <v>XNSE:JUNIORBEES</v>
    <v>1342</v>
  </rv>
  <rv s="1">
    <v>1</v>
    <v>JUNIORBEES</v>
    <v>Daily</v>
    <v>45446</v>
    <v>45446</v>
    <v>0</v>
    <v>1</v>
    <v>638529696000000000,639087303901056222,0</v>
    <v>0</v>
    <v>ahij52</v>
    <v>XNSE:JUNIORBEES</v>
    <v>1343</v>
  </rv>
  <rv s="1">
    <v>1</v>
    <v>JUNIORBEES</v>
    <v>Daily</v>
    <v>44837</v>
    <v>44837</v>
    <v>0</v>
    <v>1</v>
    <v>638003520000000000,639087303900957311,0</v>
    <v>0</v>
    <v>ahij52</v>
    <v>XNSE:JUNIORBEES</v>
    <v>1344</v>
  </rv>
  <rv s="1">
    <v>1</v>
    <v>JUNIORBEES</v>
    <v>Daily</v>
    <v>44641</v>
    <v>44641</v>
    <v>0</v>
    <v>1</v>
    <v>637834176000000000,639087303900990462,0</v>
    <v>0</v>
    <v>ahij52</v>
    <v>XNSE:JUNIORBEES</v>
    <v>1345</v>
  </rv>
  <rv s="1">
    <v>1</v>
    <v>JUNIORBEES</v>
    <v>Daily</v>
    <v>44424</v>
    <v>44424</v>
    <v>0</v>
    <v>1</v>
    <v>637646688000000000,639087303901056883,0</v>
    <v>0</v>
    <v>ahij52</v>
    <v>XNSE:JUNIORBEES</v>
    <v>1346</v>
  </rv>
  <rv s="1">
    <v>1</v>
    <v>JUNIORBEES</v>
    <v>Daily</v>
    <v>45670</v>
    <v>45670</v>
    <v>0</v>
    <v>1</v>
    <v>638723232000000000,639087303902800913,0</v>
    <v>0</v>
    <v>ahij52</v>
    <v>XNSE:JUNIORBEES</v>
    <v>1347</v>
  </rv>
  <rv s="1">
    <v>1</v>
    <v>JUNIORBEES</v>
    <v>Daily</v>
    <v>45467</v>
    <v>45467</v>
    <v>0</v>
    <v>1</v>
    <v>638547840000000000,639087303902889514,0</v>
    <v>0</v>
    <v>ahij52</v>
    <v>XNSE:JUNIORBEES</v>
    <v>1348</v>
  </rv>
  <rv s="1">
    <v>1</v>
    <v>JUNIORBEES</v>
    <v>Daily</v>
    <v>45222</v>
    <v>45222</v>
    <v>0</v>
    <v>1</v>
    <v>638336160000000000,639087303905818187,0</v>
    <v>0</v>
    <v>ahij52</v>
    <v>XNSE:JUNIORBEES</v>
    <v>1349</v>
  </rv>
  <rv s="1">
    <v>1</v>
    <v>JUNIORBEES</v>
    <v>Daily</v>
    <v>44368</v>
    <v>44368</v>
    <v>0</v>
    <v>1</v>
    <v>637598304000000000,639087303904451038,0</v>
    <v>0</v>
    <v>ahij52</v>
    <v>XNSE:JUNIORBEES</v>
    <v>1350</v>
  </rv>
  <rv s="1">
    <v>1</v>
    <v>JUNIORBEES</v>
    <v>Daily</v>
    <v>44935</v>
    <v>44935</v>
    <v>0</v>
    <v>1</v>
    <v>638088192000000000,639087303904759679,0</v>
    <v>0</v>
    <v>ahij52</v>
    <v>XNSE:JUNIORBEES</v>
    <v>1351</v>
  </rv>
  <rv s="1">
    <v>1</v>
    <v>JUNIORBEES</v>
    <v>Daily</v>
    <v>45279</v>
    <v>45279</v>
    <v>0</v>
    <v>1</v>
    <v>638385408000000000,639087303905210341,0</v>
    <v>0</v>
    <v>ahij52</v>
    <v>XNSE:JUNIORBEES</v>
    <v>1352</v>
  </rv>
  <rv s="1">
    <v>1</v>
    <v>JUNIORBEES</v>
    <v>Daily</v>
    <v>44909</v>
    <v>44909</v>
    <v>0</v>
    <v>1</v>
    <v>638065728000000000,639087303905359679,0</v>
    <v>0</v>
    <v>ahij52</v>
    <v>XNSE:JUNIORBEES</v>
    <v>1353</v>
  </rv>
  <rv s="1">
    <v>1</v>
    <v>JUNIORBEES</v>
    <v>Daily</v>
    <v>45089</v>
    <v>45089</v>
    <v>0</v>
    <v>1</v>
    <v>638221248000000000,639087303904687930,0</v>
    <v>0</v>
    <v>ahij52</v>
    <v>XNSE:JUNIORBEES</v>
    <v>1354</v>
  </rv>
  <rv s="1">
    <v>1</v>
    <v>JUNIORBEES</v>
    <v>Daily</v>
    <v>44438</v>
    <v>44438</v>
    <v>0</v>
    <v>1</v>
    <v>637658784000000000,639087303906358165,0</v>
    <v>0</v>
    <v>ahij52</v>
    <v>XNSE:JUNIORBEES</v>
    <v>1355</v>
  </rv>
  <rv s="1">
    <v>1</v>
    <v>JUNIORBEES</v>
    <v>Daily</v>
    <v>44711</v>
    <v>44711</v>
    <v>0</v>
    <v>1</v>
    <v>637894656000000000,639087303906778256,0</v>
    <v>0</v>
    <v>ahij52</v>
    <v>XNSE:JUNIORBEES</v>
    <v>1356</v>
  </rv>
  <rv s="1">
    <v>1</v>
    <v>JUNIORBEES</v>
    <v>Daily</v>
    <v>45103</v>
    <v>45103</v>
    <v>0</v>
    <v>1</v>
    <v>638233344000000000,639087303907600536,0</v>
    <v>0</v>
    <v>ahij52</v>
    <v>XNSE:JUNIORBEES</v>
    <v>1357</v>
  </rv>
  <rv s="1">
    <v>1</v>
    <v>JUNIORBEES</v>
    <v>Daily</v>
    <v>44564</v>
    <v>44564</v>
    <v>0</v>
    <v>1</v>
    <v>637767648000000000,639087303909280911,0</v>
    <v>0</v>
    <v>ahij52</v>
    <v>XNSE:JUNIORBEES</v>
    <v>1358</v>
  </rv>
  <rv s="1">
    <v>1</v>
    <v>JUNIORBEES</v>
    <v>Daily</v>
    <v>45425</v>
    <v>45425</v>
    <v>0</v>
    <v>1</v>
    <v>638511552000000000,639087303906308153,0</v>
    <v>0</v>
    <v>ahij52</v>
    <v>XNSE:JUNIORBEES</v>
    <v>1359</v>
  </rv>
  <rv s="1">
    <v>1</v>
    <v>JUNIORBEES</v>
    <v>Daily</v>
    <v>45194</v>
    <v>45194</v>
    <v>0</v>
    <v>1</v>
    <v>638311968000000000,639087303907900608,0</v>
    <v>0</v>
    <v>ahij52</v>
    <v>XNSE:JUNIORBEES</v>
    <v>1360</v>
  </rv>
  <rv s="1">
    <v>1</v>
    <v>JUNIORBEES</v>
    <v>Daily</v>
    <v>44991</v>
    <v>44991</v>
    <v>0</v>
    <v>1</v>
    <v>638136576000000000,639087303907650556,0</v>
    <v>0</v>
    <v>ahij52</v>
    <v>XNSE:JUNIORBEES</v>
    <v>1361</v>
  </rv>
  <rv s="1">
    <v>1</v>
    <v>JUNIORBEES</v>
    <v>Daily</v>
    <v>45068</v>
    <v>45068</v>
    <v>0</v>
    <v>1</v>
    <v>638203104000000000,639087303908128711,0</v>
    <v>0</v>
    <v>ahij52</v>
    <v>XNSE:JUNIORBEES</v>
    <v>1362</v>
  </rv>
  <rv s="1">
    <v>1</v>
    <v>JUNIORBEES</v>
    <v>Daily</v>
    <v>45593</v>
    <v>45593</v>
    <v>0</v>
    <v>1</v>
    <v>638656704000000000,639087303906352990,0</v>
    <v>0</v>
    <v>ahij52</v>
    <v>XNSE:JUNIORBEES</v>
    <v>1363</v>
  </rv>
  <rv s="1">
    <v>1</v>
    <v>JUNIORBEES</v>
    <v>Daily</v>
    <v>44480</v>
    <v>44480</v>
    <v>0</v>
    <v>1</v>
    <v>637695072000000000,639087303908178562,0</v>
    <v>0</v>
    <v>ahij52</v>
    <v>XNSE:JUNIORBEES</v>
    <v>1364</v>
  </rv>
  <rv s="1">
    <v>1</v>
    <v>JUNIORBEES</v>
    <v>Daily</v>
    <v>45481</v>
    <v>45481</v>
    <v>0</v>
    <v>1</v>
    <v>638559936000000000,639087303911519482,0</v>
    <v>0</v>
    <v>ahij52</v>
    <v>XNSE:JUNIORBEES</v>
    <v>1365</v>
  </rv>
  <rv s="1">
    <v>1</v>
    <v>JUNIORBEES</v>
    <v>Daily</v>
    <v>44677</v>
    <v>44677</v>
    <v>0</v>
    <v>1</v>
    <v>637865280000000000,639087303907905874,0</v>
    <v>0</v>
    <v>ahij52</v>
    <v>XNSE:JUNIORBEES</v>
    <v>1366</v>
  </rv>
  <rv s="1">
    <v>1</v>
    <v>JUNIORBEES</v>
    <v>Daily</v>
    <v>45152</v>
    <v>45152</v>
    <v>0</v>
    <v>1</v>
    <v>638275680000000000,639087303909118938,0</v>
    <v>0</v>
    <v>ahij52</v>
    <v>XNSE:JUNIORBEES</v>
    <v>1367</v>
  </rv>
  <rv s="1">
    <v>1</v>
    <v>JUNIORBEES</v>
    <v>Daily</v>
    <v>45243</v>
    <v>45243</v>
    <v>0</v>
    <v>1</v>
    <v>638354304000000000,639087303912259649,0</v>
    <v>0</v>
    <v>ahij52</v>
    <v>XNSE:JUNIORBEES</v>
    <v>1368</v>
  </rv>
  <rv s="1">
    <v>1</v>
    <v>JUNIORBEES</v>
    <v>Daily</v>
    <v>44971</v>
    <v>44971</v>
    <v>0</v>
    <v>1</v>
    <v>638119296000000000,639087303911519294,0</v>
    <v>0</v>
    <v>ahij52</v>
    <v>XNSE:JUNIORBEES</v>
    <v>1369</v>
  </rv>
  <rv s="1">
    <v>1</v>
    <v>JUNIORBEES</v>
    <v>Daily</v>
    <v>44382</v>
    <v>44382</v>
    <v>0</v>
    <v>1</v>
    <v>637610400000000000,639087303912469503,0</v>
    <v>0</v>
    <v>ahij52</v>
    <v>XNSE:JUNIORBEES</v>
    <v>1370</v>
  </rv>
  <rv s="1">
    <v>1</v>
    <v>JUNIORBEES</v>
    <v>Daily</v>
    <v>45369</v>
    <v>45369</v>
    <v>0</v>
    <v>1</v>
    <v>638463168000000000,639087303912939606,0</v>
    <v>0</v>
    <v>ahij52</v>
    <v>XNSE:JUNIORBEES</v>
    <v>1371</v>
  </rv>
  <rv s="1">
    <v>1</v>
    <v>JUNIORBEES</v>
    <v>Daily</v>
    <v>45530</v>
    <v>45530</v>
    <v>0</v>
    <v>1</v>
    <v>638602272000000000,639087303913419712,0</v>
    <v>0</v>
    <v>ahij52</v>
    <v>XNSE:JUNIORBEES</v>
    <v>1372</v>
  </rv>
  <rv s="1">
    <v>1</v>
    <v>JUNIORBEES</v>
    <v>Daily</v>
    <v>44305</v>
    <v>44305</v>
    <v>0</v>
    <v>1</v>
    <v>637543872000000000,639087303914369911,0</v>
    <v>0</v>
    <v>ahij52</v>
    <v>XNSE:JUNIORBEES</v>
    <v>1373</v>
  </rv>
  <rv s="1">
    <v>1</v>
    <v>JUNIORBEES</v>
    <v>Daily</v>
    <v>44473</v>
    <v>44473</v>
    <v>0</v>
    <v>1</v>
    <v>637689024000000000,639087303915800230,0</v>
    <v>0</v>
    <v>ahij52</v>
    <v>XNSE:JUNIORBEES</v>
    <v>1374</v>
  </rv>
  <rv s="1">
    <v>1</v>
    <v>JUNIORBEES</v>
    <v>Daily</v>
    <v>45061</v>
    <v>45061</v>
    <v>0</v>
    <v>1</v>
    <v>638197056000000000,639087303911711798,0</v>
    <v>0</v>
    <v>ahij52</v>
    <v>XNSE:JUNIORBEES</v>
    <v>1375</v>
  </rv>
  <rv s="1">
    <v>1</v>
    <v>JUNIORBEES</v>
    <v>Daily</v>
    <v>44746</v>
    <v>44746</v>
    <v>0</v>
    <v>1</v>
    <v>637924896000000000,639087303911751624,0</v>
    <v>0</v>
    <v>ahij52</v>
    <v>XNSE:JUNIORBEES</v>
    <v>1376</v>
  </rv>
  <rv s="1">
    <v>1</v>
    <v>JUNIORBEES</v>
    <v>Daily</v>
    <v>44580</v>
    <v>44580</v>
    <v>0</v>
    <v>1</v>
    <v>637781472000000000,639087303911771541,0</v>
    <v>0</v>
    <v>ahij52</v>
    <v>XNSE:JUNIORBEES</v>
    <v>1377</v>
  </rv>
  <rv s="1">
    <v>1</v>
    <v>JUNIORBEES</v>
    <v>Daily</v>
    <v>45755</v>
    <v>45755</v>
    <v>0</v>
    <v>1</v>
    <v>638796672000000000,639087303914910228,0</v>
    <v>0</v>
    <v>ahij52</v>
    <v>XNSE:JUNIORBEES</v>
    <v>1378</v>
  </rv>
  <rv s="1">
    <v>1</v>
    <v>JUNIORBEES</v>
    <v>Daily</v>
    <v>44459</v>
    <v>44459</v>
    <v>0</v>
    <v>1</v>
    <v>637676928000000000,639087303914069804,0</v>
    <v>0</v>
    <v>ahij52</v>
    <v>XNSE:JUNIORBEES</v>
    <v>1379</v>
  </rv>
  <rv s="1">
    <v>1</v>
    <v>JUNIORBEES</v>
    <v>Daily</v>
    <v>44732</v>
    <v>44732</v>
    <v>0</v>
    <v>1</v>
    <v>637912800000000000,639087303914239064,0</v>
    <v>0</v>
    <v>ahij52</v>
    <v>XNSE:JUNIORBEES</v>
    <v>1380</v>
  </rv>
  <rv s="1">
    <v>1</v>
    <v>JUNIORBEES</v>
    <v>Daily</v>
    <v>44487</v>
    <v>44487</v>
    <v>0</v>
    <v>1</v>
    <v>637701120000000000,639087303914128540,0</v>
    <v>0</v>
    <v>ahij52</v>
    <v>XNSE:JUNIORBEES</v>
    <v>1381</v>
  </rv>
  <rv s="1">
    <v>1</v>
    <v>JUNIORBEES</v>
    <v>Daily</v>
    <v>45552</v>
    <v>45552</v>
    <v>0</v>
    <v>1</v>
    <v>638621280000000000,639087303914427539,0</v>
    <v>0</v>
    <v>ahij52</v>
    <v>XNSE:JUNIORBEES</v>
    <v>1382</v>
  </rv>
  <rv s="1">
    <v>1</v>
    <v>JUNIORBEES</v>
    <v>Daily</v>
    <v>44550</v>
    <v>44550</v>
    <v>0</v>
    <v>1</v>
    <v>637755552000000000,639087303914190923,0</v>
    <v>0</v>
    <v>ahij52</v>
    <v>XNSE:JUNIORBEES</v>
    <v>1383</v>
  </rv>
  <rv s="1">
    <v>1</v>
    <v>JUNIORBEES</v>
    <v>Daily</v>
    <v>44403</v>
    <v>44403</v>
    <v>0</v>
    <v>1</v>
    <v>637628544000000000,639087303914172547,0</v>
    <v>0</v>
    <v>ahij52</v>
    <v>XNSE:JUNIORBEES</v>
    <v>1384</v>
  </rv>
  <rv s="1">
    <v>1</v>
    <v>JUNIORBEES</v>
    <v>Daily</v>
    <v>45495</v>
    <v>45495</v>
    <v>0</v>
    <v>1</v>
    <v>638572032000000000,639087303914242256,0</v>
    <v>0</v>
    <v>ahij52</v>
    <v>XNSE:JUNIORBEES</v>
    <v>1385</v>
  </rv>
  <rv s="1">
    <v>1</v>
    <v>JUNIORBEES</v>
    <v>Daily</v>
    <v>44662</v>
    <v>44662</v>
    <v>0</v>
    <v>1</v>
    <v>637852320000000000,639087303914688740,0</v>
    <v>0</v>
    <v>ahij52</v>
    <v>XNSE:JUNIORBEES</v>
    <v>1386</v>
  </rv>
  <rv s="1">
    <v>1</v>
    <v>JUNIORBEES</v>
    <v>Daily</v>
    <v>45271</v>
    <v>45271</v>
    <v>0</v>
    <v>1</v>
    <v>638378496000000000,639087303915741446,0</v>
    <v>0</v>
    <v>ahij52</v>
    <v>XNSE:JUNIORBEES</v>
    <v>1387</v>
  </rv>
  <rv s="1">
    <v>1</v>
    <v>JUNIORBEES</v>
    <v>Daily</v>
    <v>44937</v>
    <v>44937</v>
    <v>0</v>
    <v>1</v>
    <v>638089920000000000,639087303917600829,0</v>
    <v>0</v>
    <v>ahij52</v>
    <v>XNSE:JUNIORBEES</v>
    <v>1388</v>
  </rv>
  <rv s="1">
    <v>1</v>
    <v>JUNIORBEES</v>
    <v>Daily</v>
    <v>44501</v>
    <v>44501</v>
    <v>0</v>
    <v>1</v>
    <v>637713216000000000,639087303916384368,0</v>
    <v>0</v>
    <v>ahij52</v>
    <v>XNSE:JUNIORBEES</v>
    <v>1389</v>
  </rv>
  <rv s="1">
    <v>1</v>
    <v>JUNIORBEES</v>
    <v>Daily</v>
    <v>44943</v>
    <v>44943</v>
    <v>0</v>
    <v>1</v>
    <v>638095104000000000,639087303916399588,0</v>
    <v>0</v>
    <v>ahij52</v>
    <v>XNSE:JUNIORBEES</v>
    <v>1390</v>
  </rv>
  <rv s="1">
    <v>1</v>
    <v>JUNIORBEES</v>
    <v>Daily</v>
    <v>44592</v>
    <v>44592</v>
    <v>0</v>
    <v>1</v>
    <v>637791840000000000,639087303916449357,0</v>
    <v>0</v>
    <v>ahij52</v>
    <v>XNSE:JUNIORBEES</v>
    <v>1391</v>
  </rv>
  <rv s="1">
    <v>1</v>
    <v>JUNIORBEES</v>
    <v>Daily</v>
    <v>44557</v>
    <v>44557</v>
    <v>0</v>
    <v>1</v>
    <v>637761600000000000,639087303916459327,0</v>
    <v>0</v>
    <v>ahij52</v>
    <v>XNSE:JUNIORBEES</v>
    <v>1392</v>
  </rv>
  <rv s="1">
    <v>1</v>
    <v>JUNIORBEES</v>
    <v>Daily</v>
    <v>44865</v>
    <v>44865</v>
    <v>0</v>
    <v>1</v>
    <v>638027712000000000,639087303916479226,0</v>
    <v>0</v>
    <v>ahij52</v>
    <v>XNSE:JUNIORBEES</v>
    <v>1393</v>
  </rv>
  <rv s="1">
    <v>1</v>
    <v>JUNIORBEES</v>
    <v>Daily</v>
    <v>44774</v>
    <v>44774</v>
    <v>0</v>
    <v>1</v>
    <v>637949088000000000,639087303918272863,0</v>
    <v>0</v>
    <v>ahij52</v>
    <v>XNSE:JUNIORBEES</v>
    <v>1394</v>
  </rv>
  <rv s="1">
    <v>1</v>
    <v>JUNIORBEES</v>
    <v>Daily</v>
    <v>45075</v>
    <v>45075</v>
    <v>0</v>
    <v>1</v>
    <v>638209152000000000,639087303918603099,0</v>
    <v>0</v>
    <v>ahij52</v>
    <v>XNSE:JUNIORBEES</v>
    <v>1395</v>
  </rv>
  <rv s="1">
    <v>1</v>
    <v>JUNIORBEES</v>
    <v>Daily</v>
    <v>45362</v>
    <v>45362</v>
    <v>0</v>
    <v>1</v>
    <v>638457120000000000,639087303918632970,0</v>
    <v>0</v>
    <v>ahij52</v>
    <v>XNSE:JUNIORBEES</v>
    <v>1396</v>
  </rv>
  <rv s="1">
    <v>1</v>
    <v>JUNIORBEES</v>
    <v>Daily</v>
    <v>44767</v>
    <v>44767</v>
    <v>0</v>
    <v>1</v>
    <v>637943040000000000,639087303918652881,0</v>
    <v>0</v>
    <v>ahij52</v>
    <v>XNSE:JUNIORBEES</v>
    <v>1397</v>
  </rv>
  <rv s="1">
    <v>1</v>
    <v>JUNIORBEES</v>
    <v>Daily</v>
    <v>44760</v>
    <v>44760</v>
    <v>0</v>
    <v>1</v>
    <v>637936992000000000,639087303918722573,0</v>
    <v>0</v>
    <v>ahij52</v>
    <v>XNSE:JUNIORBEES</v>
    <v>1398</v>
  </rv>
  <rv s="1">
    <v>1</v>
    <v>JUNIORBEES</v>
    <v>Daily</v>
    <v>45131</v>
    <v>45131</v>
    <v>0</v>
    <v>1</v>
    <v>638257536000000000,639087303920081378,0</v>
    <v>0</v>
    <v>ahij52</v>
    <v>XNSE:JUNIORBEES</v>
    <v>1399</v>
  </rv>
  <rv s="1">
    <v>1</v>
    <v>JUNIORBEES</v>
    <v>Daily</v>
    <v>44410</v>
    <v>44410</v>
    <v>0</v>
    <v>1</v>
    <v>637634592000000000,639087303922251645,0</v>
    <v>0</v>
    <v>ahij52</v>
    <v>XNSE:JUNIORBEES</v>
    <v>1400</v>
  </rv>
  <rv s="1">
    <v>1</v>
    <v>JUNIORBEES</v>
    <v>Daily</v>
    <v>45579</v>
    <v>45579</v>
    <v>0</v>
    <v>1</v>
    <v>638644608000000000,639087303922731963,0</v>
    <v>0</v>
    <v>ahij52</v>
    <v>XNSE:JUNIORBEES</v>
    <v>1401</v>
  </rv>
  <rv s="1">
    <v>1</v>
    <v>JUNIORBEES</v>
    <v>Daily</v>
    <v>44923</v>
    <v>44923</v>
    <v>0</v>
    <v>1</v>
    <v>638077824000000000,639087303922057115,0</v>
    <v>0</v>
    <v>ahij52</v>
    <v>XNSE:JUNIORBEES</v>
    <v>1402</v>
  </rv>
  <rv s="1">
    <v>1</v>
    <v>JUNIORBEES</v>
    <v>Daily</v>
    <v>44916</v>
    <v>44916</v>
    <v>0</v>
    <v>1</v>
    <v>638071776000000000,639087303922286109,0</v>
    <v>0</v>
    <v>ahij52</v>
    <v>XNSE:JUNIORBEES</v>
    <v>1403</v>
  </rv>
  <rv s="1">
    <v>1</v>
    <v>JUNIORBEES</v>
    <v>Daily</v>
    <v>45292</v>
    <v>45292</v>
    <v>0</v>
    <v>1</v>
    <v>638396640000000000,639087303920206060,0</v>
    <v>0</v>
    <v>ahij52</v>
    <v>XNSE:JUNIORBEES</v>
    <v>1404</v>
  </rv>
  <rv s="1">
    <v>1</v>
    <v>JUNIORBEES</v>
    <v>Daily</v>
    <v>45453</v>
    <v>45453</v>
    <v>0</v>
    <v>1</v>
    <v>638535744000000000,639087303921072253,0</v>
    <v>0</v>
    <v>ahij52</v>
    <v>XNSE:JUNIORBEES</v>
    <v>1405</v>
  </rv>
  <rv s="1">
    <v>1</v>
    <v>JUNIORBEES</v>
    <v>Daily</v>
    <v>44880</v>
    <v>44880</v>
    <v>0</v>
    <v>1</v>
    <v>638040672000000000,639087303920590466,0</v>
    <v>0</v>
    <v>ahij52</v>
    <v>XNSE:JUNIORBEES</v>
    <v>1406</v>
  </rv>
  <rv s="1">
    <v>1</v>
    <v>JUNIORBEES</v>
    <v>Daily</v>
    <v>44599</v>
    <v>44599</v>
    <v>0</v>
    <v>1</v>
    <v>637797888000000000,639087303920680093,0</v>
    <v>0</v>
    <v>ahij52</v>
    <v>XNSE:JUNIORBEES</v>
    <v>1407</v>
  </rv>
  <rv s="1">
    <v>1</v>
    <v>JUNIORBEES</v>
    <v>Daily</v>
    <v>44509</v>
    <v>44509</v>
    <v>0</v>
    <v>1</v>
    <v>637720128000000000,639087303920769379,0</v>
    <v>0</v>
    <v>ahij52</v>
    <v>XNSE:JUNIORBEES</v>
    <v>1408</v>
  </rv>
  <rv s="1">
    <v>1</v>
    <v>JUNIORBEES</v>
    <v>Daily</v>
    <v>44872</v>
    <v>44872</v>
    <v>0</v>
    <v>1</v>
    <v>638033760000000000,639087303921050793,0</v>
    <v>0</v>
    <v>ahij52</v>
    <v>XNSE:JUNIORBEES</v>
    <v>1409</v>
  </rv>
  <rv s="1">
    <v>1</v>
    <v>JUNIORBEES</v>
    <v>Daily</v>
    <v>45026</v>
    <v>45026</v>
    <v>0</v>
    <v>1</v>
    <v>638166816000000000,639087303921907039,0</v>
    <v>0</v>
    <v>ahij52</v>
    <v>XNSE:JUNIORBEES</v>
    <v>1410</v>
  </rv>
  <rv s="1">
    <v>1</v>
    <v>JUNIORBEES</v>
    <v>Daily</v>
    <v>45041</v>
    <v>45041</v>
    <v>0</v>
    <v>1</v>
    <v>638179776000000000,639087303922205728,0</v>
    <v>0</v>
    <v>ahij52</v>
    <v>XNSE:JUNIORBEES</v>
    <v>1411</v>
  </rv>
  <rv s="1">
    <v>1</v>
    <v>JUNIORBEES</v>
    <v>Daily</v>
    <v>45306</v>
    <v>45306</v>
    <v>0</v>
    <v>1</v>
    <v>638408736000000000,639087303922355070,0</v>
    <v>0</v>
    <v>ahij52</v>
    <v>XNSE:JUNIORBEES</v>
    <v>1412</v>
  </rv>
  <rv s="1">
    <v>1</v>
    <v>JUNIORBEES</v>
    <v>Daily</v>
    <v>45264</v>
    <v>45264</v>
    <v>0</v>
    <v>1</v>
    <v>638372448000000000,639087303922813046,0</v>
    <v>0</v>
    <v>ahij52</v>
    <v>XNSE:JUNIORBEES</v>
    <v>1413</v>
  </rv>
  <rv s="1">
    <v>1</v>
    <v>JUNIORBEES</v>
    <v>Daily</v>
    <v>44333</v>
    <v>44333</v>
    <v>0</v>
    <v>1</v>
    <v>637568064000000000,639087303924802430,0</v>
    <v>0</v>
    <v>ahij52</v>
    <v>XNSE:JUNIORBEES</v>
    <v>1414</v>
  </rv>
  <rv s="1">
    <v>1</v>
    <v>JUNIORBEES</v>
    <v>Daily</v>
    <v>44900</v>
    <v>44900</v>
    <v>0</v>
    <v>1</v>
    <v>638057952000000000,639087303925212521,0</v>
    <v>0</v>
    <v>ahij52</v>
    <v>XNSE:JUNIORBEES</v>
    <v>1415</v>
  </rv>
  <rv s="1">
    <v>1</v>
    <v>JUNIORBEES</v>
    <v>Daily</v>
    <v>44620</v>
    <v>44620</v>
    <v>0</v>
    <v>1</v>
    <v>637816032000000000,639087303925582847,0</v>
    <v>0</v>
    <v>ahij52</v>
    <v>XNSE:JUNIORBEES</v>
    <v>1416</v>
  </rv>
  <rv s="1">
    <v>1</v>
    <v>JUNIORBEES</v>
    <v>Daily</v>
    <v>44529</v>
    <v>44529</v>
    <v>0</v>
    <v>1</v>
    <v>637737408000000000,639087303925810628,0</v>
    <v>0</v>
    <v>ahij52</v>
    <v>XNSE:JUNIORBEES</v>
    <v>1417</v>
  </rv>
  <rv s="1">
    <v>1</v>
    <v>JUNIORBEES</v>
    <v>Daily</v>
    <v>44851</v>
    <v>44851</v>
    <v>0</v>
    <v>1</v>
    <v>638015616000000000,639087303926039620,0</v>
    <v>0</v>
    <v>ahij52</v>
    <v>XNSE:JUNIORBEES</v>
    <v>1418</v>
  </rv>
  <rv s="1">
    <v>1</v>
    <v>JUNIORBEES</v>
    <v>Daily</v>
    <v>44901</v>
    <v>44901</v>
    <v>0</v>
    <v>1</v>
    <v>638058816000000000,639087303925822427,0</v>
    <v>0</v>
    <v>ahij52</v>
    <v>XNSE:JUNIORBEES</v>
    <v>1419</v>
  </rv>
  <rv s="1">
    <v>1</v>
    <v>JUNIORBEES</v>
    <v>Daily</v>
    <v>44893</v>
    <v>44893</v>
    <v>0</v>
    <v>1</v>
    <v>638051904000000000,639087303928583033,0</v>
    <v>0</v>
    <v>ahij52</v>
    <v>XNSE:JUNIORBEES</v>
    <v>1420</v>
  </rv>
  <rv s="1">
    <v>1</v>
    <v>JUNIORBEES</v>
    <v>Daily</v>
    <v>44802</v>
    <v>44802</v>
    <v>0</v>
    <v>1</v>
    <v>637973280000000000,639087303928973118,0</v>
    <v>0</v>
    <v>ahij52</v>
    <v>XNSE:JUNIORBEES</v>
    <v>1421</v>
  </rv>
  <rv s="1">
    <v>1</v>
    <v>JUNIORBEES</v>
    <v>Daily</v>
    <v>45502</v>
    <v>45502</v>
    <v>0</v>
    <v>1</v>
    <v>638578080000000000,639087303973099842,0</v>
    <v>0</v>
    <v>ahij52</v>
    <v>XNSE:JUNIORBEES</v>
    <v>1422</v>
  </rv>
  <rv s="1">
    <v>1</v>
    <v>JUNIORBEES</v>
    <v>Daily</v>
    <v>45468</v>
    <v>45468</v>
    <v>0</v>
    <v>1</v>
    <v>638548704000000000,639087303973139429,0</v>
    <v>0</v>
    <v>ahij52</v>
    <v>XNSE:JUNIORBEES</v>
    <v>1423</v>
  </rv>
  <rv s="1">
    <v>1</v>
    <v>JUNIORBEES</v>
    <v>Daily</v>
    <v>44389</v>
    <v>44389</v>
    <v>0</v>
    <v>1</v>
    <v>637616448000000000,639087303973169535,0</v>
    <v>0</v>
    <v>ahij52</v>
    <v>XNSE:JUNIORBEES</v>
    <v>1424</v>
  </rv>
  <rv s="1">
    <v>1</v>
    <v>JUNIORBEES</v>
    <v>Daily</v>
    <v>45040</v>
    <v>45040</v>
    <v>0</v>
    <v>1</v>
    <v>638178912000000000,639087303977775700,0</v>
    <v>0</v>
    <v>ahij52</v>
    <v>XNSE:JUNIORBEES</v>
    <v>1425</v>
  </rv>
  <rv s="1">
    <v>1</v>
    <v>JUNIORBEES</v>
    <v>Daily</v>
    <v>44375</v>
    <v>44375</v>
    <v>0</v>
    <v>1</v>
    <v>637604352000000000,639087303978135780,0</v>
    <v>0</v>
    <v>ahij52</v>
    <v>XNSE:JUNIORBEES</v>
    <v>1426</v>
  </rv>
  <rv s="1">
    <v>1</v>
    <v>JUNIORBEES</v>
    <v>Daily</v>
    <v>45684</v>
    <v>45684</v>
    <v>0</v>
    <v>1</v>
    <v>638735328000000000,639087303976736862,0</v>
    <v>0</v>
    <v>ahij52</v>
    <v>XNSE:JUNIORBEES</v>
    <v>1427</v>
  </rv>
  <rv s="1">
    <v>1</v>
    <v>JUNIORBEES</v>
    <v>Daily</v>
    <v>45215</v>
    <v>45215</v>
    <v>0</v>
    <v>1</v>
    <v>638330112000000000,639087303977194853,0</v>
    <v>0</v>
    <v>ahij52</v>
    <v>XNSE:JUNIORBEES</v>
    <v>1428</v>
  </rv>
  <rv s="1">
    <v>1</v>
    <v>JUNIORBEES</v>
    <v>Daily</v>
    <v>44516</v>
    <v>44516</v>
    <v>0</v>
    <v>1</v>
    <v>637726176000000000,639087303975113995,0</v>
    <v>0</v>
    <v>ahij52</v>
    <v>XNSE:JUNIORBEES</v>
    <v>1429</v>
  </rv>
  <rv s="1">
    <v>1</v>
    <v>JUNIORBEES</v>
    <v>Daily</v>
    <v>44502</v>
    <v>44502</v>
    <v>0</v>
    <v>1</v>
    <v>637714080000000000,639087303976318704,0</v>
    <v>0</v>
    <v>ahij52</v>
    <v>XNSE:JUNIORBEES</v>
    <v>1430</v>
  </rv>
  <rv s="1">
    <v>1</v>
    <v>JUNIORBEES</v>
    <v>Daily</v>
    <v>45719</v>
    <v>45719</v>
    <v>0</v>
    <v>1</v>
    <v>638765568000000000,639087303976455414,0</v>
    <v>0</v>
    <v>ahij52</v>
    <v>XNSE:JUNIORBEES</v>
    <v>1431</v>
  </rv>
  <rv s="1">
    <v>1</v>
    <v>JUNIORBEES</v>
    <v>Daily</v>
    <v>44949</v>
    <v>44949</v>
    <v>0</v>
    <v>1</v>
    <v>638100288000000000,639087303976497917,0</v>
    <v>0</v>
    <v>ahij52</v>
    <v>XNSE:JUNIORBEES</v>
    <v>1432</v>
  </rv>
  <rv s="1">
    <v>1</v>
    <v>JUNIORBEES</v>
    <v>Daily</v>
    <v>44494</v>
    <v>44494</v>
    <v>0</v>
    <v>1</v>
    <v>637707168000000000,639087303977901744,0</v>
    <v>0</v>
    <v>ahij52</v>
    <v>XNSE:JUNIORBEES</v>
    <v>1433</v>
  </rv>
  <rv s="1">
    <v>1</v>
    <v>JUNIORBEES</v>
    <v>Daily</v>
    <v>45293</v>
    <v>45293</v>
    <v>0</v>
    <v>1</v>
    <v>638397504000000000,639087303977939777,0</v>
    <v>0</v>
    <v>ahij52</v>
    <v>XNSE:JUNIORBEES</v>
    <v>1434</v>
  </rv>
  <rv s="1">
    <v>1</v>
    <v>JUNIORBEES</v>
    <v>Daily</v>
    <v>44536</v>
    <v>44536</v>
    <v>0</v>
    <v>1</v>
    <v>637743456000000000,639087303977959695,0</v>
    <v>0</v>
    <v>ahij52</v>
    <v>XNSE:JUNIORBEES</v>
    <v>1435</v>
  </rv>
  <rv s="1">
    <v>1</v>
    <v>JUNIORBEES</v>
    <v>Daily</v>
    <v>45019</v>
    <v>45019</v>
    <v>0</v>
    <v>1</v>
    <v>638160768000000000,639087303978029390,0</v>
    <v>0</v>
    <v>ahij52</v>
    <v>XNSE:JUNIORBEES</v>
    <v>1436</v>
  </rv>
  <rv s="1">
    <v>1</v>
    <v>JUNIORBEES</v>
    <v>Daily</v>
    <v>45250</v>
    <v>45250</v>
    <v>0</v>
    <v>1</v>
    <v>638360352000000000,639087303978728111,0</v>
    <v>0</v>
    <v>ahij52</v>
    <v>XNSE:JUNIORBEES</v>
    <v>1437</v>
  </rv>
  <rv s="1">
    <v>1</v>
    <v>JUNIORBEES</v>
    <v>Daily</v>
    <v>44858</v>
    <v>44858</v>
    <v>0</v>
    <v>1</v>
    <v>638021664000000000,639087303979924381,0</v>
    <v>0</v>
    <v>ahij52</v>
    <v>XNSE:JUNIORBEES</v>
    <v>1438</v>
  </rv>
  <rv s="1">
    <v>1</v>
    <v>JUNIORBEES</v>
    <v>Daily</v>
    <v>44739</v>
    <v>44739</v>
    <v>0</v>
    <v>1</v>
    <v>637918848000000000,639087303978257177,0</v>
    <v>0</v>
    <v>ahij52</v>
    <v>XNSE:JUNIORBEES</v>
    <v>1439</v>
  </rv>
  <rv s="1">
    <v>1</v>
    <v>JUNIORBEES</v>
    <v>Daily</v>
    <v>44522</v>
    <v>44522</v>
    <v>0</v>
    <v>1</v>
    <v>637731360000000000,639087303982152497,0</v>
    <v>0</v>
    <v>ahij52</v>
    <v>XNSE:JUNIORBEES</v>
    <v>1440</v>
  </rv>
  <rv s="1">
    <v>1</v>
    <v>JUNIORBEES</v>
    <v>Daily</v>
    <v>44795</v>
    <v>44795</v>
    <v>0</v>
    <v>1</v>
    <v>637967232000000000,639087303982331711,0</v>
    <v>0</v>
    <v>ahij52</v>
    <v>XNSE:JUNIORBEES</v>
    <v>1441</v>
  </rv>
  <rv s="1">
    <v>1</v>
    <v>JUNIORBEES</v>
    <v>Daily</v>
    <v>44942</v>
    <v>44942</v>
    <v>0</v>
    <v>1</v>
    <v>638094240000000000,639087303982299212,0</v>
    <v>0</v>
    <v>ahij52</v>
    <v>XNSE:JUNIORBEES</v>
    <v>1442</v>
  </rv>
  <rv s="1">
    <v>1</v>
    <v>JUNIORBEES</v>
    <v>Daily</v>
    <v>45702</v>
    <v>45702</v>
    <v>0</v>
    <v>1</v>
    <v>638750880000000000,639087303982319332,0</v>
    <v>0</v>
    <v>ahij52</v>
    <v>XNSE:JUNIORBEES</v>
    <v>1443</v>
  </rv>
  <rv s="1">
    <v>1</v>
    <v>JUNIORBEES</v>
    <v>Daily</v>
    <v>44326</v>
    <v>44326</v>
    <v>0</v>
    <v>1</v>
    <v>637562016000000000,639087303982448770,0</v>
    <v>0</v>
    <v>ahij52</v>
    <v>XNSE:JUNIORBEES</v>
    <v>1444</v>
  </rv>
  <rv s="1">
    <v>1</v>
    <v>JUNIORBEES</v>
    <v>Daily</v>
    <v>45663</v>
    <v>45663</v>
    <v>0</v>
    <v>1</v>
    <v>638717184000000000,639087303982508500,0</v>
    <v>0</v>
    <v>ahij52</v>
    <v>XNSE:JUNIORBEES</v>
    <v>1052</v>
  </rv>
  <rv s="1">
    <v>1</v>
    <v>JUNIORBEES</v>
    <v>Daily</v>
    <v>44523</v>
    <v>44523</v>
    <v>0</v>
    <v>1</v>
    <v>637732224000000000,639087303983563661,0</v>
    <v>0</v>
    <v>ahij52</v>
    <v>XNSE:JUNIORBEES</v>
    <v>1445</v>
  </rv>
  <rv s="1">
    <v>1</v>
    <v>JUNIORBEES</v>
    <v>Daily</v>
    <v>45124</v>
    <v>45124</v>
    <v>0</v>
    <v>1</v>
    <v>638251488000000000,639087303983991775,0</v>
    <v>0</v>
    <v>ahij52</v>
    <v>XNSE:JUNIORBEES</v>
    <v>1446</v>
  </rv>
  <rv s="1">
    <v>1</v>
    <v>JUNIORBEES</v>
    <v>Daily</v>
    <v>44467</v>
    <v>44467</v>
    <v>0</v>
    <v>1</v>
    <v>637683840000000000,639087303984141122,0</v>
    <v>0</v>
    <v>ahij52</v>
    <v>XNSE:JUNIORBEES</v>
    <v>1447</v>
  </rv>
  <rv s="1">
    <v>1</v>
    <v>JUNIORBEES</v>
    <v>Daily</v>
    <v>45607</v>
    <v>45607</v>
    <v>0</v>
    <v>1</v>
    <v>638668800000000000,639087303983418380,0</v>
    <v>0</v>
    <v>ahij52</v>
    <v>XNSE:JUNIORBEES</v>
    <v>1448</v>
  </rv>
  <rv s="1">
    <v>1</v>
    <v>JUNIORBEES</v>
    <v>Daily</v>
    <v>44613</v>
    <v>44613</v>
    <v>0</v>
    <v>1</v>
    <v>637809984000000000,639087303983537872,0</v>
    <v>0</v>
    <v>ahij52</v>
    <v>XNSE:JUNIORBEES</v>
    <v>1449</v>
  </rv>
  <rv s="1">
    <v>1</v>
    <v>JUNIORBEES</v>
    <v>Daily</v>
    <v>45733</v>
    <v>45733</v>
    <v>0</v>
    <v>1</v>
    <v>638777664000000000,639087303983589649,0</v>
    <v>0</v>
    <v>ahij52</v>
    <v>XNSE:JUNIORBEES</v>
    <v>1450</v>
  </rv>
  <rv s="1">
    <v>1</v>
    <v>JUNIORBEES</v>
    <v>Daily</v>
    <v>44361</v>
    <v>44361</v>
    <v>0</v>
    <v>1</v>
    <v>637592256000000000,639087303984144282,0</v>
    <v>0</v>
    <v>ahij52</v>
    <v>XNSE:JUNIORBEES</v>
    <v>1451</v>
  </rv>
  <rv s="1">
    <v>1</v>
    <v>JUNIORBEES</v>
    <v>Daily</v>
    <v>45334</v>
    <v>45334</v>
    <v>0</v>
    <v>1</v>
    <v>638432928000000000,639087303984374863,0</v>
    <v>0</v>
    <v>ahij52</v>
    <v>XNSE:JUNIORBEES</v>
    <v>1452</v>
  </rv>
  <rv s="1">
    <v>1</v>
    <v>JUNIORBEES</v>
    <v>Daily</v>
    <v>44669</v>
    <v>44669</v>
    <v>0</v>
    <v>1</v>
    <v>637858368000000000,639087303984831262,0</v>
    <v>0</v>
    <v>ahij52</v>
    <v>XNSE:JUNIORBEES</v>
    <v>1453</v>
  </rv>
  <rv s="1">
    <v>1</v>
    <v>JUNIORBEES</v>
    <v>Daily</v>
    <v>44460</v>
    <v>44460</v>
    <v>0</v>
    <v>1</v>
    <v>637677792000000000,639087303985967873,0</v>
    <v>0</v>
    <v>ahij52</v>
    <v>XNSE:JUNIORBEES</v>
    <v>1454</v>
  </rv>
  <rv s="1">
    <v>1</v>
    <v>JUNIORBEES</v>
    <v>Daily</v>
    <v>44453</v>
    <v>44453</v>
    <v>0</v>
    <v>1</v>
    <v>637671744000000000,639087303983036181,0</v>
    <v>0</v>
    <v>ahij52</v>
    <v>XNSE:JUNIORBEES</v>
    <v>1455</v>
  </rv>
  <rv s="1">
    <v>1</v>
    <v>JUNIORBEES</v>
    <v>Daily</v>
    <v>44446</v>
    <v>44446</v>
    <v>0</v>
    <v>1</v>
    <v>637665696000000000,639087303983076009,0</v>
    <v>0</v>
    <v>ahij52</v>
    <v>XNSE:JUNIORBEES</v>
    <v>1456</v>
  </rv>
  <rv s="1">
    <v>1</v>
    <v>JUNIORBEES</v>
    <v>Daily</v>
    <v>45097</v>
    <v>45097</v>
    <v>0</v>
    <v>1</v>
    <v>638228160000000000,639087303983207858,0</v>
    <v>0</v>
    <v>ahij52</v>
    <v>XNSE:JUNIORBEES</v>
    <v>1457</v>
  </rv>
  <rv s="1">
    <v>1</v>
    <v>JUNIORBEES</v>
    <v>Daily</v>
    <v>44944</v>
    <v>44944</v>
    <v>0</v>
    <v>1</v>
    <v>638095968000000000,639087303983991775,0</v>
    <v>0</v>
    <v>ahij52</v>
    <v>XNSE:JUNIORBEES</v>
    <v>1458</v>
  </rv>
  <rv s="1">
    <v>1</v>
    <v>JUNIORBEES</v>
    <v>Daily</v>
    <v>44417</v>
    <v>44417</v>
    <v>0</v>
    <v>1</v>
    <v>637640640000000000,639087303984479623,0</v>
    <v>0</v>
    <v>ahij52</v>
    <v>XNSE:JUNIORBEES</v>
    <v>1459</v>
  </rv>
  <rv s="1">
    <v>1</v>
    <v>JUNIORBEES</v>
    <v>Daily</v>
    <v>45083</v>
    <v>45083</v>
    <v>0</v>
    <v>1</v>
    <v>638216064000000000,639087303985018741,0</v>
    <v>0</v>
    <v>ahij52</v>
    <v>XNSE:JUNIORBEES</v>
    <v>1460</v>
  </rv>
  <rv s="1">
    <v>1</v>
    <v>JUNIORBEES</v>
    <v>Daily</v>
    <v>44886</v>
    <v>44886</v>
    <v>0</v>
    <v>1</v>
    <v>638045856000000000,639087303985138218,0</v>
    <v>0</v>
    <v>ahij52</v>
    <v>XNSE:JUNIORBEES</v>
    <v>1026</v>
  </rv>
  <rv s="1">
    <v>1</v>
    <v>JUNIORBEES</v>
    <v>Daily</v>
    <v>45631</v>
    <v>45631</v>
    <v>0</v>
    <v>1</v>
    <v>638689536000000000,639087332647046226,0</v>
    <v>0</v>
    <v>ahij52</v>
    <v>XNSE:JUNIORBEES</v>
    <v>1461</v>
  </rv>
  <rv s="1">
    <v>1</v>
    <v>JUNIORBEES</v>
    <v>Daily</v>
    <v>45455</v>
    <v>45455</v>
    <v>0</v>
    <v>1</v>
    <v>638537472000000000,639150494257836996,0</v>
    <v>0</v>
    <v>ahij52</v>
    <v>XNSE:JUNIORBEES</v>
    <v>1462</v>
  </rv>
  <rv s="1">
    <v>1</v>
    <v>JUNIORBEES</v>
    <v>Daily</v>
    <v>45561</v>
    <v>45561</v>
    <v>0</v>
    <v>1</v>
    <v>638629056000000000,639150494278177784,0</v>
    <v>0</v>
    <v>ahij52</v>
    <v>XNSE:JUNIORBEES</v>
    <v>1463</v>
  </rv>
  <rv s="1">
    <v>1</v>
    <v>JUNIORBEES</v>
    <v>Daily</v>
    <v>44634</v>
    <v>44634</v>
    <v>0</v>
    <v>1</v>
    <v>637828128000000000,639150494283286909,0</v>
    <v>0</v>
    <v>ahij52</v>
    <v>XNSE:JUNIORBEES</v>
    <v>1464</v>
  </rv>
  <rv s="1">
    <v>1</v>
    <v>JUNIORBEES</v>
    <v>Daily</v>
    <v>44844</v>
    <v>44844</v>
    <v>0</v>
    <v>1</v>
    <v>638009568000000000,639150494288960489,0</v>
    <v>0</v>
    <v>ahij52</v>
    <v>XNSE:JUNIORBEES</v>
    <v>1322</v>
  </rv>
  <rv s="1">
    <v>1</v>
    <v>JUNIORBEES</v>
    <v>Daily</v>
    <v>44812</v>
    <v>44812</v>
    <v>0</v>
    <v>1</v>
    <v>637981920000000000,639150494346081266,0</v>
    <v>0</v>
    <v>ahij52</v>
    <v>XNSE:JUNIORBEES</v>
    <v>1465</v>
  </rv>
  <rv s="1">
    <v>1</v>
    <v>JUNIORBEES</v>
    <v>Daily</v>
    <v>44781</v>
    <v>44781</v>
    <v>0</v>
    <v>1</v>
    <v>637955136000000000,639150494389469715,0</v>
    <v>0</v>
    <v>ahij52</v>
    <v>XNSE:JUNIORBEES</v>
    <v>1466</v>
  </rv>
  <rv s="1">
    <v>1</v>
    <v>JUNIORBEES</v>
    <v>Daily</v>
    <v>45488</v>
    <v>45488</v>
    <v>0</v>
    <v>1</v>
    <v>638565984000000000,639183116149152879,0</v>
    <v>0</v>
    <v>ahij52</v>
    <v>XNSE:JUNIORBEES</v>
    <v>1467</v>
  </rv>
  <rv s="1">
    <v>1</v>
    <v>JUNIORBEES</v>
    <v>Daily</v>
    <v>45602</v>
    <v>45602</v>
    <v>0</v>
    <v>1</v>
    <v>638664480000000000,639183116214063785,0</v>
    <v>0</v>
    <v>ahij52</v>
    <v>XNSE:JUNIORBEES</v>
    <v>1468</v>
  </rv>
  <rv s="1">
    <v>1</v>
    <v>JUNIORBEES</v>
    <v>Daily</v>
    <v>45236</v>
    <v>45236</v>
    <v>0</v>
    <v>1</v>
    <v>638348256000000000,639183116250966128,0</v>
    <v>0</v>
    <v>ahij52</v>
    <v>XNSE:JUNIORBEES</v>
    <v>1469</v>
  </rv>
  <rv s="1">
    <v>1</v>
    <v>JUNIORBEES</v>
    <v>Daily</v>
    <v>45531</v>
    <v>45531</v>
    <v>0</v>
    <v>1</v>
    <v>638603136000000000,639191690212456831,0</v>
    <v>0</v>
    <v>ahij52</v>
    <v>XNSE:JUNIORBEES</v>
    <v>1470</v>
  </rv>
  <rv s="1">
    <v>1</v>
    <v>JUNIORBEES</v>
    <v>Daily</v>
    <v>45638</v>
    <v>45638</v>
    <v>0</v>
    <v>1</v>
    <v>638695584000000000,639191690222869642,0</v>
    <v>0</v>
    <v>ahij52</v>
    <v>XNSE:JUNIORBEES</v>
    <v>1471</v>
  </rv>
  <rv s="1">
    <v>1</v>
    <v>JUNIORBEES</v>
    <v>Daily</v>
    <v>44761</v>
    <v>44761</v>
    <v>0</v>
    <v>1</v>
    <v>637937856000000000,639191690255176461,0</v>
    <v>0</v>
    <v>ahij52</v>
    <v>XNSE:JUNIORBEES</v>
    <v>1472</v>
  </rv>
  <rv s="1">
    <v>1</v>
    <v>JUNIORBEES</v>
    <v>Daily</v>
    <v>45439</v>
    <v>45439</v>
    <v>0</v>
    <v>1</v>
    <v>638523648000000000,639191690323520934,0</v>
    <v>0</v>
    <v>ahij52</v>
    <v>XNSE:JUNIORBEES</v>
    <v>1473</v>
  </rv>
  <rv s="1">
    <v>1</v>
    <v>JUNIORBEES</v>
    <v>Daily</v>
    <v>44396</v>
    <v>44396</v>
    <v>0</v>
    <v>1</v>
    <v>637622496000000000,639191690660569274,0</v>
    <v>0</v>
    <v>ahij52</v>
    <v>XNSE:JUNIORBEES</v>
    <v>1474</v>
  </rv>
  <rv s="1">
    <v>1</v>
    <v>MIDCAPETF</v>
    <v>Daily</v>
    <v>45154</v>
    <v>45154</v>
    <v>0</v>
    <v>1</v>
    <v>638277408000000000,639087303705050625,0</v>
    <v>0</v>
    <v>c5it27</v>
    <v>XNSE:MIDCAPETF</v>
    <v>1475</v>
  </rv>
  <rv s="1">
    <v>1</v>
    <v>MIDCAPETF</v>
    <v>Daily</v>
    <v>45112</v>
    <v>45112</v>
    <v>0</v>
    <v>1</v>
    <v>638241120000000000,639087303705548441,0</v>
    <v>0</v>
    <v>c5it27</v>
    <v>XNSE:MIDCAPETF</v>
    <v>1476</v>
  </rv>
  <rv s="1">
    <v>1</v>
    <v>MIDCAPETF</v>
    <v>Daily</v>
    <v>44980</v>
    <v>44980</v>
    <v>0</v>
    <v>1</v>
    <v>638127072000000000,639087303705717696,0</v>
    <v>0</v>
    <v>c5it27</v>
    <v>XNSE:MIDCAPETF</v>
    <v>1477</v>
  </rv>
  <rv s="1">
    <v>1</v>
    <v>MIDCAPETF</v>
    <v>Daily</v>
    <v>45356</v>
    <v>45356</v>
    <v>0</v>
    <v>1</v>
    <v>638451936000000000,639087303706142033,0</v>
    <v>0</v>
    <v>c5it27</v>
    <v>XNSE:MIDCAPETF</v>
    <v>1478</v>
  </rv>
  <rv s="1">
    <v>1</v>
    <v>MIDCAPETF</v>
    <v>Daily</v>
    <v>45596</v>
    <v>45596</v>
    <v>0</v>
    <v>1</v>
    <v>638659296000000000,639087303706369156,0</v>
    <v>0</v>
    <v>c5it27</v>
    <v>XNSE:MIDCAPETF</v>
    <v>1479</v>
  </rv>
  <rv s="1">
    <v>1</v>
    <v>MIDCAPETF</v>
    <v>Daily</v>
    <v>45225</v>
    <v>45225</v>
    <v>0</v>
    <v>1</v>
    <v>638338752000000000,639087303706434870,0</v>
    <v>0</v>
    <v>c5it27</v>
    <v>XNSE:MIDCAPETF</v>
    <v>1480</v>
  </rv>
  <rv s="1">
    <v>1</v>
    <v>MIDCAPETF</v>
    <v>Daily</v>
    <v>45568</v>
    <v>45568</v>
    <v>0</v>
    <v>1</v>
    <v>638635104000000000,639087303706709064,0</v>
    <v>0</v>
    <v>c5it27</v>
    <v>XNSE:MIDCAPETF</v>
    <v>1481</v>
  </rv>
  <rv s="1">
    <v>1</v>
    <v>MIDCAPETF</v>
    <v>Daily</v>
    <v>45181</v>
    <v>45181</v>
    <v>0</v>
    <v>1</v>
    <v>638300736000000000,639087303708481307,0</v>
    <v>0</v>
    <v>c5it27</v>
    <v>XNSE:MIDCAPETF</v>
    <v>1482</v>
  </rv>
  <rv s="1">
    <v>1</v>
    <v>MIDCAPETF</v>
    <v>Daily</v>
    <v>45526</v>
    <v>45526</v>
    <v>0</v>
    <v>1</v>
    <v>638598816000000000,639087303710197414,0</v>
    <v>0</v>
    <v>c5it27</v>
    <v>XNSE:MIDCAPETF</v>
    <v>1483</v>
  </rv>
  <rv s="1">
    <v>1</v>
    <v>MIDCAPETF</v>
    <v>Daily</v>
    <v>45594</v>
    <v>45594</v>
    <v>0</v>
    <v>1</v>
    <v>638657568000000000,639087303708038392,0</v>
    <v>0</v>
    <v>c5it27</v>
    <v>XNSE:MIDCAPETF</v>
    <v>1484</v>
  </rv>
  <rv s="1">
    <v>1</v>
    <v>MIDCAPETF</v>
    <v>Daily</v>
    <v>45462</v>
    <v>45462</v>
    <v>0</v>
    <v>1</v>
    <v>638543520000000000,639087303708132472,0</v>
    <v>0</v>
    <v>c5it27</v>
    <v>XNSE:MIDCAPETF</v>
    <v>1485</v>
  </rv>
  <rv s="1">
    <v>1</v>
    <v>MIDCAPETF</v>
    <v>Daily</v>
    <v>45043</v>
    <v>45043</v>
    <v>0</v>
    <v>1</v>
    <v>638181504000000000,639087303711002486,0</v>
    <v>0</v>
    <v>c5it27</v>
    <v>XNSE:MIDCAPETF</v>
    <v>1486</v>
  </rv>
  <rv s="1">
    <v>1</v>
    <v>MIDCAPETF</v>
    <v>Daily</v>
    <v>44882</v>
    <v>44882</v>
    <v>0</v>
    <v>1</v>
    <v>638042400000000000,639087303711741576,0</v>
    <v>0</v>
    <v>c5it27</v>
    <v>XNSE:MIDCAPETF</v>
    <v>1487</v>
  </rv>
  <rv s="1">
    <v>1</v>
    <v>MIDCAPETF</v>
    <v>Daily</v>
    <v>45203</v>
    <v>45203</v>
    <v>0</v>
    <v>1</v>
    <v>638319744000000000,639087303711203146,0</v>
    <v>0</v>
    <v>c5it27</v>
    <v>XNSE:MIDCAPETF</v>
    <v>1488</v>
  </rv>
  <rv s="1">
    <v>1</v>
    <v>MIDCAPETF</v>
    <v>Daily</v>
    <v>45175</v>
    <v>45175</v>
    <v>0</v>
    <v>1</v>
    <v>638295552000000000,639087303711683250,0</v>
    <v>0</v>
    <v>c5it27</v>
    <v>XNSE:MIDCAPETF</v>
    <v>1489</v>
  </rv>
  <rv s="1">
    <v>1</v>
    <v>MIDCAPETF</v>
    <v>Daily</v>
    <v>45315</v>
    <v>45315</v>
    <v>0</v>
    <v>1</v>
    <v>638416512000000000,639087303714692269,0</v>
    <v>0</v>
    <v>c5it27</v>
    <v>XNSE:MIDCAPETF</v>
    <v>1490</v>
  </rv>
  <rv s="1">
    <v>1</v>
    <v>MIDCAPETF</v>
    <v>Daily</v>
    <v>45420</v>
    <v>45420</v>
    <v>0</v>
    <v>1</v>
    <v>638507232000000000,639087303716112601,0</v>
    <v>0</v>
    <v>c5it27</v>
    <v>XNSE:MIDCAPETF</v>
    <v>1491</v>
  </rv>
  <rv s="1">
    <v>1</v>
    <v>MIDCAPETF</v>
    <v>Daily</v>
    <v>45728</v>
    <v>45728</v>
    <v>0</v>
    <v>1</v>
    <v>638773344000000000,639087303712242757,0</v>
    <v>0</v>
    <v>c5it27</v>
    <v>XNSE:MIDCAPETF</v>
    <v>1492</v>
  </rv>
  <rv s="1">
    <v>1</v>
    <v>MIDCAPETF</v>
    <v>Daily</v>
    <v>45377</v>
    <v>45377</v>
    <v>0</v>
    <v>1</v>
    <v>638470080000000000,639087303715653496,0</v>
    <v>0</v>
    <v>c5it27</v>
    <v>XNSE:MIDCAPETF</v>
    <v>1493</v>
  </rv>
  <rv s="1">
    <v>1</v>
    <v>MIDCAPETF</v>
    <v>Daily</v>
    <v>45281</v>
    <v>45281</v>
    <v>0</v>
    <v>1</v>
    <v>638387136000000000,639087303711831599,0</v>
    <v>0</v>
    <v>c5it27</v>
    <v>XNSE:MIDCAPETF</v>
    <v>1494</v>
  </rv>
  <rv s="1">
    <v>1</v>
    <v>MIDCAPETF</v>
    <v>Daily</v>
    <v>45036</v>
    <v>45036</v>
    <v>0</v>
    <v>1</v>
    <v>638175456000000000,639087303713091895,0</v>
    <v>0</v>
    <v>c5it27</v>
    <v>XNSE:MIDCAPETF</v>
    <v>1495</v>
  </rv>
  <rv s="1">
    <v>1</v>
    <v>MIDCAPETF</v>
    <v>Daily</v>
    <v>45763</v>
    <v>45763</v>
    <v>0</v>
    <v>1</v>
    <v>638803584000000000,639087303711986153,0</v>
    <v>0</v>
    <v>c5it27</v>
    <v>XNSE:MIDCAPETF</v>
    <v>1496</v>
  </rv>
  <rv s="1">
    <v>1</v>
    <v>MIDCAPETF</v>
    <v>Daily</v>
    <v>45770</v>
    <v>45770</v>
    <v>0</v>
    <v>1</v>
    <v>638809632000000000,639087303712044286,0</v>
    <v>0</v>
    <v>c5it27</v>
    <v>XNSE:MIDCAPETF</v>
    <v>1497</v>
  </rv>
  <rv s="1">
    <v>1</v>
    <v>MIDCAPETF</v>
    <v>Daily</v>
    <v>45196</v>
    <v>45196</v>
    <v>0</v>
    <v>1</v>
    <v>638313696000000000,639087303712213551,0</v>
    <v>0</v>
    <v>c5it27</v>
    <v>XNSE:MIDCAPETF</v>
    <v>1498</v>
  </rv>
  <rv s="1">
    <v>1</v>
    <v>MIDCAPETF</v>
    <v>Daily</v>
    <v>45685</v>
    <v>45685</v>
    <v>0</v>
    <v>1</v>
    <v>638736192000000000,639087303712432588,0</v>
    <v>0</v>
    <v>c5it27</v>
    <v>XNSE:MIDCAPETF</v>
    <v>1499</v>
  </rv>
  <rv s="1">
    <v>1</v>
    <v>MIDCAPETF</v>
    <v>Daily</v>
    <v>45239</v>
    <v>45239</v>
    <v>0</v>
    <v>1</v>
    <v>638350848000000000,639087303712793494,0</v>
    <v>0</v>
    <v>c5it27</v>
    <v>XNSE:MIDCAPETF</v>
    <v>1498</v>
  </rv>
  <rv s="1">
    <v>1</v>
    <v>MIDCAPETF</v>
    <v>Daily</v>
    <v>45365</v>
    <v>45365</v>
    <v>0</v>
    <v>1</v>
    <v>638459712000000000,639087303716469906,0</v>
    <v>0</v>
    <v>c5it27</v>
    <v>XNSE:MIDCAPETF</v>
    <v>1500</v>
  </rv>
  <rv s="1">
    <v>1</v>
    <v>MIDCAPETF</v>
    <v>Daily</v>
    <v>45328</v>
    <v>45328</v>
    <v>0</v>
    <v>1</v>
    <v>638427744000000000,639087303717114438,0</v>
    <v>0</v>
    <v>c5it27</v>
    <v>XNSE:MIDCAPETF</v>
    <v>1478</v>
  </rv>
  <rv s="1">
    <v>1</v>
    <v>MIDCAPETF</v>
    <v>Daily</v>
    <v>45351</v>
    <v>45351</v>
    <v>0</v>
    <v>1</v>
    <v>638447616000000000,639087303717154444,0</v>
    <v>0</v>
    <v>c5it27</v>
    <v>XNSE:MIDCAPETF</v>
    <v>1501</v>
  </rv>
  <rv s="1">
    <v>1</v>
    <v>MIDCAPETF</v>
    <v>Daily</v>
    <v>45650</v>
    <v>45650</v>
    <v>0</v>
    <v>1</v>
    <v>638705952000000000,639087303717237109,0</v>
    <v>0</v>
    <v>c5it27</v>
    <v>XNSE:MIDCAPETF</v>
    <v>1502</v>
  </rv>
  <rv s="1">
    <v>1</v>
    <v>MIDCAPETF</v>
    <v>Daily</v>
    <v>45708</v>
    <v>45708</v>
    <v>0</v>
    <v>1</v>
    <v>638756064000000000,639087303719184256,0</v>
    <v>0</v>
    <v>c5it27</v>
    <v>XNSE:MIDCAPETF</v>
    <v>1503</v>
  </rv>
  <rv s="1">
    <v>1</v>
    <v>MIDCAPETF</v>
    <v>Daily</v>
    <v>45379</v>
    <v>45379</v>
    <v>0</v>
    <v>1</v>
    <v>638471808000000000,639087303719174379,0</v>
    <v>0</v>
    <v>c5it27</v>
    <v>XNSE:MIDCAPETF</v>
    <v>1504</v>
  </rv>
  <rv s="1">
    <v>1</v>
    <v>MIDCAPETF</v>
    <v>Daily</v>
    <v>44910</v>
    <v>44910</v>
    <v>0</v>
    <v>1</v>
    <v>638066592000000000,639087303718004127,0</v>
    <v>0</v>
    <v>c5it27</v>
    <v>XNSE:MIDCAPETF</v>
    <v>1505</v>
  </rv>
  <rv s="1">
    <v>1</v>
    <v>MIDCAPETF</v>
    <v>Daily</v>
    <v>45645</v>
    <v>45645</v>
    <v>0</v>
    <v>1</v>
    <v>638701632000000000,639087303718053907,0</v>
    <v>0</v>
    <v>c5it27</v>
    <v>XNSE:MIDCAPETF</v>
    <v>1506</v>
  </rv>
  <rv s="1">
    <v>1</v>
    <v>MIDCAPETF</v>
    <v>Daily</v>
    <v>45161</v>
    <v>45161</v>
    <v>0</v>
    <v>1</v>
    <v>638283456000000000,639087303718324509,0</v>
    <v>0</v>
    <v>c5it27</v>
    <v>XNSE:MIDCAPETF</v>
    <v>1507</v>
  </rv>
  <rv s="1">
    <v>1</v>
    <v>MIDCAPETF</v>
    <v>Daily</v>
    <v>45440</v>
    <v>45440</v>
    <v>0</v>
    <v>1</v>
    <v>638524512000000000,639087303719960927,0</v>
    <v>0</v>
    <v>c5it27</v>
    <v>XNSE:MIDCAPETF</v>
    <v>1508</v>
  </rv>
  <rv s="1">
    <v>1</v>
    <v>MIDCAPETF</v>
    <v>Daily</v>
    <v>45336</v>
    <v>45336</v>
    <v>0</v>
    <v>1</v>
    <v>638434656000000000,639087303720428869,0</v>
    <v>0</v>
    <v>c5it27</v>
    <v>XNSE:MIDCAPETF</v>
    <v>1509</v>
  </rv>
  <rv s="1">
    <v>1</v>
    <v>MIDCAPETF</v>
    <v>Daily</v>
    <v>45595</v>
    <v>45595</v>
    <v>0</v>
    <v>1</v>
    <v>638658432000000000,639087303720224478,0</v>
    <v>0</v>
    <v>c5it27</v>
    <v>XNSE:MIDCAPETF</v>
    <v>1510</v>
  </rv>
  <rv s="1">
    <v>1</v>
    <v>MIDCAPETF</v>
    <v>Daily</v>
    <v>45665</v>
    <v>45665</v>
    <v>0</v>
    <v>1</v>
    <v>638718912000000000,639087303721144674,0</v>
    <v>0</v>
    <v>c5it27</v>
    <v>XNSE:MIDCAPETF</v>
    <v>1511</v>
  </rv>
  <rv s="1">
    <v>1</v>
    <v>MIDCAPETF</v>
    <v>Daily</v>
    <v>45483</v>
    <v>45483</v>
    <v>0</v>
    <v>1</v>
    <v>638561664000000000,639087303721784807,0</v>
    <v>0</v>
    <v>c5it27</v>
    <v>XNSE:MIDCAPETF</v>
    <v>1512</v>
  </rv>
  <rv s="1">
    <v>1</v>
    <v>MIDCAPETF</v>
    <v>Daily</v>
    <v>45337</v>
    <v>45337</v>
    <v>0</v>
    <v>1</v>
    <v>638435520000000000,639087303722755006,0</v>
    <v>0</v>
    <v>c5it27</v>
    <v>XNSE:MIDCAPETF</v>
    <v>1513</v>
  </rv>
  <rv s="1">
    <v>1</v>
    <v>MIDCAPETF</v>
    <v>Daily</v>
    <v>45749</v>
    <v>45749</v>
    <v>0</v>
    <v>1</v>
    <v>638791488000000000,639087303724175306,0</v>
    <v>0</v>
    <v>c5it27</v>
    <v>XNSE:MIDCAPETF</v>
    <v>1514</v>
  </rv>
  <rv s="1">
    <v>1</v>
    <v>MIDCAPETF</v>
    <v>Daily</v>
    <v>45791</v>
    <v>45791</v>
    <v>0</v>
    <v>1</v>
    <v>638827776000000000,639087303721318623,0</v>
    <v>0</v>
    <v>c5it27</v>
    <v>XNSE:MIDCAPETF</v>
    <v>1515</v>
  </rv>
  <rv s="1">
    <v>1</v>
    <v>MIDCAPETF</v>
    <v>Daily</v>
    <v>45294</v>
    <v>45294</v>
    <v>0</v>
    <v>1</v>
    <v>638398368000000000,639087303721782925,0</v>
    <v>0</v>
    <v>c5it27</v>
    <v>XNSE:MIDCAPETF</v>
    <v>1516</v>
  </rv>
  <rv s="1">
    <v>1</v>
    <v>MIDCAPETF</v>
    <v>Daily</v>
    <v>45503</v>
    <v>45503</v>
    <v>0</v>
    <v>1</v>
    <v>638578944000000000,639087303720602334,0</v>
    <v>0</v>
    <v>c5it27</v>
    <v>XNSE:MIDCAPETF</v>
    <v>1517</v>
  </rv>
  <rv s="1">
    <v>1</v>
    <v>MIDCAPETF</v>
    <v>Daily</v>
    <v>45210</v>
    <v>45210</v>
    <v>0</v>
    <v>1</v>
    <v>638325792000000000,639087303720772546,0</v>
    <v>0</v>
    <v>c5it27</v>
    <v>XNSE:MIDCAPETF</v>
    <v>1518</v>
  </rv>
  <rv s="1">
    <v>1</v>
    <v>MIDCAPETF</v>
    <v>Daily</v>
    <v>45699</v>
    <v>45699</v>
    <v>0</v>
    <v>1</v>
    <v>638748288000000000,639087303720940841,0</v>
    <v>0</v>
    <v>c5it27</v>
    <v>XNSE:MIDCAPETF</v>
    <v>1519</v>
  </rv>
  <rv s="1">
    <v>1</v>
    <v>MIDCAPETF</v>
    <v>Daily</v>
    <v>45735</v>
    <v>45735</v>
    <v>0</v>
    <v>1</v>
    <v>638779392000000000,639087303721428767,0</v>
    <v>0</v>
    <v>c5it27</v>
    <v>XNSE:MIDCAPETF</v>
    <v>1520</v>
  </rv>
  <rv s="1">
    <v>1</v>
    <v>MIDCAPETF</v>
    <v>Daily</v>
    <v>45197</v>
    <v>45197</v>
    <v>0</v>
    <v>1</v>
    <v>638314560000000000,639087303721273819,0</v>
    <v>0</v>
    <v>c5it27</v>
    <v>XNSE:MIDCAPETF</v>
    <v>1521</v>
  </rv>
  <rv s="1">
    <v>1</v>
    <v>MIDCAPETF</v>
    <v>Daily</v>
    <v>44728</v>
    <v>44728</v>
    <v>0</v>
    <v>1</v>
    <v>637909344000000000,639087303721399249,0</v>
    <v>0</v>
    <v>c5it27</v>
    <v>XNSE:MIDCAPETF</v>
    <v>1522</v>
  </rv>
  <rv s="1">
    <v>1</v>
    <v>MIDCAPETF</v>
    <v>Daily</v>
    <v>44854</v>
    <v>44854</v>
    <v>0</v>
    <v>1</v>
    <v>638018208000000000,639087303721423167,0</v>
    <v>0</v>
    <v>c5it27</v>
    <v>XNSE:MIDCAPETF</v>
    <v>1523</v>
  </rv>
  <rv s="1">
    <v>1</v>
    <v>MIDCAPETF</v>
    <v>Daily</v>
    <v>45617</v>
    <v>45617</v>
    <v>0</v>
    <v>1</v>
    <v>638677440000000000,639087303723561526,0</v>
    <v>0</v>
    <v>c5it27</v>
    <v>XNSE:MIDCAPETF</v>
    <v>1524</v>
  </rv>
  <rv s="1">
    <v>1</v>
    <v>MIDCAPETF</v>
    <v>Daily</v>
    <v>45777</v>
    <v>45777</v>
    <v>0</v>
    <v>1</v>
    <v>638815680000000000,639087303723790513,0</v>
    <v>0</v>
    <v>c5it27</v>
    <v>XNSE:MIDCAPETF</v>
    <v>1525</v>
  </rv>
  <rv s="1">
    <v>1</v>
    <v>MIDCAPETF</v>
    <v>Daily</v>
    <v>45454</v>
    <v>45454</v>
    <v>0</v>
    <v>1</v>
    <v>638536608000000000,639087303724019508,0</v>
    <v>0</v>
    <v>c5it27</v>
    <v>XNSE:MIDCAPETF</v>
    <v>1526</v>
  </rv>
  <rv s="1">
    <v>1</v>
    <v>MIDCAPETF</v>
    <v>Daily</v>
    <v>45295</v>
    <v>45295</v>
    <v>0</v>
    <v>1</v>
    <v>638399232000000000,639087303728825517,0</v>
    <v>0</v>
    <v>c5it27</v>
    <v>XNSE:MIDCAPETF</v>
    <v>1527</v>
  </rv>
  <rv s="1">
    <v>1</v>
    <v>MIDCAPETF</v>
    <v>Daily</v>
    <v>44840</v>
    <v>44840</v>
    <v>0</v>
    <v>1</v>
    <v>638006112000000000,639087303724644589,0</v>
    <v>0</v>
    <v>c5it27</v>
    <v>XNSE:MIDCAPETF</v>
    <v>1528</v>
  </rv>
  <rv s="1">
    <v>1</v>
    <v>MIDCAPETF</v>
    <v>Daily</v>
    <v>45707</v>
    <v>45707</v>
    <v>0</v>
    <v>1</v>
    <v>638755200000000000,639087303724796099,0</v>
    <v>0</v>
    <v>c5it27</v>
    <v>XNSE:MIDCAPETF</v>
    <v>1529</v>
  </rv>
  <rv s="1">
    <v>1</v>
    <v>MIDCAPETF</v>
    <v>Daily</v>
    <v>45784</v>
    <v>45784</v>
    <v>0</v>
    <v>1</v>
    <v>638821728000000000,639087303725246196,0</v>
    <v>0</v>
    <v>c5it27</v>
    <v>XNSE:MIDCAPETF</v>
    <v>1530</v>
  </rv>
  <rv s="1">
    <v>1</v>
    <v>MIDCAPETF</v>
    <v>Daily</v>
    <v>45721</v>
    <v>45721</v>
    <v>0</v>
    <v>1</v>
    <v>638767296000000000,639087303725706293,0</v>
    <v>0</v>
    <v>c5it27</v>
    <v>XNSE:MIDCAPETF</v>
    <v>1531</v>
  </rv>
  <rv s="1">
    <v>1</v>
    <v>MIDCAPETF</v>
    <v>Daily</v>
    <v>45489</v>
    <v>45489</v>
    <v>0</v>
    <v>1</v>
    <v>638566848000000000,639087303727234224,0</v>
    <v>0</v>
    <v>c5it27</v>
    <v>XNSE:MIDCAPETF</v>
    <v>1532</v>
  </rv>
  <rv s="1">
    <v>1</v>
    <v>MIDCAPETF</v>
    <v>Daily</v>
    <v>45442</v>
    <v>45442</v>
    <v>0</v>
    <v>1</v>
    <v>638526240000000000,639087303727383556,0</v>
    <v>0</v>
    <v>c5it27</v>
    <v>XNSE:MIDCAPETF</v>
    <v>1533</v>
  </rv>
  <rv s="1">
    <v>1</v>
    <v>MIDCAPETF</v>
    <v>Daily</v>
    <v>45266</v>
    <v>45266</v>
    <v>0</v>
    <v>1</v>
    <v>638374176000000000,639087303726132495,0</v>
    <v>0</v>
    <v>c5it27</v>
    <v>XNSE:MIDCAPETF</v>
    <v>1534</v>
  </rv>
  <rv s="1">
    <v>1</v>
    <v>MIDCAPETF</v>
    <v>Daily</v>
    <v>44784</v>
    <v>44784</v>
    <v>0</v>
    <v>1</v>
    <v>637957728000000000,639087303726173860,0</v>
    <v>0</v>
    <v>c5it27</v>
    <v>XNSE:MIDCAPETF</v>
    <v>1535</v>
  </rv>
  <rv s="1">
    <v>1</v>
    <v>MIDCAPETF</v>
    <v>Daily</v>
    <v>45589</v>
    <v>45589</v>
    <v>0</v>
    <v>1</v>
    <v>638653248000000000,639087303726233593,0</v>
    <v>0</v>
    <v>c5it27</v>
    <v>XNSE:MIDCAPETF</v>
    <v>1510</v>
  </rv>
  <rv s="1">
    <v>1</v>
    <v>MIDCAPETF</v>
    <v>Daily</v>
    <v>45587</v>
    <v>45587</v>
    <v>0</v>
    <v>1</v>
    <v>638651520000000000,639087303726251981,0</v>
    <v>0</v>
    <v>c5it27</v>
    <v>XNSE:MIDCAPETF</v>
    <v>1511</v>
  </rv>
  <rv s="1">
    <v>1</v>
    <v>MIDCAPETF</v>
    <v>Daily</v>
    <v>44735</v>
    <v>44735</v>
    <v>0</v>
    <v>1</v>
    <v>637915392000000000,639087303726301768,0</v>
    <v>0</v>
    <v>c5it27</v>
    <v>XNSE:MIDCAPETF</v>
    <v>1536</v>
  </rv>
  <rv s="1">
    <v>1</v>
    <v>MIDCAPETF</v>
    <v>Daily</v>
    <v>45482</v>
    <v>45482</v>
    <v>0</v>
    <v>1</v>
    <v>638560800000000000,639087303726132495,0</v>
    <v>0</v>
    <v>c5it27</v>
    <v>XNSE:MIDCAPETF</v>
    <v>1537</v>
  </rv>
  <rv s="1">
    <v>1</v>
    <v>MIDCAPETF</v>
    <v>Daily</v>
    <v>44868</v>
    <v>44868</v>
    <v>0</v>
    <v>1</v>
    <v>638030304000000000,639087303726173860,0</v>
    <v>0</v>
    <v>c5it27</v>
    <v>XNSE:MIDCAPETF</v>
    <v>1538</v>
  </rv>
  <rv s="1">
    <v>1</v>
    <v>MIDCAPETF</v>
    <v>Daily</v>
    <v>45343</v>
    <v>45343</v>
    <v>0</v>
    <v>1</v>
    <v>638440704000000000,639087303726212153,0</v>
    <v>0</v>
    <v>c5it27</v>
    <v>XNSE:MIDCAPETF</v>
    <v>1539</v>
  </rv>
  <rv s="1">
    <v>1</v>
    <v>MIDCAPETF</v>
    <v>Daily</v>
    <v>45657</v>
    <v>45657</v>
    <v>0</v>
    <v>1</v>
    <v>638712000000000000,639087303726251981,0</v>
    <v>0</v>
    <v>c5it27</v>
    <v>XNSE:MIDCAPETF</v>
    <v>1540</v>
  </rv>
  <rv s="1">
    <v>1</v>
    <v>MIDCAPETF</v>
    <v>Daily</v>
    <v>45750</v>
    <v>45750</v>
    <v>0</v>
    <v>1</v>
    <v>638792352000000000,639087303727244173,0</v>
    <v>0</v>
    <v>c5it27</v>
    <v>XNSE:MIDCAPETF</v>
    <v>1541</v>
  </rv>
  <rv s="1">
    <v>1</v>
    <v>MIDCAPETF</v>
    <v>Daily</v>
    <v>45132</v>
    <v>45132</v>
    <v>0</v>
    <v>1</v>
    <v>638258400000000000,639087303728369232,0</v>
    <v>0</v>
    <v>c5it27</v>
    <v>XNSE:MIDCAPETF</v>
    <v>1542</v>
  </rv>
  <rv s="1">
    <v>1</v>
    <v>MIDCAPETF</v>
    <v>Daily</v>
    <v>45168</v>
    <v>45168</v>
    <v>0</v>
    <v>1</v>
    <v>638289504000000000,639087303727352695,0</v>
    <v>0</v>
    <v>c5it27</v>
    <v>XNSE:MIDCAPETF</v>
    <v>1543</v>
  </rv>
  <rv s="1">
    <v>1</v>
    <v>MIDCAPETF</v>
    <v>Daily</v>
    <v>45419</v>
    <v>45419</v>
    <v>0</v>
    <v>1</v>
    <v>638506368000000000,639087303727392545,0</v>
    <v>0</v>
    <v>c5it27</v>
    <v>XNSE:MIDCAPETF</v>
    <v>1544</v>
  </rv>
  <rv s="1">
    <v>1</v>
    <v>MIDCAPETF</v>
    <v>Daily</v>
    <v>45496</v>
    <v>45496</v>
    <v>0</v>
    <v>1</v>
    <v>638572896000000000,639087303727402482,0</v>
    <v>0</v>
    <v>c5it27</v>
    <v>XNSE:MIDCAPETF</v>
    <v>1545</v>
  </rv>
  <rv s="1">
    <v>1</v>
    <v>MIDCAPETF</v>
    <v>Daily</v>
    <v>45533</v>
    <v>45533</v>
    <v>0</v>
    <v>1</v>
    <v>638604864000000000,639087303727901306,0</v>
    <v>0</v>
    <v>c5it27</v>
    <v>XNSE:MIDCAPETF</v>
    <v>1546</v>
  </rv>
  <rv s="1">
    <v>1</v>
    <v>MIDCAPETF</v>
    <v>Daily</v>
    <v>44742</v>
    <v>44742</v>
    <v>0</v>
    <v>1</v>
    <v>637921440000000000,639087303730922781,0</v>
    <v>0</v>
    <v>c5it27</v>
    <v>XNSE:MIDCAPETF</v>
    <v>1547</v>
  </rv>
  <rv s="1">
    <v>1</v>
    <v>MIDCAPETF</v>
    <v>Daily</v>
    <v>45601</v>
    <v>45601</v>
    <v>0</v>
    <v>1</v>
    <v>638663616000000000,639087303730657339,0</v>
    <v>0</v>
    <v>c5it27</v>
    <v>XNSE:MIDCAPETF</v>
    <v>1548</v>
  </rv>
  <rv s="1">
    <v>1</v>
    <v>MIDCAPETF</v>
    <v>Daily</v>
    <v>45286</v>
    <v>45286</v>
    <v>0</v>
    <v>1</v>
    <v>638391456000000000,639087303731714579,0</v>
    <v>0</v>
    <v>c5it27</v>
    <v>XNSE:MIDCAPETF</v>
    <v>1549</v>
  </rv>
  <rv s="1">
    <v>1</v>
    <v>MIDCAPETF</v>
    <v>Daily</v>
    <v>45174</v>
    <v>45174</v>
    <v>0</v>
    <v>1</v>
    <v>638294688000000000,639087303731166065,0</v>
    <v>0</v>
    <v>c5it27</v>
    <v>XNSE:MIDCAPETF</v>
    <v>1550</v>
  </rv>
  <rv s="1">
    <v>1</v>
    <v>MIDCAPETF</v>
    <v>Daily</v>
    <v>45497</v>
    <v>45497</v>
    <v>0</v>
    <v>1</v>
    <v>638573760000000000,639087303733927363,0</v>
    <v>0</v>
    <v>c5it27</v>
    <v>XNSE:MIDCAPETF</v>
    <v>1551</v>
  </rv>
  <rv s="1">
    <v>1</v>
    <v>MIDCAPETF</v>
    <v>Daily</v>
    <v>45580</v>
    <v>45580</v>
    <v>0</v>
    <v>1</v>
    <v>638645472000000000,639087303731674754,0</v>
    <v>0</v>
    <v>c5it27</v>
    <v>XNSE:MIDCAPETF</v>
    <v>1552</v>
  </rv>
  <rv s="1">
    <v>1</v>
    <v>MIDCAPETF</v>
    <v>Daily</v>
    <v>45792</v>
    <v>45792</v>
    <v>0</v>
    <v>1</v>
    <v>638828640000000000,639087303732330835,0</v>
    <v>0</v>
    <v>c5it27</v>
    <v>XNSE:MIDCAPETF</v>
    <v>1553</v>
  </rv>
  <rv s="1">
    <v>1</v>
    <v>MIDCAPETF</v>
    <v>Daily</v>
    <v>45671</v>
    <v>45671</v>
    <v>0</v>
    <v>1</v>
    <v>638724096000000000,639087303732647788,0</v>
    <v>0</v>
    <v>c5it27</v>
    <v>XNSE:MIDCAPETF</v>
    <v>1525</v>
  </rv>
  <rv s="1">
    <v>1</v>
    <v>MIDCAPETF</v>
    <v>Daily</v>
    <v>45006</v>
    <v>45006</v>
    <v>0</v>
    <v>1</v>
    <v>638149536000000000,639087303733556627,0</v>
    <v>0</v>
    <v>c5it27</v>
    <v>XNSE:MIDCAPETF</v>
    <v>1554</v>
  </rv>
  <rv s="1">
    <v>1</v>
    <v>MIDCAPETF</v>
    <v>Daily</v>
    <v>44938</v>
    <v>44938</v>
    <v>0</v>
    <v>1</v>
    <v>638090784000000000,639087303734036740,0</v>
    <v>0</v>
    <v>c5it27</v>
    <v>XNSE:MIDCAPETF</v>
    <v>1555</v>
  </rv>
  <rv s="1">
    <v>1</v>
    <v>MIDCAPETF</v>
    <v>Daily</v>
    <v>45370</v>
    <v>45370</v>
    <v>0</v>
    <v>1</v>
    <v>638464032000000000,639087303732818694,0</v>
    <v>0</v>
    <v>c5it27</v>
    <v>XNSE:MIDCAPETF</v>
    <v>1556</v>
  </rv>
  <rv s="1">
    <v>1</v>
    <v>MIDCAPETF</v>
    <v>Daily</v>
    <v>45441</v>
    <v>45441</v>
    <v>0</v>
    <v>1</v>
    <v>638525376000000000,639087303733297932,0</v>
    <v>0</v>
    <v>c5it27</v>
    <v>XNSE:MIDCAPETF</v>
    <v>1557</v>
  </rv>
  <rv s="1">
    <v>1</v>
    <v>MIDCAPETF</v>
    <v>Daily</v>
    <v>45001</v>
    <v>45001</v>
    <v>0</v>
    <v>1</v>
    <v>638145216000000000,639087303732142698,0</v>
    <v>0</v>
    <v>c5it27</v>
    <v>XNSE:MIDCAPETF</v>
    <v>1554</v>
  </rv>
  <rv s="1">
    <v>1</v>
    <v>MIDCAPETF</v>
    <v>Daily</v>
    <v>45461</v>
    <v>45461</v>
    <v>0</v>
    <v>1</v>
    <v>638542656000000000,639087303733137893,0</v>
    <v>0</v>
    <v>c5it27</v>
    <v>XNSE:MIDCAPETF</v>
    <v>1558</v>
  </rv>
  <rv s="1">
    <v>1</v>
    <v>MIDCAPETF</v>
    <v>Daily</v>
    <v>45358</v>
    <v>45358</v>
    <v>0</v>
    <v>1</v>
    <v>638453664000000000,639087303736671764,0</v>
    <v>0</v>
    <v>c5it27</v>
    <v>XNSE:MIDCAPETF</v>
    <v>1559</v>
  </rv>
  <rv s="1">
    <v>1</v>
    <v>MIDCAPETF</v>
    <v>Daily</v>
    <v>45231</v>
    <v>45231</v>
    <v>0</v>
    <v>1</v>
    <v>638343936000000000,639087303736888949,0</v>
    <v>0</v>
    <v>c5it27</v>
    <v>XNSE:MIDCAPETF</v>
    <v>1560</v>
  </rv>
  <rv s="1">
    <v>1</v>
    <v>MIDCAPETF</v>
    <v>Daily</v>
    <v>45658</v>
    <v>45658</v>
    <v>0</v>
    <v>1</v>
    <v>638712864000000000,639087303737369053,0</v>
    <v>0</v>
    <v>c5it27</v>
    <v>XNSE:MIDCAPETF</v>
    <v>1561</v>
  </rv>
  <rv s="1">
    <v>1</v>
    <v>MIDCAPETF</v>
    <v>Daily</v>
    <v>45560</v>
    <v>45560</v>
    <v>0</v>
    <v>1</v>
    <v>638628192000000000,639087303738329263,0</v>
    <v>0</v>
    <v>c5it27</v>
    <v>XNSE:MIDCAPETF</v>
    <v>1562</v>
  </rv>
  <rv s="1">
    <v>1</v>
    <v>MIDCAPETF</v>
    <v>Daily</v>
    <v>45140</v>
    <v>45140</v>
    <v>0</v>
    <v>1</v>
    <v>638265312000000000,639087303739288510,0</v>
    <v>0</v>
    <v>c5it27</v>
    <v>XNSE:MIDCAPETF</v>
    <v>1563</v>
  </rv>
  <rv s="1">
    <v>1</v>
    <v>MIDCAPETF</v>
    <v>Daily</v>
    <v>45469</v>
    <v>45469</v>
    <v>0</v>
    <v>1</v>
    <v>638549568000000000,639087303740738825,0</v>
    <v>0</v>
    <v>c5it27</v>
    <v>XNSE:MIDCAPETF</v>
    <v>1515</v>
  </rv>
  <rv s="1">
    <v>1</v>
    <v>MIDCAPETF</v>
    <v>Daily</v>
    <v>45280</v>
    <v>45280</v>
    <v>0</v>
    <v>1</v>
    <v>638386272000000000,639087303738258285,0</v>
    <v>0</v>
    <v>c5it27</v>
    <v>XNSE:MIDCAPETF</v>
    <v>1564</v>
  </rv>
  <rv s="1">
    <v>1</v>
    <v>MIDCAPETF</v>
    <v>Daily</v>
    <v>45629</v>
    <v>45629</v>
    <v>0</v>
    <v>1</v>
    <v>638687808000000000,639087303739338520,0</v>
    <v>0</v>
    <v>c5it27</v>
    <v>XNSE:MIDCAPETF</v>
    <v>1565</v>
  </rv>
  <rv s="1">
    <v>1</v>
    <v>MIDCAPETF</v>
    <v>Daily</v>
    <v>45013</v>
    <v>45013</v>
    <v>0</v>
    <v>1</v>
    <v>638155584000000000,639087303739708598,0</v>
    <v>0</v>
    <v>c5it27</v>
    <v>XNSE:MIDCAPETF</v>
    <v>1566</v>
  </rv>
  <rv s="1">
    <v>1</v>
    <v>MIDCAPETF</v>
    <v>Daily</v>
    <v>45447</v>
    <v>45447</v>
    <v>0</v>
    <v>1</v>
    <v>638530560000000000,639087303740818328,0</v>
    <v>0</v>
    <v>c5it27</v>
    <v>XNSE:MIDCAPETF</v>
    <v>1567</v>
  </rv>
  <rv s="1">
    <v>1</v>
    <v>MIDCAPETF</v>
    <v>Daily</v>
    <v>45785</v>
    <v>45785</v>
    <v>0</v>
    <v>1</v>
    <v>638822592000000000,639087303742238659,0</v>
    <v>0</v>
    <v>c5it27</v>
    <v>XNSE:MIDCAPETF</v>
    <v>1568</v>
  </rv>
  <rv s="1">
    <v>1</v>
    <v>MIDCAPETF</v>
    <v>Daily</v>
    <v>45412</v>
    <v>45412</v>
    <v>0</v>
    <v>1</v>
    <v>638500320000000000,639087303737868932,0</v>
    <v>0</v>
    <v>c5it27</v>
    <v>XNSE:MIDCAPETF</v>
    <v>1569</v>
  </rv>
  <rv s="1">
    <v>1</v>
    <v>MIDCAPETF</v>
    <v>Daily</v>
    <v>45189</v>
    <v>45189</v>
    <v>0</v>
    <v>1</v>
    <v>638307648000000000,639087303738168997,0</v>
    <v>0</v>
    <v>c5it27</v>
    <v>XNSE:MIDCAPETF</v>
    <v>1570</v>
  </rv>
  <rv s="1">
    <v>1</v>
    <v>MIDCAPETF</v>
    <v>Daily</v>
    <v>45022</v>
    <v>45022</v>
    <v>0</v>
    <v>1</v>
    <v>638163360000000000,639087303738629100,0</v>
    <v>0</v>
    <v>c5it27</v>
    <v>XNSE:MIDCAPETF</v>
    <v>1571</v>
  </rv>
  <rv s="1">
    <v>1</v>
    <v>MIDCAPETF</v>
    <v>Daily</v>
    <v>45272</v>
    <v>45272</v>
    <v>0</v>
    <v>1</v>
    <v>638379360000000000,639087303738773597,0</v>
    <v>0</v>
    <v>c5it27</v>
    <v>XNSE:MIDCAPETF</v>
    <v>1572</v>
  </rv>
  <rv s="1">
    <v>1</v>
    <v>MIDCAPETF</v>
    <v>Daily</v>
    <v>45027</v>
    <v>45027</v>
    <v>0</v>
    <v>1</v>
    <v>638167680000000000,639087303738643115,0</v>
    <v>0</v>
    <v>c5it27</v>
    <v>XNSE:MIDCAPETF</v>
    <v>1573</v>
  </rv>
  <rv s="1">
    <v>1</v>
    <v>MIDCAPETF</v>
    <v>Daily</v>
    <v>45700</v>
    <v>45700</v>
    <v>0</v>
    <v>1</v>
    <v>638749152000000000,639087303739141993,0</v>
    <v>0</v>
    <v>c5it27</v>
    <v>XNSE:MIDCAPETF</v>
    <v>1574</v>
  </rv>
  <rv s="1">
    <v>1</v>
    <v>MIDCAPETF</v>
    <v>Daily</v>
    <v>44770</v>
    <v>44770</v>
    <v>0</v>
    <v>1</v>
    <v>637945632000000000,639087303739299247,0</v>
    <v>0</v>
    <v>c5it27</v>
    <v>XNSE:MIDCAPETF</v>
    <v>1575</v>
  </rv>
  <rv s="1">
    <v>1</v>
    <v>MIDCAPETF</v>
    <v>Daily</v>
    <v>45525</v>
    <v>45525</v>
    <v>0</v>
    <v>1</v>
    <v>638597952000000000,639087303739589539,0</v>
    <v>0</v>
    <v>c5it27</v>
    <v>XNSE:MIDCAPETF</v>
    <v>1576</v>
  </rv>
  <rv s="1">
    <v>1</v>
    <v>MIDCAPETF</v>
    <v>Daily</v>
    <v>45323</v>
    <v>45323</v>
    <v>0</v>
    <v>1</v>
    <v>638423424000000000,639087303740539747,0</v>
    <v>0</v>
    <v>c5it27</v>
    <v>XNSE:MIDCAPETF</v>
    <v>1577</v>
  </rv>
  <rv s="1">
    <v>1</v>
    <v>MIDCAPETF</v>
    <v>Daily</v>
    <v>45329</v>
    <v>45329</v>
    <v>0</v>
    <v>1</v>
    <v>638428608000000000,639087303738279021,0</v>
    <v>0</v>
    <v>c5it27</v>
    <v>XNSE:MIDCAPETF</v>
    <v>1578</v>
  </rv>
  <rv s="1">
    <v>1</v>
    <v>MIDCAPETF</v>
    <v>Daily</v>
    <v>45517</v>
    <v>45517</v>
    <v>0</v>
    <v>1</v>
    <v>638591040000000000,639087303738319032,0</v>
    <v>0</v>
    <v>c5it27</v>
    <v>XNSE:MIDCAPETF</v>
    <v>1579</v>
  </rv>
  <rv s="1">
    <v>1</v>
    <v>MIDCAPETF</v>
    <v>Daily</v>
    <v>45204</v>
    <v>45204</v>
    <v>0</v>
    <v>1</v>
    <v>638320608000000000,639087303749298685,0</v>
    <v>0</v>
    <v>c5it27</v>
    <v>XNSE:MIDCAPETF</v>
    <v>1521</v>
  </rv>
  <rv s="1">
    <v>1</v>
    <v>MIDCAPETF</v>
    <v>Daily</v>
    <v>45330</v>
    <v>45330</v>
    <v>0</v>
    <v>1</v>
    <v>638429472000000000,639087303747884900,0</v>
    <v>0</v>
    <v>c5it27</v>
    <v>XNSE:MIDCAPETF</v>
    <v>1580</v>
  </rv>
  <rv s="1">
    <v>1</v>
    <v>MIDCAPETF</v>
    <v>Daily</v>
    <v>44973</v>
    <v>44973</v>
    <v>0</v>
    <v>1</v>
    <v>638121024000000000,639087303748127226,0</v>
    <v>0</v>
    <v>c5it27</v>
    <v>XNSE:MIDCAPETF</v>
    <v>1581</v>
  </rv>
  <rv s="1">
    <v>1</v>
    <v>MIDCAPETF</v>
    <v>Daily</v>
    <v>45610</v>
    <v>45610</v>
    <v>0</v>
    <v>1</v>
    <v>638671392000000000,639087303749524795,0</v>
    <v>0</v>
    <v>c5it27</v>
    <v>XNSE:MIDCAPETF</v>
    <v>1582</v>
  </rv>
  <rv s="1">
    <v>1</v>
    <v>MIDCAPETF</v>
    <v>Daily</v>
    <v>45687</v>
    <v>45687</v>
    <v>0</v>
    <v>1</v>
    <v>638737920000000000,639087303749985679,0</v>
    <v>0</v>
    <v>c5it27</v>
    <v>XNSE:MIDCAPETF</v>
    <v>1583</v>
  </rv>
  <rv s="1">
    <v>1</v>
    <v>MIDCAPETF</v>
    <v>Daily</v>
    <v>45217</v>
    <v>45217</v>
    <v>0</v>
    <v>1</v>
    <v>638331840000000000,639087303748501219,0</v>
    <v>0</v>
    <v>c5it27</v>
    <v>XNSE:MIDCAPETF</v>
    <v>1518</v>
  </rv>
  <rv s="1">
    <v>1</v>
    <v>MIDCAPETF</v>
    <v>Daily</v>
    <v>45638</v>
    <v>45638</v>
    <v>0</v>
    <v>1</v>
    <v>638695584000000000,639087303748541224,0</v>
    <v>0</v>
    <v>c5it27</v>
    <v>XNSE:MIDCAPETF</v>
    <v>1584</v>
  </rv>
  <rv s="1">
    <v>1</v>
    <v>MIDCAPETF</v>
    <v>Daily</v>
    <v>45636</v>
    <v>45636</v>
    <v>0</v>
    <v>1</v>
    <v>638693856000000000,639087303749465583,0</v>
    <v>0</v>
    <v>c5it27</v>
    <v>XNSE:MIDCAPETF</v>
    <v>1585</v>
  </rv>
  <rv s="1">
    <v>1</v>
    <v>MIDCAPETF</v>
    <v>Daily</v>
    <v>45392</v>
    <v>45392</v>
    <v>0</v>
    <v>1</v>
    <v>638483040000000000,639087303749954537,0</v>
    <v>0</v>
    <v>c5it27</v>
    <v>XNSE:MIDCAPETF</v>
    <v>1586</v>
  </rv>
  <rv s="1">
    <v>1</v>
    <v>MIDCAPETF</v>
    <v>Daily</v>
    <v>45090</v>
    <v>45090</v>
    <v>0</v>
    <v>1</v>
    <v>638222112000000000,639087303749181441,0</v>
    <v>0</v>
    <v>c5it27</v>
    <v>XNSE:MIDCAPETF</v>
    <v>1587</v>
  </rv>
  <rv s="1">
    <v>1</v>
    <v>MIDCAPETF</v>
    <v>Daily</v>
    <v>45736</v>
    <v>45736</v>
    <v>0</v>
    <v>1</v>
    <v>638780256000000000,639087303749994361,0</v>
    <v>0</v>
    <v>c5it27</v>
    <v>XNSE:MIDCAPETF</v>
    <v>1588</v>
  </rv>
  <rv s="1">
    <v>1</v>
    <v>MIDCAPETF</v>
    <v>Daily</v>
    <v>45055</v>
    <v>45055</v>
    <v>0</v>
    <v>1</v>
    <v>638191872000000000,639087303752812427,0</v>
    <v>0</v>
    <v>c5it27</v>
    <v>XNSE:MIDCAPETF</v>
    <v>1589</v>
  </rv>
  <rv s="1">
    <v>1</v>
    <v>MIDCAPETF</v>
    <v>Daily</v>
    <v>44826</v>
    <v>44826</v>
    <v>0</v>
    <v>1</v>
    <v>637994016000000000,639087303751260091,0</v>
    <v>0</v>
    <v>c5it27</v>
    <v>XNSE:MIDCAPETF</v>
    <v>1590</v>
  </rv>
  <rv s="1">
    <v>1</v>
    <v>MIDCAPETF</v>
    <v>Daily</v>
    <v>45428</v>
    <v>45428</v>
    <v>0</v>
    <v>1</v>
    <v>638514144000000000,639087303751718079,0</v>
    <v>0</v>
    <v>c5it27</v>
    <v>XNSE:MIDCAPETF</v>
    <v>1591</v>
  </rv>
  <rv s="1">
    <v>1</v>
    <v>MIDCAPETF</v>
    <v>Daily</v>
    <v>45008</v>
    <v>45008</v>
    <v>0</v>
    <v>1</v>
    <v>638151264000000000,639087303752422097,0</v>
    <v>0</v>
    <v>c5it27</v>
    <v>XNSE:MIDCAPETF</v>
    <v>1592</v>
  </rv>
  <rv s="1">
    <v>1</v>
    <v>MIDCAPETF</v>
    <v>Daily</v>
    <v>45532</v>
    <v>45532</v>
    <v>0</v>
    <v>1</v>
    <v>638604000000000000,639087303753111949,0</v>
    <v>0</v>
    <v>c5it27</v>
    <v>XNSE:MIDCAPETF</v>
    <v>1593</v>
  </rv>
  <rv s="1">
    <v>1</v>
    <v>MIDCAPETF</v>
    <v>Daily</v>
    <v>45644</v>
    <v>45644</v>
    <v>0</v>
    <v>1</v>
    <v>638700768000000000,639087303755290005,0</v>
    <v>0</v>
    <v>c5it27</v>
    <v>XNSE:MIDCAPETF</v>
    <v>1594</v>
  </rv>
  <rv s="1">
    <v>1</v>
    <v>MIDCAPETF</v>
    <v>Daily</v>
    <v>45615</v>
    <v>45615</v>
    <v>0</v>
    <v>1</v>
    <v>638675712000000000,639087303755319866,0</v>
    <v>0</v>
    <v>c5it27</v>
    <v>XNSE:MIDCAPETF</v>
    <v>1595</v>
  </rv>
  <rv s="1">
    <v>1</v>
    <v>MIDCAPETF</v>
    <v>Daily</v>
    <v>45230</v>
    <v>45230</v>
    <v>0</v>
    <v>1</v>
    <v>638343072000000000,639087303758611189,0</v>
    <v>0</v>
    <v>c5it27</v>
    <v>XNSE:MIDCAPETF</v>
    <v>1596</v>
  </rv>
  <rv s="1">
    <v>1</v>
    <v>MIDCAPETF</v>
    <v>Daily</v>
    <v>45433</v>
    <v>45433</v>
    <v>0</v>
    <v>1</v>
    <v>638518464000000000,639087303758853871,0</v>
    <v>0</v>
    <v>c5it27</v>
    <v>XNSE:MIDCAPETF</v>
    <v>1597</v>
  </rv>
  <rv s="1">
    <v>1</v>
    <v>MIDCAPETF</v>
    <v>Daily</v>
    <v>45182</v>
    <v>45182</v>
    <v>0</v>
    <v>1</v>
    <v>638301600000000000,639087303759324716,0</v>
    <v>0</v>
    <v>c5it27</v>
    <v>XNSE:MIDCAPETF</v>
    <v>1598</v>
  </rv>
  <rv s="1">
    <v>1</v>
    <v>MIDCAPETF</v>
    <v>Daily</v>
    <v>44917</v>
    <v>44917</v>
    <v>0</v>
    <v>1</v>
    <v>638072640000000000,639087303760101305,0</v>
    <v>0</v>
    <v>c5it27</v>
    <v>XNSE:MIDCAPETF</v>
    <v>1599</v>
  </rv>
  <rv s="1">
    <v>1</v>
    <v>MIDCAPETF</v>
    <v>Daily</v>
    <v>45211</v>
    <v>45211</v>
    <v>0</v>
    <v>1</v>
    <v>638326656000000000,639087303760343568,0</v>
    <v>0</v>
    <v>c5it27</v>
    <v>XNSE:MIDCAPETF</v>
    <v>1600</v>
  </rv>
  <rv s="1">
    <v>1</v>
    <v>MIDCAPETF</v>
    <v>Daily</v>
    <v>45057</v>
    <v>45057</v>
    <v>0</v>
    <v>1</v>
    <v>638193600000000000,639087303757470426,0</v>
    <v>0</v>
    <v>c5it27</v>
    <v>XNSE:MIDCAPETF</v>
    <v>1589</v>
  </rv>
  <rv s="1">
    <v>1</v>
    <v>MIDCAPETF</v>
    <v>Daily</v>
    <v>45722</v>
    <v>45722</v>
    <v>0</v>
    <v>1</v>
    <v>638768160000000000,639087303757605832,0</v>
    <v>0</v>
    <v>c5it27</v>
    <v>XNSE:MIDCAPETF</v>
    <v>1601</v>
  </rv>
  <rv s="1">
    <v>1</v>
    <v>MIDCAPETF</v>
    <v>Daily</v>
    <v>45202</v>
    <v>45202</v>
    <v>0</v>
    <v>1</v>
    <v>638318880000000000,639087303757624412,0</v>
    <v>0</v>
    <v>c5it27</v>
    <v>XNSE:MIDCAPETF</v>
    <v>1602</v>
  </rv>
  <rv s="1">
    <v>1</v>
    <v>MIDCAPETF</v>
    <v>Daily</v>
    <v>44812</v>
    <v>44812</v>
    <v>0</v>
    <v>1</v>
    <v>637981920000000000,639087303757654271,0</v>
    <v>0</v>
    <v>c5it27</v>
    <v>XNSE:MIDCAPETF</v>
    <v>1603</v>
  </rv>
  <rv s="1">
    <v>1</v>
    <v>MIDCAPETF</v>
    <v>Daily</v>
    <v>45553</v>
    <v>45553</v>
    <v>0</v>
    <v>1</v>
    <v>638622144000000000,639087303760944204,0</v>
    <v>0</v>
    <v>c5it27</v>
    <v>XNSE:MIDCAPETF</v>
    <v>1604</v>
  </rv>
  <rv s="1">
    <v>1</v>
    <v>MIDCAPETF</v>
    <v>Daily</v>
    <v>44805</v>
    <v>44805</v>
    <v>0</v>
    <v>1</v>
    <v>637975872000000000,639087303761884410,0</v>
    <v>0</v>
    <v>c5it27</v>
    <v>XNSE:MIDCAPETF</v>
    <v>1605</v>
  </rv>
  <rv s="1">
    <v>1</v>
    <v>MIDCAPETF</v>
    <v>Daily</v>
    <v>44889</v>
    <v>44889</v>
    <v>0</v>
    <v>1</v>
    <v>638048448000000000,639087303764434966,0</v>
    <v>0</v>
    <v>c5it27</v>
    <v>XNSE:MIDCAPETF</v>
    <v>1606</v>
  </rv>
  <rv s="1">
    <v>1</v>
    <v>MIDCAPETF</v>
    <v>Daily</v>
    <v>44861</v>
    <v>44861</v>
    <v>0</v>
    <v>1</v>
    <v>638024256000000000,639087303765695242,0</v>
    <v>0</v>
    <v>c5it27</v>
    <v>XNSE:MIDCAPETF</v>
    <v>1607</v>
  </rv>
  <rv s="1">
    <v>1</v>
    <v>MIDCAPETF</v>
    <v>Daily</v>
    <v>45321</v>
    <v>45321</v>
    <v>0</v>
    <v>1</v>
    <v>638421696000000000,639087303761484044,0</v>
    <v>0</v>
    <v>c5it27</v>
    <v>XNSE:MIDCAPETF</v>
    <v>1608</v>
  </rv>
  <rv s="1">
    <v>1</v>
    <v>MIDCAPETF</v>
    <v>Daily</v>
    <v>44679</v>
    <v>44679</v>
    <v>0</v>
    <v>1</v>
    <v>637867008000000000,639087303761494046,0</v>
    <v>0</v>
    <v>c5it27</v>
    <v>XNSE:MIDCAPETF</v>
    <v>1609</v>
  </rv>
  <rv s="1">
    <v>1</v>
    <v>MIDCAPETF</v>
    <v>Daily</v>
    <v>45756</v>
    <v>45756</v>
    <v>0</v>
    <v>1</v>
    <v>638797536000000000,639087303761514050,0</v>
    <v>0</v>
    <v>c5it27</v>
    <v>XNSE:MIDCAPETF</v>
    <v>1610</v>
  </rv>
  <rv s="1">
    <v>1</v>
    <v>MIDCAPETF</v>
    <v>Daily</v>
    <v>45302</v>
    <v>45302</v>
    <v>0</v>
    <v>1</v>
    <v>638405280000000000,639087303761574063,0</v>
    <v>0</v>
    <v>c5it27</v>
    <v>XNSE:MIDCAPETF</v>
    <v>1490</v>
  </rv>
  <rv s="1">
    <v>1</v>
    <v>MIDCAPETF</v>
    <v>Daily</v>
    <v>44672</v>
    <v>44672</v>
    <v>0</v>
    <v>1</v>
    <v>637860960000000000,639087303762614568,0</v>
    <v>0</v>
    <v>c5it27</v>
    <v>XNSE:MIDCAPETF</v>
    <v>1611</v>
  </rv>
  <rv s="1">
    <v>1</v>
    <v>MIDCAPETF</v>
    <v>Daily</v>
    <v>45435</v>
    <v>45435</v>
    <v>0</v>
    <v>1</v>
    <v>638520192000000000,639087303765154017,0</v>
    <v>0</v>
    <v>c5it27</v>
    <v>XNSE:MIDCAPETF</v>
    <v>1612</v>
  </rv>
  <rv s="1">
    <v>1</v>
    <v>MIDCAPETF</v>
    <v>Daily</v>
    <v>44749</v>
    <v>44749</v>
    <v>0</v>
    <v>1</v>
    <v>637927488000000000,639087303766554312,0</v>
    <v>0</v>
    <v>c5it27</v>
    <v>XNSE:MIDCAPETF</v>
    <v>1613</v>
  </rv>
  <rv s="1">
    <v>1</v>
    <v>MIDCAPETF</v>
    <v>Daily</v>
    <v>45427</v>
    <v>45427</v>
    <v>0</v>
    <v>1</v>
    <v>638513280000000000,639087303767014412,0</v>
    <v>0</v>
    <v>c5it27</v>
    <v>XNSE:MIDCAPETF</v>
    <v>1614</v>
  </rv>
  <rv s="1">
    <v>1</v>
    <v>MIDCAPETF</v>
    <v>Daily</v>
    <v>45504</v>
    <v>45504</v>
    <v>0</v>
    <v>1</v>
    <v>638579808000000000,639087303765286114,0</v>
    <v>0</v>
    <v>c5it27</v>
    <v>XNSE:MIDCAPETF</v>
    <v>1593</v>
  </rv>
  <rv s="1">
    <v>1</v>
    <v>MIDCAPETF</v>
    <v>Daily</v>
    <v>45547</v>
    <v>45547</v>
    <v>0</v>
    <v>1</v>
    <v>638616960000000000,639087303766460502,0</v>
    <v>0</v>
    <v>c5it27</v>
    <v>XNSE:MIDCAPETF</v>
    <v>1615</v>
  </rv>
  <rv s="1">
    <v>1</v>
    <v>MIDCAPETF</v>
    <v>Daily</v>
    <v>45385</v>
    <v>45385</v>
    <v>0</v>
    <v>1</v>
    <v>638476992000000000,639087303770175892,0</v>
    <v>0</v>
    <v>c5it27</v>
    <v>XNSE:MIDCAPETF</v>
    <v>1616</v>
  </rv>
  <rv s="1">
    <v>1</v>
    <v>MIDCAPETF</v>
    <v>Daily</v>
    <v>45251</v>
    <v>45251</v>
    <v>0</v>
    <v>1</v>
    <v>638361216000000000,639087303769125672,0</v>
    <v>0</v>
    <v>c5it27</v>
    <v>XNSE:MIDCAPETF</v>
    <v>1617</v>
  </rv>
  <rv s="1">
    <v>1</v>
    <v>MIDCAPETF</v>
    <v>Daily</v>
    <v>45539</v>
    <v>45539</v>
    <v>0</v>
    <v>1</v>
    <v>638610048000000000,639087303769205690,0</v>
    <v>0</v>
    <v>c5it27</v>
    <v>XNSE:MIDCAPETF</v>
    <v>1618</v>
  </rv>
  <rv s="1">
    <v>1</v>
    <v>MIDCAPETF</v>
    <v>Daily</v>
    <v>45300</v>
    <v>45300</v>
    <v>0</v>
    <v>1</v>
    <v>638403552000000000,639087303769926168,0</v>
    <v>0</v>
    <v>c5it27</v>
    <v>XNSE:MIDCAPETF</v>
    <v>1619</v>
  </rv>
  <rv s="1">
    <v>1</v>
    <v>MIDCAPETF</v>
    <v>Daily</v>
    <v>45609</v>
    <v>45609</v>
    <v>0</v>
    <v>1</v>
    <v>638670528000000000,639087303771176438,0</v>
    <v>0</v>
    <v>c5it27</v>
    <v>XNSE:MIDCAPETF</v>
    <v>1620</v>
  </rv>
  <rv s="1">
    <v>1</v>
    <v>MIDCAPETF</v>
    <v>Daily</v>
    <v>45357</v>
    <v>45357</v>
    <v>0</v>
    <v>1</v>
    <v>638452800000000000,639087303772836805,0</v>
    <v>0</v>
    <v>c5it27</v>
    <v>XNSE:MIDCAPETF</v>
    <v>1539</v>
  </rv>
  <rv s="1">
    <v>1</v>
    <v>MIDCAPETF</v>
    <v>Daily</v>
    <v>45287</v>
    <v>45287</v>
    <v>0</v>
    <v>1</v>
    <v>638392320000000000,639087303773665988,0</v>
    <v>0</v>
    <v>c5it27</v>
    <v>XNSE:MIDCAPETF</v>
    <v>1621</v>
  </rv>
  <rv s="1">
    <v>1</v>
    <v>MIDCAPETF</v>
    <v>Daily</v>
    <v>45694</v>
    <v>45694</v>
    <v>0</v>
    <v>1</v>
    <v>638743968000000000,639087303771076478,0</v>
    <v>0</v>
    <v>c5it27</v>
    <v>XNSE:MIDCAPETF</v>
    <v>1622</v>
  </rv>
  <rv s="1">
    <v>1</v>
    <v>MIDCAPETF</v>
    <v>Daily</v>
    <v>45034</v>
    <v>45034</v>
    <v>0</v>
    <v>1</v>
    <v>638173728000000000,639087303771780133,0</v>
    <v>0</v>
    <v>c5it27</v>
    <v>XNSE:MIDCAPETF</v>
    <v>1623</v>
  </rv>
  <rv s="1">
    <v>1</v>
    <v>MIDCAPETF</v>
    <v>Daily</v>
    <v>45104</v>
    <v>45104</v>
    <v>0</v>
    <v>1</v>
    <v>638234208000000000,639087303773187219,0</v>
    <v>0</v>
    <v>c5it27</v>
    <v>XNSE:MIDCAPETF</v>
    <v>1624</v>
  </rv>
  <rv s="1">
    <v>1</v>
    <v>MIDCAPETF</v>
    <v>Daily</v>
    <v>44693</v>
    <v>44693</v>
    <v>0</v>
    <v>1</v>
    <v>637879104000000000,639087303774226117,0</v>
    <v>0</v>
    <v>c5it27</v>
    <v>XNSE:MIDCAPETF</v>
    <v>1625</v>
  </rv>
  <rv s="1">
    <v>1</v>
    <v>MIDCAPETF</v>
    <v>Daily</v>
    <v>44798</v>
    <v>44798</v>
    <v>0</v>
    <v>1</v>
    <v>637969824000000000,639087303772530298,0</v>
    <v>0</v>
    <v>c5it27</v>
    <v>XNSE:MIDCAPETF</v>
    <v>1626</v>
  </rv>
  <rv s="1">
    <v>1</v>
    <v>MIDCAPETF</v>
    <v>Daily</v>
    <v>45307</v>
    <v>45307</v>
    <v>0</v>
    <v>1</v>
    <v>638409600000000000,639087303772614574,0</v>
    <v>0</v>
    <v>c5it27</v>
    <v>XNSE:MIDCAPETF</v>
    <v>1627</v>
  </rv>
  <rv s="1">
    <v>1</v>
    <v>MIDCAPETF</v>
    <v>Daily</v>
    <v>44686</v>
    <v>44686</v>
    <v>0</v>
    <v>1</v>
    <v>637873056000000000,639087303774746236,0</v>
    <v>0</v>
    <v>c5it27</v>
    <v>XNSE:MIDCAPETF</v>
    <v>1628</v>
  </rv>
  <rv s="1">
    <v>1</v>
    <v>MIDCAPETF</v>
    <v>Daily</v>
    <v>44994</v>
    <v>44994</v>
    <v>0</v>
    <v>1</v>
    <v>638139168000000000,639087303775676438,0</v>
    <v>0</v>
    <v>c5it27</v>
    <v>XNSE:MIDCAPETF</v>
    <v>1626</v>
  </rv>
  <rv s="1">
    <v>1</v>
    <v>MIDCAPETF</v>
    <v>Daily</v>
    <v>45449</v>
    <v>45449</v>
    <v>0</v>
    <v>1</v>
    <v>638532288000000000,639087303773415186,0</v>
    <v>0</v>
    <v>c5it27</v>
    <v>XNSE:MIDCAPETF</v>
    <v>1583</v>
  </rv>
  <rv s="1">
    <v>1</v>
    <v>MIDCAPETF</v>
    <v>Daily</v>
    <v>45575</v>
    <v>45575</v>
    <v>0</v>
    <v>1</v>
    <v>638641152000000000,639087303774016068,0</v>
    <v>0</v>
    <v>c5it27</v>
    <v>XNSE:MIDCAPETF</v>
    <v>1629</v>
  </rv>
  <rv s="1">
    <v>1</v>
    <v>MIDCAPETF</v>
    <v>Daily</v>
    <v>45630</v>
    <v>45630</v>
    <v>0</v>
    <v>1</v>
    <v>638688672000000000,639087303775866490,0</v>
    <v>0</v>
    <v>c5it27</v>
    <v>XNSE:MIDCAPETF</v>
    <v>1630</v>
  </rv>
  <rv s="1">
    <v>1</v>
    <v>MIDCAPETF</v>
    <v>Daily</v>
    <v>45400</v>
    <v>45400</v>
    <v>0</v>
    <v>1</v>
    <v>638489952000000000,639087303777706909,0</v>
    <v>0</v>
    <v>c5it27</v>
    <v>XNSE:MIDCAPETF</v>
    <v>1631</v>
  </rv>
  <rv s="1">
    <v>1</v>
    <v>MIDCAPETF</v>
    <v>Daily</v>
    <v>45309</v>
    <v>45309</v>
    <v>0</v>
    <v>1</v>
    <v>638411328000000000,639087303778167015,0</v>
    <v>0</v>
    <v>c5it27</v>
    <v>XNSE:MIDCAPETF</v>
    <v>1632</v>
  </rv>
  <rv s="1">
    <v>1</v>
    <v>MIDCAPETF</v>
    <v>Daily</v>
    <v>44777</v>
    <v>44777</v>
    <v>0</v>
    <v>1</v>
    <v>637951680000000000,639087303774428512,0</v>
    <v>0</v>
    <v>c5it27</v>
    <v>XNSE:MIDCAPETF</v>
    <v>1633</v>
  </rv>
  <rv s="1">
    <v>1</v>
    <v>MIDCAPETF</v>
    <v>Daily</v>
    <v>45426</v>
    <v>45426</v>
    <v>0</v>
    <v>1</v>
    <v>638512416000000000,639087303774886519,0</v>
    <v>0</v>
    <v>c5it27</v>
    <v>XNSE:MIDCAPETF</v>
    <v>1634</v>
  </rv>
  <rv s="1">
    <v>1</v>
    <v>MIDCAPETF</v>
    <v>Daily</v>
    <v>45729</v>
    <v>45729</v>
    <v>0</v>
    <v>1</v>
    <v>638774208000000000,639087303775115518,0</v>
    <v>0</v>
    <v>c5it27</v>
    <v>XNSE:MIDCAPETF</v>
    <v>1635</v>
  </rv>
  <rv s="1">
    <v>1</v>
    <v>MIDCAPETF</v>
    <v>Daily</v>
    <v>45314</v>
    <v>45314</v>
    <v>0</v>
    <v>1</v>
    <v>638415648000000000,639087303776477596,0</v>
    <v>0</v>
    <v>c5it27</v>
    <v>XNSE:MIDCAPETF</v>
    <v>1636</v>
  </rv>
  <rv s="1">
    <v>1</v>
    <v>MIDCAPETF</v>
    <v>Daily</v>
    <v>45076</v>
    <v>45076</v>
    <v>0</v>
    <v>1</v>
    <v>638210016000000000,639087303777807889,0</v>
    <v>0</v>
    <v>c5it27</v>
    <v>XNSE:MIDCAPETF</v>
    <v>1637</v>
  </rv>
  <rv s="1">
    <v>1</v>
    <v>MIDCAPETF</v>
    <v>Daily</v>
    <v>45246</v>
    <v>45246</v>
    <v>0</v>
    <v>1</v>
    <v>638356896000000000,639087303778736893,0</v>
    <v>0</v>
    <v>c5it27</v>
    <v>XNSE:MIDCAPETF</v>
    <v>1638</v>
  </rv>
  <rv s="1">
    <v>1</v>
    <v>MIDCAPETF</v>
    <v>Daily</v>
    <v>45391</v>
    <v>45391</v>
    <v>0</v>
    <v>1</v>
    <v>638482176000000000,639087303780227499,0</v>
    <v>0</v>
    <v>c5it27</v>
    <v>XNSE:MIDCAPETF</v>
    <v>1639</v>
  </rv>
  <rv s="1">
    <v>1</v>
    <v>MIDCAPETF</v>
    <v>Daily</v>
    <v>45133</v>
    <v>45133</v>
    <v>0</v>
    <v>1</v>
    <v>638259264000000000,639087303781401136,0</v>
    <v>0</v>
    <v>c5it27</v>
    <v>XNSE:MIDCAPETF</v>
    <v>1640</v>
  </rv>
  <rv s="1">
    <v>1</v>
    <v>MIDCAPETF</v>
    <v>Daily</v>
    <v>45092</v>
    <v>45092</v>
    <v>0</v>
    <v>1</v>
    <v>638223840000000000,639087303783047831,0</v>
    <v>0</v>
    <v>c5it27</v>
    <v>XNSE:MIDCAPETF</v>
    <v>1641</v>
  </rv>
  <rv s="1">
    <v>1</v>
    <v>MIDCAPETF</v>
    <v>Daily</v>
    <v>45512</v>
    <v>45512</v>
    <v>0</v>
    <v>1</v>
    <v>638586720000000000,639087303779997448,0</v>
    <v>0</v>
    <v>c5it27</v>
    <v>XNSE:MIDCAPETF</v>
    <v>1642</v>
  </rv>
  <rv s="1">
    <v>1</v>
    <v>MIDCAPETF</v>
    <v>Daily</v>
    <v>45631</v>
    <v>45631</v>
    <v>0</v>
    <v>1</v>
    <v>638689536000000000,639087303783238217,0</v>
    <v>0</v>
    <v>c5it27</v>
    <v>XNSE:MIDCAPETF</v>
    <v>1576</v>
  </rv>
  <rv s="1">
    <v>1</v>
    <v>MIDCAPETF</v>
    <v>Daily</v>
    <v>45693</v>
    <v>45693</v>
    <v>0</v>
    <v>1</v>
    <v>638743104000000000,639087303779325125,0</v>
    <v>0</v>
    <v>c5it27</v>
    <v>XNSE:MIDCAPETF</v>
    <v>1643</v>
  </rv>
  <rv s="1">
    <v>1</v>
    <v>MIDCAPETF</v>
    <v>Daily</v>
    <v>45209</v>
    <v>45209</v>
    <v>0</v>
    <v>1</v>
    <v>638324928000000000,639087303780858226,0</v>
    <v>0</v>
    <v>c5it27</v>
    <v>XNSE:MIDCAPETF</v>
    <v>1644</v>
  </rv>
  <rv s="1">
    <v>1</v>
    <v>MIDCAPETF</v>
    <v>Daily</v>
    <v>45505</v>
    <v>45505</v>
    <v>0</v>
    <v>1</v>
    <v>638580672000000000,639087303781400173,0</v>
    <v>0</v>
    <v>c5it27</v>
    <v>XNSE:MIDCAPETF</v>
    <v>1645</v>
  </rv>
  <rv s="1">
    <v>1</v>
    <v>MIDCAPETF</v>
    <v>Daily</v>
    <v>45384</v>
    <v>45384</v>
    <v>0</v>
    <v>1</v>
    <v>638476128000000000,639087303781526100,0</v>
    <v>0</v>
    <v>c5it27</v>
    <v>XNSE:MIDCAPETF</v>
    <v>1646</v>
  </rv>
  <rv s="1">
    <v>1</v>
    <v>MIDCAPETF</v>
    <v>Daily</v>
    <v>45603</v>
    <v>45603</v>
    <v>0</v>
    <v>1</v>
    <v>638665344000000000,639087303781618396,0</v>
    <v>0</v>
    <v>c5it27</v>
    <v>XNSE:MIDCAPETF</v>
    <v>1647</v>
  </rv>
  <rv s="1">
    <v>1</v>
    <v>MIDCAPETF</v>
    <v>Daily</v>
    <v>44714</v>
    <v>44714</v>
    <v>0</v>
    <v>1</v>
    <v>637897248000000000,639087303784338980,0</v>
    <v>0</v>
    <v>c5it27</v>
    <v>XNSE:MIDCAPETF</v>
    <v>1648</v>
  </rv>
  <rv s="1">
    <v>1</v>
    <v>MIDCAPETF</v>
    <v>Daily</v>
    <v>45554</v>
    <v>45554</v>
    <v>0</v>
    <v>1</v>
    <v>638623008000000000,639087303784479009,0</v>
    <v>0</v>
    <v>c5it27</v>
    <v>XNSE:MIDCAPETF</v>
    <v>1649</v>
  </rv>
  <rv s="1">
    <v>1</v>
    <v>MIDCAPETF</v>
    <v>Daily</v>
    <v>45085</v>
    <v>45085</v>
    <v>0</v>
    <v>1</v>
    <v>638217792000000000,639087303784859087,0</v>
    <v>0</v>
    <v>c5it27</v>
    <v>XNSE:MIDCAPETF</v>
    <v>1650</v>
  </rv>
  <rv s="1">
    <v>1</v>
    <v>MIDCAPETF</v>
    <v>Daily</v>
    <v>45414</v>
    <v>45414</v>
    <v>0</v>
    <v>1</v>
    <v>638502048000000000,639087303787209142,0</v>
    <v>0</v>
    <v>c5it27</v>
    <v>XNSE:MIDCAPETF</v>
    <v>1503</v>
  </rv>
  <rv s="1">
    <v>1</v>
    <v>MIDCAPETF</v>
    <v>Daily</v>
    <v>45069</v>
    <v>45069</v>
    <v>0</v>
    <v>1</v>
    <v>638203968000000000,639087303786134550,0</v>
    <v>0</v>
    <v>c5it27</v>
    <v>XNSE:MIDCAPETF</v>
    <v>1651</v>
  </rv>
  <rv s="1">
    <v>1</v>
    <v>MIDCAPETF</v>
    <v>Daily</v>
    <v>44847</v>
    <v>44847</v>
    <v>0</v>
    <v>1</v>
    <v>638012160000000000,639087303786453152,0</v>
    <v>0</v>
    <v>c5it27</v>
    <v>XNSE:MIDCAPETF</v>
    <v>1573</v>
  </rv>
  <rv s="1">
    <v>1</v>
    <v>MIDCAPETF</v>
    <v>Daily</v>
    <v>45405</v>
    <v>45405</v>
    <v>0</v>
    <v>1</v>
    <v>638494272000000000,639087303786622410,0</v>
    <v>0</v>
    <v>c5it27</v>
    <v>XNSE:MIDCAPETF</v>
    <v>1652</v>
  </rv>
  <rv s="1">
    <v>1</v>
    <v>MIDCAPETF</v>
    <v>Daily</v>
    <v>45686</v>
    <v>45686</v>
    <v>0</v>
    <v>1</v>
    <v>638737056000000000,639087303786328573,0</v>
    <v>0</v>
    <v>c5it27</v>
    <v>XNSE:MIDCAPETF</v>
    <v>1653</v>
  </rv>
  <rv s="1">
    <v>1</v>
    <v>MIDCAPETF</v>
    <v>Daily</v>
    <v>45265</v>
    <v>45265</v>
    <v>0</v>
    <v>1</v>
    <v>638373312000000000,639087303786268570,0</v>
    <v>0</v>
    <v>c5it27</v>
    <v>XNSE:MIDCAPETF</v>
    <v>1654</v>
  </rv>
  <rv s="1">
    <v>1</v>
    <v>MIDCAPETF</v>
    <v>Daily</v>
    <v>45288</v>
    <v>45288</v>
    <v>0</v>
    <v>1</v>
    <v>638393184000000000,639087303787700048,0</v>
    <v>0</v>
    <v>c5it27</v>
    <v>XNSE:MIDCAPETF</v>
    <v>1655</v>
  </rv>
  <rv s="1">
    <v>1</v>
    <v>MIDCAPETF</v>
    <v>Daily</v>
    <v>45608</v>
    <v>45608</v>
    <v>0</v>
    <v>1</v>
    <v>638669664000000000,639087303786980396,0</v>
    <v>0</v>
    <v>c5it27</v>
    <v>XNSE:MIDCAPETF</v>
    <v>1656</v>
  </rv>
  <rv s="1">
    <v>1</v>
    <v>MIDCAPETF</v>
    <v>Daily</v>
    <v>45048</v>
    <v>45048</v>
    <v>0</v>
    <v>1</v>
    <v>638185824000000000,639087303787441497,0</v>
    <v>0</v>
    <v>c5it27</v>
    <v>XNSE:MIDCAPETF</v>
    <v>1657</v>
  </rv>
  <rv s="1">
    <v>1</v>
    <v>MIDCAPETF</v>
    <v>Daily</v>
    <v>45421</v>
    <v>45421</v>
    <v>0</v>
    <v>1</v>
    <v>638508096000000000,639087303786909073,0</v>
    <v>0</v>
    <v>c5it27</v>
    <v>XNSE:MIDCAPETF</v>
    <v>1658</v>
  </rv>
  <rv s="1">
    <v>1</v>
    <v>MIDCAPETF</v>
    <v>Daily</v>
    <v>45475</v>
    <v>45475</v>
    <v>0</v>
    <v>1</v>
    <v>638554752000000000,639087303788589468,0</v>
    <v>0</v>
    <v>c5it27</v>
    <v>XNSE:MIDCAPETF</v>
    <v>1659</v>
  </rv>
  <rv s="1">
    <v>1</v>
    <v>MIDCAPETF</v>
    <v>Daily</v>
    <v>45119</v>
    <v>45119</v>
    <v>0</v>
    <v>1</v>
    <v>638247168000000000,639087303788340188,0</v>
    <v>0</v>
    <v>c5it27</v>
    <v>XNSE:MIDCAPETF</v>
    <v>1660</v>
  </rv>
  <rv s="1">
    <v>1</v>
    <v>MIDCAPETF</v>
    <v>Daily</v>
    <v>44833</v>
    <v>44833</v>
    <v>0</v>
    <v>1</v>
    <v>638000064000000000,639087303790430644,0</v>
    <v>0</v>
    <v>c5it27</v>
    <v>XNSE:MIDCAPETF</v>
    <v>1661</v>
  </rv>
  <rv s="1">
    <v>1</v>
    <v>MIDCAPETF</v>
    <v>Daily</v>
    <v>45637</v>
    <v>45637</v>
    <v>0</v>
    <v>1</v>
    <v>638694720000000000,639087303791690925,0</v>
    <v>0</v>
    <v>c5it27</v>
    <v>XNSE:MIDCAPETF</v>
    <v>1662</v>
  </rv>
  <rv s="1">
    <v>1</v>
    <v>MIDCAPETF</v>
    <v>Daily</v>
    <v>45624</v>
    <v>45624</v>
    <v>0</v>
    <v>1</v>
    <v>638683488000000000,639087303788892445,0</v>
    <v>0</v>
    <v>c5it27</v>
    <v>XNSE:MIDCAPETF</v>
    <v>1663</v>
  </rv>
  <rv s="1">
    <v>1</v>
    <v>MIDCAPETF</v>
    <v>Daily</v>
    <v>45511</v>
    <v>45511</v>
    <v>0</v>
    <v>1</v>
    <v>638585856000000000,639087303788912365,0</v>
    <v>0</v>
    <v>c5it27</v>
    <v>XNSE:MIDCAPETF</v>
    <v>1664</v>
  </rv>
  <rv s="1">
    <v>1</v>
    <v>MIDCAPETF</v>
    <v>Daily</v>
    <v>44959</v>
    <v>44959</v>
    <v>0</v>
    <v>1</v>
    <v>638108928000000000,639087303788942218,0</v>
    <v>0</v>
    <v>c5it27</v>
    <v>XNSE:MIDCAPETF</v>
    <v>1665</v>
  </rv>
  <rv s="1">
    <v>1</v>
    <v>MIDCAPETF</v>
    <v>Daily</v>
    <v>44875</v>
    <v>44875</v>
    <v>0</v>
    <v>1</v>
    <v>638036352000000000,639087303790475483,0</v>
    <v>0</v>
    <v>c5it27</v>
    <v>XNSE:MIDCAPETF</v>
    <v>1666</v>
  </rv>
  <rv s="1">
    <v>1</v>
    <v>MIDCAPETF</v>
    <v>Daily</v>
    <v>44707</v>
    <v>44707</v>
    <v>0</v>
    <v>1</v>
    <v>637891200000000000,639087303789789204,0</v>
    <v>0</v>
    <v>c5it27</v>
    <v>XNSE:MIDCAPETF</v>
    <v>1667</v>
  </rv>
  <rv s="1">
    <v>1</v>
    <v>MIDCAPETF</v>
    <v>Daily</v>
    <v>45146</v>
    <v>45146</v>
    <v>0</v>
    <v>1</v>
    <v>638270496000000000,639087303789809119,0</v>
    <v>0</v>
    <v>c5it27</v>
    <v>XNSE:MIDCAPETF</v>
    <v>1668</v>
  </rv>
  <rv s="1">
    <v>1</v>
    <v>MIDCAPETF</v>
    <v>Daily</v>
    <v>45582</v>
    <v>45582</v>
    <v>0</v>
    <v>1</v>
    <v>638647200000000000,639087303789854230,0</v>
    <v>0</v>
    <v>c5it27</v>
    <v>XNSE:MIDCAPETF</v>
    <v>1669</v>
  </rv>
  <rv s="1">
    <v>1</v>
    <v>MIDCAPETF</v>
    <v>Daily</v>
    <v>45692</v>
    <v>45692</v>
    <v>0</v>
    <v>1</v>
    <v>638742240000000000,639087303789888768,0</v>
    <v>0</v>
    <v>c5it27</v>
    <v>XNSE:MIDCAPETF</v>
    <v>1670</v>
  </rv>
  <rv s="1">
    <v>1</v>
    <v>MIDCAPETF</v>
    <v>Daily</v>
    <v>45224</v>
    <v>45224</v>
    <v>0</v>
    <v>1</v>
    <v>638337888000000000,639087303789908689,0</v>
    <v>0</v>
    <v>c5it27</v>
    <v>XNSE:MIDCAPETF</v>
    <v>1671</v>
  </rv>
  <rv s="1">
    <v>1</v>
    <v>MIDCAPETF</v>
    <v>Daily</v>
    <v>45673</v>
    <v>45673</v>
    <v>0</v>
    <v>1</v>
    <v>638725824000000000,639087303791466011,0</v>
    <v>0</v>
    <v>c5it27</v>
    <v>XNSE:MIDCAPETF</v>
    <v>1672</v>
  </rv>
  <rv s="1">
    <v>1</v>
    <v>MIDCAPETF</v>
    <v>Daily</v>
    <v>45622</v>
    <v>45622</v>
    <v>0</v>
    <v>1</v>
    <v>638681760000000000,639087303791481777,0</v>
    <v>0</v>
    <v>c5it27</v>
    <v>XNSE:MIDCAPETF</v>
    <v>1673</v>
  </rv>
  <rv s="1">
    <v>1</v>
    <v>MIDCAPETF</v>
    <v>Daily</v>
    <v>45538</v>
    <v>45538</v>
    <v>0</v>
    <v>1</v>
    <v>638609184000000000,639087303791521608,0</v>
    <v>0</v>
    <v>c5it27</v>
    <v>XNSE:MIDCAPETF</v>
    <v>1618</v>
  </rv>
  <rv s="1">
    <v>1</v>
    <v>MIDCAPETF</v>
    <v>Daily</v>
    <v>44700</v>
    <v>44700</v>
    <v>0</v>
    <v>1</v>
    <v>637885152000000000,639087303794950951,0</v>
    <v>0</v>
    <v>c5it27</v>
    <v>XNSE:MIDCAPETF</v>
    <v>1674</v>
  </rv>
  <rv s="1">
    <v>1</v>
    <v>MIDCAPETF</v>
    <v>Daily</v>
    <v>44987</v>
    <v>44987</v>
    <v>0</v>
    <v>1</v>
    <v>638133120000000000,639087303798811849,0</v>
    <v>0</v>
    <v>c5it27</v>
    <v>XNSE:MIDCAPETF</v>
    <v>1675</v>
  </rv>
  <rv s="1">
    <v>1</v>
    <v>MIDCAPETF</v>
    <v>Daily</v>
    <v>44896</v>
    <v>44896</v>
    <v>0</v>
    <v>1</v>
    <v>638054496000000000,639087303796891405,0</v>
    <v>0</v>
    <v>c5it27</v>
    <v>XNSE:MIDCAPETF</v>
    <v>1676</v>
  </rv>
  <rv s="1">
    <v>1</v>
    <v>MIDCAPETF</v>
    <v>Daily</v>
    <v>45190</v>
    <v>45190</v>
    <v>0</v>
    <v>1</v>
    <v>638308512000000000,639087303798801852,0</v>
    <v>0</v>
    <v>c5it27</v>
    <v>XNSE:MIDCAPETF</v>
    <v>1677</v>
  </rv>
  <rv s="1">
    <v>1</v>
    <v>MIDCAPETF</v>
    <v>Daily</v>
    <v>45273</v>
    <v>45273</v>
    <v>0</v>
    <v>1</v>
    <v>638380224000000000,639087303799281966,0</v>
    <v>0</v>
    <v>c5it27</v>
    <v>XNSE:MIDCAPETF</v>
    <v>1678</v>
  </rv>
  <rv s="1">
    <v>1</v>
    <v>MIDCAPETF</v>
    <v>Daily</v>
    <v>45245</v>
    <v>45245</v>
    <v>0</v>
    <v>1</v>
    <v>638356032000000000,639087303794100967,0</v>
    <v>0</v>
    <v>c5it27</v>
    <v>XNSE:MIDCAPETF</v>
    <v>1679</v>
  </rv>
  <rv s="1">
    <v>1</v>
    <v>MIDCAPETF</v>
    <v>Daily</v>
    <v>45706</v>
    <v>45706</v>
    <v>0</v>
    <v>1</v>
    <v>638754336000000000,639087303794917372,0</v>
    <v>0</v>
    <v>c5it27</v>
    <v>XNSE:MIDCAPETF</v>
    <v>1680</v>
  </rv>
  <rv s="1">
    <v>1</v>
    <v>MIDCAPETF</v>
    <v>Daily</v>
    <v>45301</v>
    <v>45301</v>
    <v>0</v>
    <v>1</v>
    <v>638404416000000000,639087303796940779,0</v>
    <v>0</v>
    <v>c5it27</v>
    <v>XNSE:MIDCAPETF</v>
    <v>1681</v>
  </rv>
  <rv s="1">
    <v>1</v>
    <v>MIDCAPETF</v>
    <v>Daily</v>
    <v>45566</v>
    <v>45566</v>
    <v>0</v>
    <v>1</v>
    <v>638633376000000000,639087303796175362,0</v>
    <v>0</v>
    <v>c5it27</v>
    <v>XNSE:MIDCAPETF</v>
    <v>1682</v>
  </rv>
  <rv s="1">
    <v>1</v>
    <v>MIDCAPETF</v>
    <v>Daily</v>
    <v>45406</v>
    <v>45406</v>
    <v>0</v>
    <v>1</v>
    <v>638495136000000000,639087303796216293,0</v>
    <v>0</v>
    <v>c5it27</v>
    <v>XNSE:MIDCAPETF</v>
    <v>1683</v>
  </rv>
  <rv s="1">
    <v>1</v>
    <v>MIDCAPETF</v>
    <v>Daily</v>
    <v>45253</v>
    <v>45253</v>
    <v>0</v>
    <v>1</v>
    <v>638362944000000000,639087303796304780,0</v>
    <v>0</v>
    <v>c5it27</v>
    <v>XNSE:MIDCAPETF</v>
    <v>1684</v>
  </rv>
  <rv s="1">
    <v>1</v>
    <v>MIDCAPETF</v>
    <v>Daily</v>
    <v>45546</v>
    <v>45546</v>
    <v>0</v>
    <v>1</v>
    <v>638616096000000000,639087303800012132,0</v>
    <v>0</v>
    <v>c5it27</v>
    <v>XNSE:MIDCAPETF</v>
    <v>1685</v>
  </rv>
  <rv s="1">
    <v>1</v>
    <v>MIDCAPETF</v>
    <v>Daily</v>
    <v>45484</v>
    <v>45484</v>
    <v>0</v>
    <v>1</v>
    <v>638562528000000000,639087303796319827,0</v>
    <v>0</v>
    <v>c5it27</v>
    <v>XNSE:MIDCAPETF</v>
    <v>1686</v>
  </rv>
  <rv s="1">
    <v>1</v>
    <v>MIDCAPETF</v>
    <v>Daily</v>
    <v>45252</v>
    <v>45252</v>
    <v>0</v>
    <v>1</v>
    <v>638362080000000000,639087303796771667,0</v>
    <v>0</v>
    <v>c5it27</v>
    <v>XNSE:MIDCAPETF</v>
    <v>1687</v>
  </rv>
  <rv s="1">
    <v>1</v>
    <v>MIDCAPETF</v>
    <v>Daily</v>
    <v>45322</v>
    <v>45322</v>
    <v>0</v>
    <v>1</v>
    <v>638422560000000000,639087303797376600,0</v>
    <v>0</v>
    <v>c5it27</v>
    <v>XNSE:MIDCAPETF</v>
    <v>1688</v>
  </rv>
  <rv s="1">
    <v>1</v>
    <v>MIDCAPETF</v>
    <v>Daily</v>
    <v>45518</v>
    <v>45518</v>
    <v>0</v>
    <v>1</v>
    <v>638591904000000000,639087303835850142,0</v>
    <v>0</v>
    <v>c5it27</v>
    <v>XNSE:MIDCAPETF</v>
    <v>1479</v>
  </rv>
  <rv s="1">
    <v>1</v>
    <v>MIDCAPETF</v>
    <v>Daily</v>
    <v>45062</v>
    <v>45062</v>
    <v>0</v>
    <v>1</v>
    <v>638197920000000000,639087303835880149,0</v>
    <v>0</v>
    <v>c5it27</v>
    <v>XNSE:MIDCAPETF</v>
    <v>1689</v>
  </rv>
  <rv s="1">
    <v>1</v>
    <v>MIDCAPETF</v>
    <v>Daily</v>
    <v>45267</v>
    <v>45267</v>
    <v>0</v>
    <v>1</v>
    <v>638375040000000000,639087303800861622,0</v>
    <v>0</v>
    <v>c5it27</v>
    <v>XNSE:MIDCAPETF</v>
    <v>1690</v>
  </rv>
  <rv s="1">
    <v>1</v>
    <v>MIDCAPETF</v>
    <v>Daily</v>
    <v>45386</v>
    <v>45386</v>
    <v>0</v>
    <v>1</v>
    <v>638477856000000000,639087303803372924,0</v>
    <v>0</v>
    <v>c5it27</v>
    <v>XNSE:MIDCAPETF</v>
    <v>1652</v>
  </rv>
  <rv s="1">
    <v>1</v>
    <v>MIDCAPETF</v>
    <v>Daily</v>
    <v>45363</v>
    <v>45363</v>
    <v>0</v>
    <v>1</v>
    <v>638457984000000000,639087303802541962,0</v>
    <v>0</v>
    <v>c5it27</v>
    <v>XNSE:MIDCAPETF</v>
    <v>1691</v>
  </rv>
  <rv s="1">
    <v>1</v>
    <v>MIDCAPETF</v>
    <v>Daily</v>
    <v>45574</v>
    <v>45574</v>
    <v>0</v>
    <v>1</v>
    <v>638640288000000000,639087303803492208,0</v>
    <v>0</v>
    <v>c5it27</v>
    <v>XNSE:MIDCAPETF</v>
    <v>1662</v>
  </rv>
  <rv s="1">
    <v>1</v>
    <v>MIDCAPETF</v>
    <v>Daily</v>
    <v>45498</v>
    <v>45498</v>
    <v>0</v>
    <v>1</v>
    <v>638574624000000000,639087303802319286,0</v>
    <v>0</v>
    <v>c5it27</v>
    <v>XNSE:MIDCAPETF</v>
    <v>1502</v>
  </rv>
  <rv s="1">
    <v>1</v>
    <v>MIDCAPETF</v>
    <v>Daily</v>
    <v>45664</v>
    <v>45664</v>
    <v>0</v>
    <v>1</v>
    <v>638718048000000000,639087303803985781,0</v>
    <v>0</v>
    <v>c5it27</v>
    <v>XNSE:MIDCAPETF</v>
    <v>1551</v>
  </rv>
  <rv s="1">
    <v>1</v>
    <v>MIDCAPETF</v>
    <v>Daily</v>
    <v>45672</v>
    <v>45672</v>
    <v>0</v>
    <v>1</v>
    <v>638724960000000000,639087303802304993,0</v>
    <v>0</v>
    <v>c5it27</v>
    <v>XNSE:MIDCAPETF</v>
    <v>1643</v>
  </rv>
  <rv s="1">
    <v>1</v>
    <v>MIDCAPETF</v>
    <v>Daily</v>
    <v>45126</v>
    <v>45126</v>
    <v>0</v>
    <v>1</v>
    <v>638253216000000000,639087303803593897,0</v>
    <v>0</v>
    <v>c5it27</v>
    <v>XNSE:MIDCAPETF</v>
    <v>1692</v>
  </rv>
  <rv s="1">
    <v>1</v>
    <v>MIDCAPETF</v>
    <v>Daily</v>
    <v>45371</v>
    <v>45371</v>
    <v>0</v>
    <v>1</v>
    <v>638464896000000000,639087303803683502,0</v>
    <v>0</v>
    <v>c5it27</v>
    <v>XNSE:MIDCAPETF</v>
    <v>1693</v>
  </rv>
  <rv s="1">
    <v>1</v>
    <v>MIDCAPETF</v>
    <v>Daily</v>
    <v>45715</v>
    <v>45715</v>
    <v>0</v>
    <v>1</v>
    <v>638762112000000000,639087303804140463,0</v>
    <v>0</v>
    <v>c5it27</v>
    <v>XNSE:MIDCAPETF</v>
    <v>1694</v>
  </rv>
  <rv s="1">
    <v>1</v>
    <v>MIDCAPETF</v>
    <v>Daily</v>
    <v>45125</v>
    <v>45125</v>
    <v>0</v>
    <v>1</v>
    <v>638252352000000000,639087303804249985,0</v>
    <v>0</v>
    <v>c5it27</v>
    <v>XNSE:MIDCAPETF</v>
    <v>1695</v>
  </rv>
  <rv s="1">
    <v>1</v>
    <v>MIDCAPETF</v>
    <v>Daily</v>
    <v>45476</v>
    <v>45476</v>
    <v>0</v>
    <v>1</v>
    <v>638555616000000000,639087303805449722,0</v>
    <v>0</v>
    <v>c5it27</v>
    <v>XNSE:MIDCAPETF</v>
    <v>1696</v>
  </rv>
  <rv s="1">
    <v>1</v>
    <v>MIDCAPETF</v>
    <v>Daily</v>
    <v>45378</v>
    <v>45378</v>
    <v>0</v>
    <v>1</v>
    <v>638470944000000000,639087303807974065,0</v>
    <v>0</v>
    <v>c5it27</v>
    <v>XNSE:MIDCAPETF</v>
    <v>1697</v>
  </rv>
  <rv s="1">
    <v>1</v>
    <v>MIDCAPETF</v>
    <v>Daily</v>
    <v>44924</v>
    <v>44924</v>
    <v>0</v>
    <v>1</v>
    <v>638078688000000000,639087303809134267,0</v>
    <v>0</v>
    <v>c5it27</v>
    <v>XNSE:MIDCAPETF</v>
    <v>1606</v>
  </rv>
  <rv s="1">
    <v>1</v>
    <v>MIDCAPETF</v>
    <v>Daily</v>
    <v>45559</v>
    <v>45559</v>
    <v>0</v>
    <v>1</v>
    <v>638627328000000000,639087303809924448,0</v>
    <v>0</v>
    <v>c5it27</v>
    <v>XNSE:MIDCAPETF</v>
    <v>1698</v>
  </rv>
  <rv s="1">
    <v>1</v>
    <v>MIDCAPETF</v>
    <v>Daily</v>
    <v>45659</v>
    <v>45659</v>
    <v>0</v>
    <v>1</v>
    <v>638713728000000000,639087303808098107,0</v>
    <v>0</v>
    <v>c5it27</v>
    <v>XNSE:MIDCAPETF</v>
    <v>1699</v>
  </rv>
  <rv s="1">
    <v>1</v>
    <v>MIDCAPETF</v>
    <v>Daily</v>
    <v>45308</v>
    <v>45308</v>
    <v>0</v>
    <v>1</v>
    <v>638410464000000000,639087303808137935,0</v>
    <v>0</v>
    <v>c5it27</v>
    <v>XNSE:MIDCAPETF</v>
    <v>1700</v>
  </rv>
  <rv s="1">
    <v>1</v>
    <v>MIDCAPETF</v>
    <v>Daily</v>
    <v>45258</v>
    <v>45258</v>
    <v>0</v>
    <v>1</v>
    <v>638367264000000000,639087303808157896,0</v>
    <v>0</v>
    <v>c5it27</v>
    <v>XNSE:MIDCAPETF</v>
    <v>1701</v>
  </rv>
  <rv s="1">
    <v>1</v>
    <v>MIDCAPETF</v>
    <v>Daily</v>
    <v>45434</v>
    <v>45434</v>
    <v>0</v>
    <v>1</v>
    <v>638519328000000000,639087303809255837,0</v>
    <v>0</v>
    <v>c5it27</v>
    <v>XNSE:MIDCAPETF</v>
    <v>1702</v>
  </rv>
  <rv s="1">
    <v>1</v>
    <v>MIDCAPETF</v>
    <v>Daily</v>
    <v>45491</v>
    <v>45491</v>
    <v>0</v>
    <v>1</v>
    <v>638568576000000000,639087303809481679,0</v>
    <v>0</v>
    <v>c5it27</v>
    <v>XNSE:MIDCAPETF</v>
    <v>1703</v>
  </rv>
  <rv s="1">
    <v>1</v>
    <v>MIDCAPETF</v>
    <v>Daily</v>
    <v>45470</v>
    <v>45470</v>
    <v>0</v>
    <v>1</v>
    <v>638550432000000000,639087303808714230,0</v>
    <v>0</v>
    <v>c5it27</v>
    <v>XNSE:MIDCAPETF</v>
    <v>1704</v>
  </rv>
  <rv s="1">
    <v>1</v>
    <v>MIDCAPETF</v>
    <v>Daily</v>
    <v>45372</v>
    <v>45372</v>
    <v>0</v>
    <v>1</v>
    <v>638465760000000000,639087303809536801,0</v>
    <v>0</v>
    <v>c5it27</v>
    <v>XNSE:MIDCAPETF</v>
    <v>1681</v>
  </rv>
  <rv s="1">
    <v>1</v>
    <v>MIDCAPETF</v>
    <v>Daily</v>
    <v>45666</v>
    <v>45666</v>
    <v>0</v>
    <v>1</v>
    <v>638719776000000000,639087303813195195,0</v>
    <v>0</v>
    <v>c5it27</v>
    <v>XNSE:MIDCAPETF</v>
    <v>1705</v>
  </rv>
  <rv s="1">
    <v>1</v>
    <v>MIDCAPETF</v>
    <v>Daily</v>
    <v>45195</v>
    <v>45195</v>
    <v>0</v>
    <v>1</v>
    <v>638312832000000000,639087303812735089,0</v>
    <v>0</v>
    <v>c5it27</v>
    <v>XNSE:MIDCAPETF</v>
    <v>1598</v>
  </rv>
  <rv s="1">
    <v>1</v>
    <v>MIDCAPETF</v>
    <v>Daily</v>
    <v>45573</v>
    <v>45573</v>
    <v>0</v>
    <v>1</v>
    <v>638639424000000000,639087303813515265,0</v>
    <v>0</v>
    <v>c5it27</v>
    <v>XNSE:MIDCAPETF</v>
    <v>1706</v>
  </rv>
  <rv s="1">
    <v>1</v>
    <v>MIDCAPETF</v>
    <v>Daily</v>
    <v>44931</v>
    <v>44931</v>
    <v>0</v>
    <v>1</v>
    <v>638084736000000000,639087303811734851,0</v>
    <v>0</v>
    <v>c5it27</v>
    <v>XNSE:MIDCAPETF</v>
    <v>1707</v>
  </rv>
  <rv s="1">
    <v>1</v>
    <v>MIDCAPETF</v>
    <v>Daily</v>
    <v>45216</v>
    <v>45216</v>
    <v>0</v>
    <v>1</v>
    <v>638330976000000000,639087303813195195,0</v>
    <v>0</v>
    <v>c5it27</v>
    <v>XNSE:MIDCAPETF</v>
    <v>1708</v>
  </rv>
  <rv s="1">
    <v>1</v>
    <v>MIDCAPETF</v>
    <v>Daily</v>
    <v>45448</v>
    <v>45448</v>
    <v>0</v>
    <v>1</v>
    <v>638531424000000000,639087303815715768,0</v>
    <v>0</v>
    <v>c5it27</v>
    <v>XNSE:MIDCAPETF</v>
    <v>1709</v>
  </rv>
  <rv s="1">
    <v>1</v>
    <v>MIDCAPETF</v>
    <v>Daily</v>
    <v>45581</v>
    <v>45581</v>
    <v>0</v>
    <v>1</v>
    <v>638646336000000000,639087303816135854,0</v>
    <v>0</v>
    <v>c5it27</v>
    <v>XNSE:MIDCAPETF</v>
    <v>1710</v>
  </rv>
  <rv s="1">
    <v>1</v>
    <v>MIDCAPETF</v>
    <v>Daily</v>
    <v>45183</v>
    <v>45183</v>
    <v>0</v>
    <v>1</v>
    <v>638302464000000000,639087303813427539,0</v>
    <v>0</v>
    <v>c5it27</v>
    <v>XNSE:MIDCAPETF</v>
    <v>1711</v>
  </rv>
  <rv s="1">
    <v>1</v>
    <v>MIDCAPETF</v>
    <v>Daily</v>
    <v>45071</v>
    <v>45071</v>
    <v>0</v>
    <v>1</v>
    <v>638205696000000000,639087303814245912,0</v>
    <v>0</v>
    <v>c5it27</v>
    <v>XNSE:MIDCAPETF</v>
    <v>1712</v>
  </rv>
  <rv s="1">
    <v>1</v>
    <v>MIDCAPETF</v>
    <v>Daily</v>
    <v>45364</v>
    <v>45364</v>
    <v>0</v>
    <v>1</v>
    <v>638458848000000000,639087303815206122,0</v>
    <v>0</v>
    <v>c5it27</v>
    <v>XNSE:MIDCAPETF</v>
    <v>1713</v>
  </rv>
  <rv s="1">
    <v>1</v>
    <v>MIDCAPETF</v>
    <v>Daily</v>
    <v>45743</v>
    <v>45743</v>
    <v>0</v>
    <v>1</v>
    <v>638786304000000000,639087303816654949,0</v>
    <v>0</v>
    <v>c5it27</v>
    <v>XNSE:MIDCAPETF</v>
    <v>1533</v>
  </rv>
  <rv s="1">
    <v>1</v>
    <v>MIDCAPETF</v>
    <v>Daily</v>
    <v>45335</v>
    <v>45335</v>
    <v>0</v>
    <v>1</v>
    <v>638433792000000000,639087303836040185,0</v>
    <v>0</v>
    <v>c5it27</v>
    <v>XNSE:MIDCAPETF</v>
    <v>1714</v>
  </rv>
  <rv s="1">
    <v>1</v>
    <v>MIDCAPETF</v>
    <v>Daily</v>
    <v>45260</v>
    <v>45260</v>
    <v>0</v>
    <v>1</v>
    <v>638368992000000000,639087303836060185,0</v>
    <v>0</v>
    <v>c5it27</v>
    <v>XNSE:MIDCAPETF</v>
    <v>1715</v>
  </rv>
  <rv s="1">
    <v>1</v>
    <v>MIDCAPETF</v>
    <v>Daily</v>
    <v>45160</v>
    <v>45160</v>
    <v>0</v>
    <v>1</v>
    <v>638282592000000000,639087303836090192,0</v>
    <v>0</v>
    <v>c5it27</v>
    <v>XNSE:MIDCAPETF</v>
    <v>1716</v>
  </rv>
  <rv s="1">
    <v>1</v>
    <v>MIDCAPETF</v>
    <v>Daily</v>
    <v>45259</v>
    <v>45259</v>
    <v>0</v>
    <v>1</v>
    <v>638368128000000000,639087303815676377,0</v>
    <v>0</v>
    <v>c5it27</v>
    <v>XNSE:MIDCAPETF</v>
    <v>1717</v>
  </rv>
  <rv s="1">
    <v>1</v>
    <v>MIDCAPETF</v>
    <v>Daily</v>
    <v>44721</v>
    <v>44721</v>
    <v>0</v>
    <v>1</v>
    <v>637903296000000000,639087303816144314,0</v>
    <v>0</v>
    <v>c5it27</v>
    <v>XNSE:MIDCAPETF</v>
    <v>1718</v>
  </rv>
  <rv s="1">
    <v>1</v>
    <v>MIDCAPETF</v>
    <v>Daily</v>
    <v>45764</v>
    <v>45764</v>
    <v>0</v>
    <v>1</v>
    <v>638804448000000000,639087303815545720,0</v>
    <v>0</v>
    <v>c5it27</v>
    <v>XNSE:MIDCAPETF</v>
    <v>1612</v>
  </rv>
  <rv s="1">
    <v>1</v>
    <v>MIDCAPETF</v>
    <v>Daily</v>
    <v>44763</v>
    <v>44763</v>
    <v>0</v>
    <v>1</v>
    <v>637939584000000000,639087303815694740,0</v>
    <v>0</v>
    <v>c5it27</v>
    <v>XNSE:MIDCAPETF</v>
    <v>1719</v>
  </rv>
  <rv s="1">
    <v>1</v>
    <v>MIDCAPETF</v>
    <v>Daily</v>
    <v>45531</v>
    <v>45531</v>
    <v>0</v>
    <v>1</v>
    <v>638603136000000000,639087303815725759,0</v>
    <v>0</v>
    <v>c5it27</v>
    <v>XNSE:MIDCAPETF</v>
    <v>1720</v>
  </rv>
  <rv s="1">
    <v>1</v>
    <v>MIDCAPETF</v>
    <v>Daily</v>
    <v>45477</v>
    <v>45477</v>
    <v>0</v>
    <v>1</v>
    <v>638556480000000000,639087303818816438,0</v>
    <v>0</v>
    <v>c5it27</v>
    <v>XNSE:MIDCAPETF</v>
    <v>1721</v>
  </rv>
  <rv s="1">
    <v>1</v>
    <v>MIDCAPETF</v>
    <v>Daily</v>
    <v>45678</v>
    <v>45678</v>
    <v>0</v>
    <v>1</v>
    <v>638730144000000000,639087303819119693,0</v>
    <v>0</v>
    <v>c5it27</v>
    <v>XNSE:MIDCAPETF</v>
    <v>1722</v>
  </rv>
  <rv s="1">
    <v>1</v>
    <v>MIDCAPETF</v>
    <v>Daily</v>
    <v>45342</v>
    <v>45342</v>
    <v>0</v>
    <v>1</v>
    <v>638439840000000000,639087303819726629,0</v>
    <v>0</v>
    <v>c5it27</v>
    <v>XNSE:MIDCAPETF</v>
    <v>1723</v>
  </rv>
  <rv s="1">
    <v>1</v>
    <v>MIDCAPETF</v>
    <v>Daily</v>
    <v>45701</v>
    <v>45701</v>
    <v>0</v>
    <v>1</v>
    <v>638750016000000000,639087303820025762,0</v>
    <v>0</v>
    <v>c5it27</v>
    <v>XNSE:MIDCAPETF</v>
    <v>1724</v>
  </rv>
  <rv s="1">
    <v>1</v>
    <v>MIDCAPETF</v>
    <v>Daily</v>
    <v>45176</v>
    <v>45176</v>
    <v>0</v>
    <v>1</v>
    <v>638296416000000000,639087303818508461,0</v>
    <v>0</v>
    <v>c5it27</v>
    <v>XNSE:MIDCAPETF</v>
    <v>1725</v>
  </rv>
  <rv s="1">
    <v>1</v>
    <v>MIDCAPETF</v>
    <v>Daily</v>
    <v>45118</v>
    <v>45118</v>
    <v>0</v>
    <v>1</v>
    <v>638246304000000000,639087303818558248,0</v>
    <v>0</v>
    <v>c5it27</v>
    <v>XNSE:MIDCAPETF</v>
    <v>1726</v>
  </rv>
  <rv s="1">
    <v>1</v>
    <v>MIDCAPETF</v>
    <v>Daily</v>
    <v>45540</v>
    <v>45540</v>
    <v>0</v>
    <v>1</v>
    <v>638610912000000000,639087303818578143,0</v>
    <v>0</v>
    <v>c5it27</v>
    <v>XNSE:MIDCAPETF</v>
    <v>1727</v>
  </rv>
  <rv s="1">
    <v>1</v>
    <v>MIDCAPETF</v>
    <v>Daily</v>
    <v>45561</v>
    <v>45561</v>
    <v>0</v>
    <v>1</v>
    <v>638629056000000000,639087303818647846,0</v>
    <v>0</v>
    <v>c5it27</v>
    <v>XNSE:MIDCAPETF</v>
    <v>1728</v>
  </rv>
  <rv s="1">
    <v>1</v>
    <v>MIDCAPETF</v>
    <v>Daily</v>
    <v>45029</v>
    <v>45029</v>
    <v>0</v>
    <v>1</v>
    <v>638169408000000000,639087303820226810,0</v>
    <v>0</v>
    <v>c5it27</v>
    <v>XNSE:MIDCAPETF</v>
    <v>1581</v>
  </rv>
  <rv s="1">
    <v>1</v>
    <v>MIDCAPETF</v>
    <v>Daily</v>
    <v>44966</v>
    <v>44966</v>
    <v>0</v>
    <v>1</v>
    <v>638114976000000000,639087303823017464,0</v>
    <v>0</v>
    <v>c5it27</v>
    <v>XNSE:MIDCAPETF</v>
    <v>1729</v>
  </rv>
  <rv s="1">
    <v>1</v>
    <v>MIDCAPETF</v>
    <v>Daily</v>
    <v>45643</v>
    <v>45643</v>
    <v>0</v>
    <v>1</v>
    <v>638699904000000000,639087303819916679,0</v>
    <v>0</v>
    <v>c5it27</v>
    <v>XNSE:MIDCAPETF</v>
    <v>1483</v>
  </rv>
  <rv s="1">
    <v>1</v>
    <v>MIDCAPETF</v>
    <v>Daily</v>
    <v>45771</v>
    <v>45771</v>
    <v>0</v>
    <v>1</v>
    <v>638810496000000000,639087303819568585,0</v>
    <v>0</v>
    <v>c5it27</v>
    <v>XNSE:MIDCAPETF</v>
    <v>1730</v>
  </rv>
  <rv s="1">
    <v>1</v>
    <v>MIDCAPETF</v>
    <v>Daily</v>
    <v>45350</v>
    <v>45350</v>
    <v>0</v>
    <v>1</v>
    <v>638446752000000000,639087303819628322,0</v>
    <v>0</v>
    <v>c5it27</v>
    <v>XNSE:MIDCAPETF</v>
    <v>1509</v>
  </rv>
  <rv s="1">
    <v>1</v>
    <v>MIDCAPETF</v>
    <v>Daily</v>
    <v>45588</v>
    <v>45588</v>
    <v>0</v>
    <v>1</v>
    <v>638652384000000000,639087303819662373,0</v>
    <v>0</v>
    <v>c5it27</v>
    <v>XNSE:MIDCAPETF</v>
    <v>1545</v>
  </rv>
  <rv s="1">
    <v>1</v>
    <v>MIDCAPETF</v>
    <v>Daily</v>
    <v>44756</v>
    <v>44756</v>
    <v>0</v>
    <v>1</v>
    <v>637933536000000000,639087303819678105,0</v>
    <v>0</v>
    <v>c5it27</v>
    <v>XNSE:MIDCAPETF</v>
    <v>1731</v>
  </rv>
  <rv s="1">
    <v>1</v>
    <v>MIDCAPETF</v>
    <v>Daily</v>
    <v>45680</v>
    <v>45680</v>
    <v>0</v>
    <v>1</v>
    <v>638731872000000000,639087303820579089,0</v>
    <v>0</v>
    <v>c5it27</v>
    <v>XNSE:MIDCAPETF</v>
    <v>1732</v>
  </rv>
  <rv s="1">
    <v>1</v>
    <v>MIDCAPETF</v>
    <v>Daily</v>
    <v>45237</v>
    <v>45237</v>
    <v>0</v>
    <v>1</v>
    <v>638349120000000000,639087303822450863,0</v>
    <v>0</v>
    <v>c5it27</v>
    <v>XNSE:MIDCAPETF</v>
    <v>1488</v>
  </rv>
  <rv s="1">
    <v>1</v>
    <v>MIDCAPETF</v>
    <v>Daily</v>
    <v>45510</v>
    <v>45510</v>
    <v>0</v>
    <v>1</v>
    <v>638584992000000000,639087303820916899,0</v>
    <v>0</v>
    <v>c5it27</v>
    <v>XNSE:MIDCAPETF</v>
    <v>1733</v>
  </rv>
  <rv s="1">
    <v>1</v>
    <v>MIDCAPETF</v>
    <v>Daily</v>
    <v>45713</v>
    <v>45713</v>
    <v>0</v>
    <v>1</v>
    <v>638760384000000000,639087303820941702,0</v>
    <v>0</v>
    <v>c5it27</v>
    <v>XNSE:MIDCAPETF</v>
    <v>1734</v>
  </rv>
  <rv s="1">
    <v>1</v>
    <v>MIDCAPETF</v>
    <v>Daily</v>
    <v>45456</v>
    <v>45456</v>
    <v>0</v>
    <v>1</v>
    <v>638538336000000000,639087303823054011,0</v>
    <v>0</v>
    <v>c5it27</v>
    <v>XNSE:MIDCAPETF</v>
    <v>1735</v>
  </rv>
  <rv s="1">
    <v>1</v>
    <v>MIDCAPETF</v>
    <v>Daily</v>
    <v>45398</v>
    <v>45398</v>
    <v>0</v>
    <v>1</v>
    <v>638488224000000000,639087303825966970,0</v>
    <v>0</v>
    <v>c5it27</v>
    <v>XNSE:MIDCAPETF</v>
    <v>1694</v>
  </rv>
  <rv s="1">
    <v>1</v>
    <v>MIDCAPETF</v>
    <v>Daily</v>
    <v>45455</v>
    <v>45455</v>
    <v>0</v>
    <v>1</v>
    <v>638537472000000000,639087303826447076,0</v>
    <v>0</v>
    <v>c5it27</v>
    <v>XNSE:MIDCAPETF</v>
    <v>1736</v>
  </rv>
  <rv s="1">
    <v>1</v>
    <v>MIDCAPETF</v>
    <v>Daily</v>
    <v>45652</v>
    <v>45652</v>
    <v>0</v>
    <v>1</v>
    <v>638707680000000000,639087303824099427,0</v>
    <v>0</v>
    <v>c5it27</v>
    <v>XNSE:MIDCAPETF</v>
    <v>1737</v>
  </rv>
  <rv s="1">
    <v>1</v>
    <v>MIDCAPETF</v>
    <v>Daily</v>
    <v>45545</v>
    <v>45545</v>
    <v>0</v>
    <v>1</v>
    <v>638615232000000000,639087303824147657,0</v>
    <v>0</v>
    <v>c5it27</v>
    <v>XNSE:MIDCAPETF</v>
    <v>1738</v>
  </rv>
  <rv s="1">
    <v>1</v>
    <v>MIDCAPETF</v>
    <v>Daily</v>
    <v>45602</v>
    <v>45602</v>
    <v>0</v>
    <v>1</v>
    <v>638664480000000000,639087303824208946,0</v>
    <v>0</v>
    <v>c5it27</v>
    <v>XNSE:MIDCAPETF</v>
    <v>1739</v>
  </rv>
  <rv s="1">
    <v>1</v>
    <v>MIDCAPETF</v>
    <v>Daily</v>
    <v>44791</v>
    <v>44791</v>
    <v>0</v>
    <v>1</v>
    <v>637963776000000000,639087303824286998,0</v>
    <v>0</v>
    <v>c5it27</v>
    <v>XNSE:MIDCAPETF</v>
    <v>1486</v>
  </rv>
  <rv s="1">
    <v>1</v>
    <v>MIDCAPETF</v>
    <v>Daily</v>
    <v>45169</v>
    <v>45169</v>
    <v>0</v>
    <v>1</v>
    <v>638290368000000000,639087303824973995,0</v>
    <v>0</v>
    <v>c5it27</v>
    <v>XNSE:MIDCAPETF</v>
    <v>1740</v>
  </rv>
  <rv s="1">
    <v>1</v>
    <v>MIDCAPETF</v>
    <v>Daily</v>
    <v>45162</v>
    <v>45162</v>
    <v>0</v>
    <v>1</v>
    <v>638284320000000000,639087303825909866,0</v>
    <v>0</v>
    <v>c5it27</v>
    <v>XNSE:MIDCAPETF</v>
    <v>1560</v>
  </rv>
  <rv s="1">
    <v>1</v>
    <v>MIDCAPETF</v>
    <v>Daily</v>
    <v>45155</v>
    <v>45155</v>
    <v>0</v>
    <v>1</v>
    <v>638278272000000000,639087303824885981,0</v>
    <v>0</v>
    <v>c5it27</v>
    <v>XNSE:MIDCAPETF</v>
    <v>1741</v>
  </rv>
  <rv s="1">
    <v>1</v>
    <v>MIDCAPETF</v>
    <v>Daily</v>
    <v>45148</v>
    <v>45148</v>
    <v>0</v>
    <v>1</v>
    <v>638272224000000000,639087303828529999,0</v>
    <v>0</v>
    <v>c5it27</v>
    <v>XNSE:MIDCAPETF</v>
    <v>1742</v>
  </rv>
  <rv s="1">
    <v>1</v>
    <v>MIDCAPETF</v>
    <v>Daily</v>
    <v>45141</v>
    <v>45141</v>
    <v>0</v>
    <v>1</v>
    <v>638266176000000000,639087303828678600,0</v>
    <v>0</v>
    <v>c5it27</v>
    <v>XNSE:MIDCAPETF</v>
    <v>1563</v>
  </rv>
  <rv s="1">
    <v>1</v>
    <v>MIDCAPETF</v>
    <v>Daily</v>
    <v>45134</v>
    <v>45134</v>
    <v>0</v>
    <v>1</v>
    <v>638260128000000000,639087303836250226,0</v>
    <v>0</v>
    <v>c5it27</v>
    <v>XNSE:MIDCAPETF</v>
    <v>1743</v>
  </rv>
  <rv s="1">
    <v>1</v>
    <v>MIDCAPETF</v>
    <v>Daily</v>
    <v>45127</v>
    <v>45127</v>
    <v>0</v>
    <v>1</v>
    <v>638254080000000000,639087303830639251,0</v>
    <v>0</v>
    <v>c5it27</v>
    <v>XNSE:MIDCAPETF</v>
    <v>1744</v>
  </rv>
  <rv s="1">
    <v>1</v>
    <v>MIDCAPETF</v>
    <v>Daily</v>
    <v>45120</v>
    <v>45120</v>
    <v>0</v>
    <v>1</v>
    <v>638248032000000000,639087303832018260,0</v>
    <v>0</v>
    <v>c5it27</v>
    <v>XNSE:MIDCAPETF</v>
    <v>1745</v>
  </rv>
  <rv s="1">
    <v>1</v>
    <v>MIDCAPETF</v>
    <v>Daily</v>
    <v>45113</v>
    <v>45113</v>
    <v>0</v>
    <v>1</v>
    <v>638241984000000000,639087303832549700,0</v>
    <v>0</v>
    <v>c5it27</v>
    <v>XNSE:MIDCAPETF</v>
    <v>1746</v>
  </rv>
  <rv s="1">
    <v>1</v>
    <v>MIDCAPETF</v>
    <v>Daily</v>
    <v>45099</v>
    <v>45099</v>
    <v>0</v>
    <v>1</v>
    <v>638229888000000000,639087303830629249,0</v>
    <v>0</v>
    <v>c5it27</v>
    <v>XNSE:MIDCAPETF</v>
    <v>1624</v>
  </rv>
  <rv s="1">
    <v>1</v>
    <v>MIDCAPETF</v>
    <v>Daily</v>
    <v>44999</v>
    <v>44999</v>
    <v>0</v>
    <v>1</v>
    <v>638143488000000000,639087303832979800,0</v>
    <v>0</v>
    <v>c5it27</v>
    <v>XNSE:MIDCAPETF</v>
    <v>1747</v>
  </rv>
  <rv s="1">
    <v>1</v>
    <v>MIDCAPETF</v>
    <v>Daily</v>
    <v>44985</v>
    <v>44985</v>
    <v>0</v>
    <v>1</v>
    <v>638131392000000000,639087303833449899,0</v>
    <v>0</v>
    <v>c5it27</v>
    <v>XNSE:MIDCAPETF</v>
    <v>1748</v>
  </rv>
  <rv s="1">
    <v>1</v>
    <v>MIDCAPETF</v>
    <v>Daily</v>
    <v>44978</v>
    <v>44978</v>
    <v>0</v>
    <v>1</v>
    <v>638125344000000000,639087303833920012,0</v>
    <v>0</v>
    <v>c5it27</v>
    <v>XNSE:MIDCAPETF</v>
    <v>1749</v>
  </rv>
  <rv s="1">
    <v>1</v>
    <v>MIDCAPETF</v>
    <v>Daily</v>
    <v>44964</v>
    <v>44964</v>
    <v>0</v>
    <v>1</v>
    <v>638113248000000000,639087303834390125,0</v>
    <v>0</v>
    <v>c5it27</v>
    <v>XNSE:MIDCAPETF</v>
    <v>1750</v>
  </rv>
  <rv s="1">
    <v>1</v>
    <v>MIDCAPETF</v>
    <v>Daily</v>
    <v>44957</v>
    <v>44957</v>
    <v>0</v>
    <v>1</v>
    <v>638107200000000000,639087303834860240,0</v>
    <v>0</v>
    <v>c5it27</v>
    <v>XNSE:MIDCAPETF</v>
    <v>1751</v>
  </rv>
  <rv s="1">
    <v>1</v>
    <v>MIDCAPETF</v>
    <v>Daily</v>
    <v>44950</v>
    <v>44950</v>
    <v>0</v>
    <v>1</v>
    <v>638101152000000000,639087303830734529,0</v>
    <v>0</v>
    <v>c5it27</v>
    <v>XNSE:MIDCAPETF</v>
    <v>1752</v>
  </rv>
  <rv s="1">
    <v>1</v>
    <v>MIDCAPETF</v>
    <v>Daily</v>
    <v>44936</v>
    <v>44936</v>
    <v>0</v>
    <v>1</v>
    <v>638089056000000000,639087303830957381,0</v>
    <v>0</v>
    <v>c5it27</v>
    <v>XNSE:MIDCAPETF</v>
    <v>1753</v>
  </rv>
  <rv s="1">
    <v>1</v>
    <v>MIDCAPETF</v>
    <v>Daily</v>
    <v>44929</v>
    <v>44929</v>
    <v>0</v>
    <v>1</v>
    <v>638083008000000000,639087303831189642,0</v>
    <v>0</v>
    <v>c5it27</v>
    <v>XNSE:MIDCAPETF</v>
    <v>1754</v>
  </rv>
  <rv s="1">
    <v>1</v>
    <v>MIDCAPETF</v>
    <v>Daily</v>
    <v>44922</v>
    <v>44922</v>
    <v>0</v>
    <v>1</v>
    <v>638076960000000000,639087303831425328,0</v>
    <v>0</v>
    <v>c5it27</v>
    <v>XNSE:MIDCAPETF</v>
    <v>1607</v>
  </rv>
  <rv s="1">
    <v>1</v>
    <v>MIDCAPETF</v>
    <v>Daily</v>
    <v>44915</v>
    <v>44915</v>
    <v>0</v>
    <v>1</v>
    <v>638070912000000000,639087303831654327,0</v>
    <v>0</v>
    <v>c5it27</v>
    <v>XNSE:MIDCAPETF</v>
    <v>1603</v>
  </rv>
  <rv s="1">
    <v>1</v>
    <v>MIDCAPETF</v>
    <v>Daily</v>
    <v>44908</v>
    <v>44908</v>
    <v>0</v>
    <v>1</v>
    <v>638064864000000000,639087303831886595,0</v>
    <v>0</v>
    <v>c5it27</v>
    <v>XNSE:MIDCAPETF</v>
    <v>1755</v>
  </rv>
  <rv s="1">
    <v>1</v>
    <v>MIDCAPETF</v>
    <v>Daily</v>
    <v>44894</v>
    <v>44894</v>
    <v>0</v>
    <v>1</v>
    <v>638052768000000000,639087303832118459,0</v>
    <v>0</v>
    <v>c5it27</v>
    <v>XNSE:MIDCAPETF</v>
    <v>1756</v>
  </rv>
  <rv s="1">
    <v>1</v>
    <v>MIDCAPETF</v>
    <v>Daily</v>
    <v>44887</v>
    <v>44887</v>
    <v>0</v>
    <v>1</v>
    <v>638046720000000000,639087303832354548,0</v>
    <v>0</v>
    <v>c5it27</v>
    <v>XNSE:MIDCAPETF</v>
    <v>1487</v>
  </rv>
  <rv s="1">
    <v>1</v>
    <v>MIDCAPETF</v>
    <v>Daily</v>
    <v>44866</v>
    <v>44866</v>
    <v>0</v>
    <v>1</v>
    <v>638028576000000000,639087303832583532,0</v>
    <v>0</v>
    <v>c5it27</v>
    <v>XNSE:MIDCAPETF</v>
    <v>1754</v>
  </rv>
  <rv s="1">
    <v>1</v>
    <v>MIDCAPETF</v>
    <v>Daily</v>
    <v>44859</v>
    <v>44859</v>
    <v>0</v>
    <v>1</v>
    <v>638022528000000000,639087303832809252,0</v>
    <v>0</v>
    <v>c5it27</v>
    <v>XNSE:MIDCAPETF</v>
    <v>1729</v>
  </rv>
  <rv s="1">
    <v>1</v>
    <v>MIDCAPETF</v>
    <v>Daily</v>
    <v>44852</v>
    <v>44852</v>
    <v>0</v>
    <v>1</v>
    <v>638016480000000000,639087303832209360,0</v>
    <v>0</v>
    <v>c5it27</v>
    <v>XNSE:MIDCAPETF</v>
    <v>1523</v>
  </rv>
  <rv s="1">
    <v>1</v>
    <v>MIDCAPETF</v>
    <v>Daily</v>
    <v>44838</v>
    <v>44838</v>
    <v>0</v>
    <v>1</v>
    <v>638004384000000000,639087303832379401,0</v>
    <v>0</v>
    <v>c5it27</v>
    <v>XNSE:MIDCAPETF</v>
    <v>1495</v>
  </rv>
  <rv s="1">
    <v>1</v>
    <v>MIDCAPETF</v>
    <v>Daily</v>
    <v>44824</v>
    <v>44824</v>
    <v>0</v>
    <v>1</v>
    <v>637992288000000000,639087303832539435,0</v>
    <v>0</v>
    <v>c5it27</v>
    <v>XNSE:MIDCAPETF</v>
    <v>1757</v>
  </rv>
  <rv s="1">
    <v>1</v>
    <v>MIDCAPETF</v>
    <v>Daily</v>
    <v>44817</v>
    <v>44817</v>
    <v>0</v>
    <v>1</v>
    <v>637986240000000000,639087303832710007,0</v>
    <v>0</v>
    <v>c5it27</v>
    <v>XNSE:MIDCAPETF</v>
    <v>1758</v>
  </rv>
  <rv s="1">
    <v>1</v>
    <v>MIDCAPETF</v>
    <v>Daily</v>
    <v>44810</v>
    <v>44810</v>
    <v>0</v>
    <v>1</v>
    <v>637980192000000000,639087303832869507,0</v>
    <v>0</v>
    <v>c5it27</v>
    <v>XNSE:MIDCAPETF</v>
    <v>1754</v>
  </rv>
  <rv s="1">
    <v>1</v>
    <v>MIDCAPETF</v>
    <v>Daily</v>
    <v>44803</v>
    <v>44803</v>
    <v>0</v>
    <v>1</v>
    <v>637974144000000000,639087303833039536,0</v>
    <v>0</v>
    <v>c5it27</v>
    <v>XNSE:MIDCAPETF</v>
    <v>1759</v>
  </rv>
  <rv s="1">
    <v>1</v>
    <v>MIDCAPETF</v>
    <v>Daily</v>
    <v>44796</v>
    <v>44796</v>
    <v>0</v>
    <v>1</v>
    <v>637968096000000000,639087303833199577,0</v>
    <v>0</v>
    <v>c5it27</v>
    <v>XNSE:MIDCAPETF</v>
    <v>1750</v>
  </rv>
  <rv s="1">
    <v>1</v>
    <v>MIDCAPETF</v>
    <v>Daily</v>
    <v>44789</v>
    <v>44789</v>
    <v>0</v>
    <v>1</v>
    <v>637962048000000000,639087303833359615,0</v>
    <v>0</v>
    <v>c5it27</v>
    <v>XNSE:MIDCAPETF</v>
    <v>1729</v>
  </rv>
  <rv s="1">
    <v>1</v>
    <v>MIDCAPETF</v>
    <v>Daily</v>
    <v>44775</v>
    <v>44775</v>
    <v>0</v>
    <v>1</v>
    <v>637949952000000000,639087303833536393,0</v>
    <v>0</v>
    <v>c5it27</v>
    <v>XNSE:MIDCAPETF</v>
    <v>1633</v>
  </rv>
  <rv s="1">
    <v>1</v>
    <v>MIDCAPETF</v>
    <v>Daily</v>
    <v>44768</v>
    <v>44768</v>
    <v>0</v>
    <v>1</v>
    <v>637943904000000000,639087303833695755,0</v>
    <v>0</v>
    <v>c5it27</v>
    <v>XNSE:MIDCAPETF</v>
    <v>1760</v>
  </rv>
  <rv s="1">
    <v>1</v>
    <v>MIDCAPETF</v>
    <v>Daily</v>
    <v>44761</v>
    <v>44761</v>
    <v>0</v>
    <v>1</v>
    <v>637937856000000000,639087303832759797,0</v>
    <v>0</v>
    <v>c5it27</v>
    <v>XNSE:MIDCAPETF</v>
    <v>1761</v>
  </rv>
  <rv s="1">
    <v>1</v>
    <v>MIDCAPETF</v>
    <v>Daily</v>
    <v>44754</v>
    <v>44754</v>
    <v>0</v>
    <v>1</v>
    <v>637931808000000000,639087303832781356,0</v>
    <v>0</v>
    <v>c5it27</v>
    <v>XNSE:MIDCAPETF</v>
    <v>1762</v>
  </rv>
  <rv s="1">
    <v>1</v>
    <v>MIDCAPETF</v>
    <v>Daily</v>
    <v>44747</v>
    <v>44747</v>
    <v>0</v>
    <v>1</v>
    <v>637925760000000000,639087303832801258,0</v>
    <v>0</v>
    <v>c5it27</v>
    <v>XNSE:MIDCAPETF</v>
    <v>1763</v>
  </rv>
  <rv s="1">
    <v>1</v>
    <v>MIDCAPETF</v>
    <v>Daily</v>
    <v>44740</v>
    <v>44740</v>
    <v>0</v>
    <v>1</v>
    <v>637919712000000000,639087303832831141,0</v>
    <v>0</v>
    <v>c5it27</v>
    <v>XNSE:MIDCAPETF</v>
    <v>1764</v>
  </rv>
  <rv s="1">
    <v>1</v>
    <v>MIDCAPETF</v>
    <v>Daily</v>
    <v>44733</v>
    <v>44733</v>
    <v>0</v>
    <v>1</v>
    <v>637913664000000000,639087303832849465,0</v>
    <v>0</v>
    <v>c5it27</v>
    <v>XNSE:MIDCAPETF</v>
    <v>1765</v>
  </rv>
  <rv s="1">
    <v>1</v>
    <v>MIDCAPETF</v>
    <v>Daily</v>
    <v>44949</v>
    <v>44949</v>
    <v>0</v>
    <v>1</v>
    <v>638100288000000000,639087303874548142,0</v>
    <v>0</v>
    <v>c5it27</v>
    <v>XNSE:MIDCAPETF</v>
    <v>1487</v>
  </rv>
  <rv s="1">
    <v>1</v>
    <v>MIDCAPETF</v>
    <v>Daily</v>
    <v>45565</v>
    <v>45565</v>
    <v>0</v>
    <v>1</v>
    <v>638632512000000000,639087303875603526,0</v>
    <v>0</v>
    <v>c5it27</v>
    <v>XNSE:MIDCAPETF</v>
    <v>1766</v>
  </rv>
  <rv s="1">
    <v>1</v>
    <v>MIDCAPETF</v>
    <v>Daily</v>
    <v>45089</v>
    <v>45089</v>
    <v>0</v>
    <v>1</v>
    <v>638221248000000000,639087303876588949,0</v>
    <v>0</v>
    <v>c5it27</v>
    <v>XNSE:MIDCAPETF</v>
    <v>1767</v>
  </rv>
  <rv s="1">
    <v>1</v>
    <v>MIDCAPETF</v>
    <v>Daily</v>
    <v>45495</v>
    <v>45495</v>
    <v>0</v>
    <v>1</v>
    <v>638572032000000000,639087303877405627,0</v>
    <v>0</v>
    <v>c5it27</v>
    <v>XNSE:MIDCAPETF</v>
    <v>1768</v>
  </rv>
  <rv s="1">
    <v>1</v>
    <v>MIDCAPETF</v>
    <v>Daily</v>
    <v>45502</v>
    <v>45502</v>
    <v>0</v>
    <v>1</v>
    <v>638578080000000000,639087303877563040,0</v>
    <v>0</v>
    <v>c5it27</v>
    <v>XNSE:MIDCAPETF</v>
    <v>1576</v>
  </rv>
  <rv s="1">
    <v>1</v>
    <v>MIDCAPETF</v>
    <v>Daily</v>
    <v>45096</v>
    <v>45096</v>
    <v>0</v>
    <v>1</v>
    <v>638227296000000000,639087303875876559,0</v>
    <v>0</v>
    <v>c5it27</v>
    <v>XNSE:MIDCAPETF</v>
    <v>1624</v>
  </rv>
  <rv s="1">
    <v>1</v>
    <v>MIDCAPETF</v>
    <v>Daily</v>
    <v>45012</v>
    <v>45012</v>
    <v>0</v>
    <v>1</v>
    <v>638154720000000000,639087303875966167,0</v>
    <v>0</v>
    <v>c5it27</v>
    <v>XNSE:MIDCAPETF</v>
    <v>1769</v>
  </rv>
  <rv s="1">
    <v>1</v>
    <v>MIDCAPETF</v>
    <v>Daily</v>
    <v>44851</v>
    <v>44851</v>
    <v>0</v>
    <v>1</v>
    <v>638015616000000000,639087303875976125,0</v>
    <v>0</v>
    <v>c5it27</v>
    <v>XNSE:MIDCAPETF</v>
    <v>1751</v>
  </rv>
  <rv s="1">
    <v>1</v>
    <v>MIDCAPETF</v>
    <v>Daily</v>
    <v>44831</v>
    <v>44831</v>
    <v>0</v>
    <v>1</v>
    <v>637998336000000000,639087303877041449,0</v>
    <v>0</v>
    <v>c5it27</v>
    <v>XNSE:MIDCAPETF</v>
    <v>1477</v>
  </rv>
  <rv s="1">
    <v>1</v>
    <v>MIDCAPETF</v>
    <v>Daily</v>
    <v>45593</v>
    <v>45593</v>
    <v>0</v>
    <v>1</v>
    <v>638656704000000000,639087303877080610,0</v>
    <v>0</v>
    <v>c5it27</v>
    <v>XNSE:MIDCAPETF</v>
    <v>1770</v>
  </rv>
  <rv s="1">
    <v>1</v>
    <v>MIDCAPETF</v>
    <v>Daily</v>
    <v>45208</v>
    <v>45208</v>
    <v>0</v>
    <v>1</v>
    <v>638324064000000000,639087303881551112,0</v>
    <v>0</v>
    <v>c5it27</v>
    <v>XNSE:MIDCAPETF</v>
    <v>1771</v>
  </rv>
  <rv s="1">
    <v>1</v>
    <v>MIDCAPETF</v>
    <v>Daily</v>
    <v>45005</v>
    <v>45005</v>
    <v>0</v>
    <v>1</v>
    <v>638148672000000000,639087303879882849,0</v>
    <v>0</v>
    <v>c5it27</v>
    <v>XNSE:MIDCAPETF</v>
    <v>1772</v>
  </rv>
  <rv s="1">
    <v>1</v>
    <v>MIDCAPETF</v>
    <v>Daily</v>
    <v>45054</v>
    <v>45054</v>
    <v>0</v>
    <v>1</v>
    <v>638191008000000000,639087303881909793,0</v>
    <v>0</v>
    <v>c5it27</v>
    <v>XNSE:MIDCAPETF</v>
    <v>1773</v>
  </rv>
  <rv s="1">
    <v>1</v>
    <v>MIDCAPETF</v>
    <v>Daily</v>
    <v>45236</v>
    <v>45236</v>
    <v>0</v>
    <v>1</v>
    <v>638348256000000000,639087303880252408,0</v>
    <v>0</v>
    <v>c5it27</v>
    <v>XNSE:MIDCAPETF</v>
    <v>1774</v>
  </rv>
  <rv s="1">
    <v>1</v>
    <v>MIDCAPETF</v>
    <v>Daily</v>
    <v>45320</v>
    <v>45320</v>
    <v>0</v>
    <v>1</v>
    <v>638420832000000000,639087303880297150,0</v>
    <v>0</v>
    <v>c5it27</v>
    <v>XNSE:MIDCAPETF</v>
    <v>1775</v>
  </rv>
  <rv s="1">
    <v>1</v>
    <v>MIDCAPETF</v>
    <v>Daily</v>
    <v>44880</v>
    <v>44880</v>
    <v>0</v>
    <v>1</v>
    <v>638040672000000000,639087303882912920,0</v>
    <v>0</v>
    <v>c5it27</v>
    <v>XNSE:MIDCAPETF</v>
    <v>1776</v>
  </rv>
  <rv s="1">
    <v>1</v>
    <v>MIDCAPETF</v>
    <v>Daily</v>
    <v>44971</v>
    <v>44971</v>
    <v>0</v>
    <v>1</v>
    <v>638119296000000000,639087303883551588,0</v>
    <v>0</v>
    <v>c5it27</v>
    <v>XNSE:MIDCAPETF</v>
    <v>1777</v>
  </rv>
  <rv s="1">
    <v>1</v>
    <v>MIDCAPETF</v>
    <v>Daily</v>
    <v>45677</v>
    <v>45677</v>
    <v>0</v>
    <v>1</v>
    <v>638729280000000000,639087303884301206,0</v>
    <v>0</v>
    <v>c5it27</v>
    <v>XNSE:MIDCAPETF</v>
    <v>1778</v>
  </rv>
  <rv s="1">
    <v>1</v>
    <v>MIDCAPETF</v>
    <v>Daily</v>
    <v>45229</v>
    <v>45229</v>
    <v>0</v>
    <v>1</v>
    <v>638342208000000000,639087303886682318,0</v>
    <v>0</v>
    <v>c5it27</v>
    <v>XNSE:MIDCAPETF</v>
    <v>1779</v>
  </rv>
  <rv s="1">
    <v>1</v>
    <v>MIDCAPETF</v>
    <v>Daily</v>
    <v>45299</v>
    <v>45299</v>
    <v>0</v>
    <v>1</v>
    <v>638402688000000000,639087303887472506,0</v>
    <v>0</v>
    <v>c5it27</v>
    <v>XNSE:MIDCAPETF</v>
    <v>1780</v>
  </rv>
  <rv s="1">
    <v>1</v>
    <v>MIDCAPETF</v>
    <v>Daily</v>
    <v>45117</v>
    <v>45117</v>
    <v>0</v>
    <v>1</v>
    <v>638245440000000000,639087303885270826,0</v>
    <v>0</v>
    <v>c5it27</v>
    <v>XNSE:MIDCAPETF</v>
    <v>1781</v>
  </rv>
  <rv s="1">
    <v>1</v>
    <v>MIDCAPETF</v>
    <v>Daily</v>
    <v>45306</v>
    <v>45306</v>
    <v>0</v>
    <v>1</v>
    <v>638408736000000000,639087303885639522,0</v>
    <v>0</v>
    <v>c5it27</v>
    <v>XNSE:MIDCAPETF</v>
    <v>1782</v>
  </rv>
  <rv s="1">
    <v>1</v>
    <v>MIDCAPETF</v>
    <v>Daily</v>
    <v>44845</v>
    <v>44845</v>
    <v>0</v>
    <v>1</v>
    <v>638010432000000000,639087303884770718,0</v>
    <v>0</v>
    <v>c5it27</v>
    <v>XNSE:MIDCAPETF</v>
    <v>1751</v>
  </rv>
  <rv s="1">
    <v>1</v>
    <v>MIDCAPETF</v>
    <v>Daily</v>
    <v>45607</v>
    <v>45607</v>
    <v>0</v>
    <v>1</v>
    <v>638668800000000000,639087303884791300,0</v>
    <v>0</v>
    <v>c5it27</v>
    <v>XNSE:MIDCAPETF</v>
    <v>1783</v>
  </rv>
  <rv s="1">
    <v>1</v>
    <v>MIDCAPETF</v>
    <v>Daily</v>
    <v>45166</v>
    <v>45166</v>
    <v>0</v>
    <v>1</v>
    <v>638287776000000000,639087303884920749,0</v>
    <v>0</v>
    <v>c5it27</v>
    <v>XNSE:MIDCAPETF</v>
    <v>1784</v>
  </rv>
  <rv s="1">
    <v>1</v>
    <v>MIDCAPETF</v>
    <v>Daily</v>
    <v>44697</v>
    <v>44697</v>
    <v>0</v>
    <v>1</v>
    <v>637882560000000000,639087303886529790,0</v>
    <v>0</v>
    <v>c5it27</v>
    <v>XNSE:MIDCAPETF</v>
    <v>1785</v>
  </rv>
  <rv s="1">
    <v>1</v>
    <v>MIDCAPETF</v>
    <v>Daily</v>
    <v>45586</v>
    <v>45586</v>
    <v>0</v>
    <v>1</v>
    <v>638650656000000000,639087303886599474,0</v>
    <v>0</v>
    <v>c5it27</v>
    <v>XNSE:MIDCAPETF</v>
    <v>1786</v>
  </rv>
  <rv s="1">
    <v>1</v>
    <v>MIDCAPETF</v>
    <v>Daily</v>
    <v>45362</v>
    <v>45362</v>
    <v>0</v>
    <v>1</v>
    <v>638457120000000000,639087303886639321,0</v>
    <v>0</v>
    <v>c5it27</v>
    <v>XNSE:MIDCAPETF</v>
    <v>1787</v>
  </rv>
  <rv s="1">
    <v>1</v>
    <v>MIDCAPETF</v>
    <v>Daily</v>
    <v>45264</v>
    <v>45264</v>
    <v>0</v>
    <v>1</v>
    <v>638372448000000000,639087303886339989,0</v>
    <v>0</v>
    <v>c5it27</v>
    <v>XNSE:MIDCAPETF</v>
    <v>1788</v>
  </rv>
  <rv s="1">
    <v>1</v>
    <v>MIDCAPETF</v>
    <v>Daily</v>
    <v>45341</v>
    <v>45341</v>
    <v>0</v>
    <v>1</v>
    <v>638438976000000000,639087303886375539,0</v>
    <v>0</v>
    <v>c5it27</v>
    <v>XNSE:MIDCAPETF</v>
    <v>1789</v>
  </rv>
  <rv s="1">
    <v>1</v>
    <v>MIDCAPETF</v>
    <v>Daily</v>
    <v>45695</v>
    <v>45695</v>
    <v>0</v>
    <v>1</v>
    <v>638744832000000000,639087303886419650,0</v>
    <v>0</v>
    <v>c5it27</v>
    <v>XNSE:MIDCAPETF</v>
    <v>1790</v>
  </rv>
  <rv s="1">
    <v>1</v>
    <v>MIDCAPETF</v>
    <v>Daily</v>
    <v>44901</v>
    <v>44901</v>
    <v>0</v>
    <v>1</v>
    <v>638058816000000000,639087303890972665,0</v>
    <v>0</v>
    <v>c5it27</v>
    <v>XNSE:MIDCAPETF</v>
    <v>1505</v>
  </rv>
  <rv s="1">
    <v>1</v>
    <v>MIDCAPETF</v>
    <v>Daily</v>
    <v>44753</v>
    <v>44753</v>
    <v>0</v>
    <v>1</v>
    <v>637930944000000000,639087303891453431,0</v>
    <v>0</v>
    <v>c5it27</v>
    <v>XNSE:MIDCAPETF</v>
    <v>1791</v>
  </rv>
  <rv s="1">
    <v>1</v>
    <v>MIDCAPETF</v>
    <v>Daily</v>
    <v>44704</v>
    <v>44704</v>
    <v>0</v>
    <v>1</v>
    <v>637888608000000000,639087303889142898,0</v>
    <v>0</v>
    <v>c5it27</v>
    <v>XNSE:MIDCAPETF</v>
    <v>1792</v>
  </rv>
  <rv s="1">
    <v>1</v>
    <v>MIDCAPETF</v>
    <v>Daily</v>
    <v>44837</v>
    <v>44837</v>
    <v>0</v>
    <v>1</v>
    <v>638003520000000000,639087303889993098,0</v>
    <v>0</v>
    <v>c5it27</v>
    <v>XNSE:MIDCAPETF</v>
    <v>1777</v>
  </rv>
  <rv s="1">
    <v>1</v>
    <v>MIDCAPETF</v>
    <v>Daily</v>
    <v>45719</v>
    <v>45719</v>
    <v>0</v>
    <v>1</v>
    <v>638765568000000000,639087303889450455,0</v>
    <v>0</v>
    <v>c5it27</v>
    <v>XNSE:MIDCAPETF</v>
    <v>1501</v>
  </rv>
  <rv s="1">
    <v>1</v>
    <v>MIDCAPETF</v>
    <v>Daily</v>
    <v>45041</v>
    <v>45041</v>
    <v>0</v>
    <v>1</v>
    <v>638179776000000000,639087303891403429,0</v>
    <v>0</v>
    <v>c5it27</v>
    <v>XNSE:MIDCAPETF</v>
    <v>1729</v>
  </rv>
  <rv s="1">
    <v>1</v>
    <v>MIDCAPETF</v>
    <v>Daily</v>
    <v>44711</v>
    <v>44711</v>
    <v>0</v>
    <v>1</v>
    <v>637894656000000000,639087303892973101,0</v>
    <v>0</v>
    <v>c5it27</v>
    <v>XNSE:MIDCAPETF</v>
    <v>1793</v>
  </rv>
  <rv s="1">
    <v>1</v>
    <v>MIDCAPETF</v>
    <v>Daily</v>
    <v>45509</v>
    <v>45509</v>
    <v>0</v>
    <v>1</v>
    <v>638584128000000000,639087303889461748,0</v>
    <v>0</v>
    <v>c5it27</v>
    <v>XNSE:MIDCAPETF</v>
    <v>1794</v>
  </rv>
  <rv s="1">
    <v>1</v>
    <v>MIDCAPETF</v>
    <v>Daily</v>
    <v>45702</v>
    <v>45702</v>
    <v>0</v>
    <v>1</v>
    <v>638750880000000000,639087303892632756,0</v>
    <v>0</v>
    <v>c5it27</v>
    <v>XNSE:MIDCAPETF</v>
    <v>1680</v>
  </rv>
  <rv s="1">
    <v>1</v>
    <v>MIDCAPETF</v>
    <v>Daily</v>
    <v>45082</v>
    <v>45082</v>
    <v>0</v>
    <v>1</v>
    <v>638215200000000000,639087303895014277,0</v>
    <v>0</v>
    <v>c5it27</v>
    <v>XNSE:MIDCAPETF</v>
    <v>1795</v>
  </rv>
  <rv s="1">
    <v>1</v>
    <v>MIDCAPETF</v>
    <v>Daily</v>
    <v>45131</v>
    <v>45131</v>
    <v>0</v>
    <v>1</v>
    <v>638257536000000000,639087303893369531,0</v>
    <v>0</v>
    <v>c5it27</v>
    <v>XNSE:MIDCAPETF</v>
    <v>1796</v>
  </rv>
  <rv s="1">
    <v>1</v>
    <v>MIDCAPETF</v>
    <v>Daily</v>
    <v>45488</v>
    <v>45488</v>
    <v>0</v>
    <v>1</v>
    <v>638565984000000000,639087303891971762,0</v>
    <v>0</v>
    <v>c5it27</v>
    <v>XNSE:MIDCAPETF</v>
    <v>1797</v>
  </rv>
  <rv s="1">
    <v>1</v>
    <v>MIDCAPETF</v>
    <v>Daily</v>
    <v>45762</v>
    <v>45762</v>
    <v>0</v>
    <v>1</v>
    <v>638802720000000000,639087303892012294,0</v>
    <v>0</v>
    <v>c5it27</v>
    <v>XNSE:MIDCAPETF</v>
    <v>1798</v>
  </rv>
  <rv s="1">
    <v>1</v>
    <v>MIDCAPETF</v>
    <v>Daily</v>
    <v>45579</v>
    <v>45579</v>
    <v>0</v>
    <v>1</v>
    <v>638644608000000000,639087303892031482,0</v>
    <v>0</v>
    <v>c5it27</v>
    <v>XNSE:MIDCAPETF</v>
    <v>1615</v>
  </rv>
  <rv s="1">
    <v>1</v>
    <v>MIDCAPETF</v>
    <v>Daily</v>
    <v>45279</v>
    <v>45279</v>
    <v>0</v>
    <v>1</v>
    <v>638385408000000000,639087303897414079,0</v>
    <v>0</v>
    <v>c5it27</v>
    <v>XNSE:MIDCAPETF</v>
    <v>1799</v>
  </rv>
  <rv s="1">
    <v>1</v>
    <v>MIDCAPETF</v>
    <v>Daily</v>
    <v>45075</v>
    <v>45075</v>
    <v>0</v>
    <v>1</v>
    <v>638209152000000000,639087303898144240,0</v>
    <v>0</v>
    <v>c5it27</v>
    <v>XNSE:MIDCAPETF</v>
    <v>1800</v>
  </rv>
  <rv s="1">
    <v>1</v>
    <v>MIDCAPETF</v>
    <v>Daily</v>
    <v>45369</v>
    <v>45369</v>
    <v>0</v>
    <v>1</v>
    <v>638463168000000000,639087303899954646,0</v>
    <v>0</v>
    <v>c5it27</v>
    <v>XNSE:MIDCAPETF</v>
    <v>1801</v>
  </rv>
  <rv s="1">
    <v>1</v>
    <v>MIDCAPETF</v>
    <v>Daily</v>
    <v>44641</v>
    <v>44641</v>
    <v>0</v>
    <v>1</v>
    <v>637834176000000000,639087303897854176,0</v>
    <v>0</v>
    <v>c5it27</v>
    <v>XNSE:MIDCAPETF</v>
    <v>1802</v>
  </rv>
  <rv s="1">
    <v>1</v>
    <v>MIDCAPETF</v>
    <v>Daily</v>
    <v>44907</v>
    <v>44907</v>
    <v>0</v>
    <v>1</v>
    <v>638064000000000000,639087303898264674,0</v>
    <v>0</v>
    <v>c5it27</v>
    <v>XNSE:MIDCAPETF</v>
    <v>1758</v>
  </rv>
  <rv s="1">
    <v>1</v>
    <v>MIDCAPETF</v>
    <v>Daily</v>
    <v>44916</v>
    <v>44916</v>
    <v>0</v>
    <v>1</v>
    <v>638071776000000000,639087303898982513,0</v>
    <v>0</v>
    <v>c5it27</v>
    <v>XNSE:MIDCAPETF</v>
    <v>1753</v>
  </rv>
  <rv s="1">
    <v>1</v>
    <v>MIDCAPETF</v>
    <v>Daily</v>
    <v>45425</v>
    <v>45425</v>
    <v>0</v>
    <v>1</v>
    <v>638511552000000000,639087303897060854,0</v>
    <v>0</v>
    <v>c5it27</v>
    <v>XNSE:MIDCAPETF</v>
    <v>1544</v>
  </rv>
  <rv s="1">
    <v>1</v>
    <v>MIDCAPETF</v>
    <v>Daily</v>
    <v>45292</v>
    <v>45292</v>
    <v>0</v>
    <v>1</v>
    <v>638396640000000000,639087303898763735,0</v>
    <v>0</v>
    <v>c5it27</v>
    <v>XNSE:MIDCAPETF</v>
    <v>1803</v>
  </rv>
  <rv s="1">
    <v>1</v>
    <v>MIDCAPETF</v>
    <v>Daily</v>
    <v>45194</v>
    <v>45194</v>
    <v>0</v>
    <v>1</v>
    <v>638311968000000000,639087303898783738,0</v>
    <v>0</v>
    <v>c5it27</v>
    <v>XNSE:MIDCAPETF</v>
    <v>1804</v>
  </rv>
  <rv s="1">
    <v>1</v>
    <v>MIDCAPETF</v>
    <v>Daily</v>
    <v>45103</v>
    <v>45103</v>
    <v>0</v>
    <v>1</v>
    <v>638233344000000000,639087303898863756,0</v>
    <v>0</v>
    <v>c5it27</v>
    <v>XNSE:MIDCAPETF</v>
    <v>1805</v>
  </rv>
  <rv s="1">
    <v>1</v>
    <v>MIDCAPETF</v>
    <v>Daily</v>
    <v>44648</v>
    <v>44648</v>
    <v>0</v>
    <v>1</v>
    <v>637840224000000000,639087303898993782,0</v>
    <v>0</v>
    <v>c5it27</v>
    <v>XNSE:MIDCAPETF</v>
    <v>1806</v>
  </rv>
  <rv s="1">
    <v>1</v>
    <v>MIDCAPETF</v>
    <v>Daily</v>
    <v>44991</v>
    <v>44991</v>
    <v>0</v>
    <v>1</v>
    <v>638136576000000000,639087303900137379,0</v>
    <v>0</v>
    <v>c5it27</v>
    <v>XNSE:MIDCAPETF</v>
    <v>1626</v>
  </rv>
  <rv s="1">
    <v>1</v>
    <v>MIDCAPETF</v>
    <v>Daily</v>
    <v>44662</v>
    <v>44662</v>
    <v>0</v>
    <v>1</v>
    <v>637852320000000000,639087303900605336,0</v>
    <v>0</v>
    <v>c5it27</v>
    <v>XNSE:MIDCAPETF</v>
    <v>1807</v>
  </rv>
  <rv s="1">
    <v>1</v>
    <v>MIDCAPETF</v>
    <v>Daily</v>
    <v>45334</v>
    <v>45334</v>
    <v>0</v>
    <v>1</v>
    <v>638432928000000000,639087303901063325,0</v>
    <v>0</v>
    <v>c5it27</v>
    <v>XNSE:MIDCAPETF</v>
    <v>1808</v>
  </rv>
  <rv s="1">
    <v>1</v>
    <v>MIDCAPETF</v>
    <v>Daily</v>
    <v>44937</v>
    <v>44937</v>
    <v>0</v>
    <v>1</v>
    <v>638089920000000000,639087303901533674,0</v>
    <v>0</v>
    <v>c5it27</v>
    <v>XNSE:MIDCAPETF</v>
    <v>1759</v>
  </rv>
  <rv s="1">
    <v>1</v>
    <v>MIDCAPETF</v>
    <v>Daily</v>
    <v>44923</v>
    <v>44923</v>
    <v>0</v>
    <v>1</v>
    <v>638077824000000000,639087303901760266,0</v>
    <v>0</v>
    <v>c5it27</v>
    <v>XNSE:MIDCAPETF</v>
    <v>1607</v>
  </rv>
  <rv s="1">
    <v>1</v>
    <v>MIDCAPETF</v>
    <v>Daily</v>
    <v>45355</v>
    <v>45355</v>
    <v>0</v>
    <v>1</v>
    <v>638451072000000000,639087303901099685,0</v>
    <v>0</v>
    <v>c5it27</v>
    <v>XNSE:MIDCAPETF</v>
    <v>1492</v>
  </rv>
  <rv s="1">
    <v>1</v>
    <v>MIDCAPETF</v>
    <v>Daily</v>
    <v>45755</v>
    <v>45755</v>
    <v>0</v>
    <v>1</v>
    <v>638796672000000000,639087303901139511,0</v>
    <v>0</v>
    <v>c5it27</v>
    <v>XNSE:MIDCAPETF</v>
    <v>1809</v>
  </rv>
  <rv s="1">
    <v>1</v>
    <v>MIDCAPETF</v>
    <v>Daily</v>
    <v>45159</v>
    <v>45159</v>
    <v>0</v>
    <v>1</v>
    <v>638281728000000000,639087303900975824,0</v>
    <v>0</v>
    <v>c5it27</v>
    <v>XNSE:MIDCAPETF</v>
    <v>1810</v>
  </rv>
  <rv s="1">
    <v>1</v>
    <v>MIDCAPETF</v>
    <v>Daily</v>
    <v>44942</v>
    <v>44942</v>
    <v>0</v>
    <v>1</v>
    <v>638094240000000000,639087303902644961,0</v>
    <v>0</v>
    <v>c5it27</v>
    <v>XNSE:MIDCAPETF</v>
    <v>1607</v>
  </rv>
  <rv s="1">
    <v>1</v>
    <v>MIDCAPETF</v>
    <v>Daily</v>
    <v>45656</v>
    <v>45656</v>
    <v>0</v>
    <v>1</v>
    <v>638711136000000000,639087303902953588,0</v>
    <v>0</v>
    <v>c5it27</v>
    <v>XNSE:MIDCAPETF</v>
    <v>1811</v>
  </rv>
  <rv s="1">
    <v>1</v>
    <v>MIDCAPETF</v>
    <v>Daily</v>
    <v>44725</v>
    <v>44725</v>
    <v>0</v>
    <v>1</v>
    <v>637906752000000000,639087303904985778,0</v>
    <v>0</v>
    <v>c5it27</v>
    <v>XNSE:MIDCAPETF</v>
    <v>1812</v>
  </rv>
  <rv s="1">
    <v>1</v>
    <v>MIDCAPETF</v>
    <v>Daily</v>
    <v>44998</v>
    <v>44998</v>
    <v>0</v>
    <v>1</v>
    <v>638142624000000000,639087303904585690,0</v>
    <v>0</v>
    <v>c5it27</v>
    <v>XNSE:MIDCAPETF</v>
    <v>1611</v>
  </rv>
  <rv s="1">
    <v>1</v>
    <v>MIDCAPETF</v>
    <v>Daily</v>
    <v>45026</v>
    <v>45026</v>
    <v>0</v>
    <v>1</v>
    <v>638166816000000000,639087303904144904,0</v>
    <v>0</v>
    <v>c5it27</v>
    <v>XNSE:MIDCAPETF</v>
    <v>1777</v>
  </rv>
  <rv s="1">
    <v>1</v>
    <v>MIDCAPETF</v>
    <v>Daily</v>
    <v>44795</v>
    <v>44795</v>
    <v>0</v>
    <v>1</v>
    <v>637967232000000000,639087303905526689,0</v>
    <v>0</v>
    <v>c5it27</v>
    <v>XNSE:MIDCAPETF</v>
    <v>1661</v>
  </rv>
  <rv s="1">
    <v>1</v>
    <v>MIDCAPETF</v>
    <v>Daily</v>
    <v>44690</v>
    <v>44690</v>
    <v>0</v>
    <v>1</v>
    <v>637876512000000000,639087303908017259,0</v>
    <v>0</v>
    <v>c5it27</v>
    <v>XNSE:MIDCAPETF</v>
    <v>1813</v>
  </rv>
  <rv s="1">
    <v>1</v>
    <v>MIDCAPETF</v>
    <v>Daily</v>
    <v>45278</v>
    <v>45278</v>
    <v>0</v>
    <v>1</v>
    <v>638384544000000000,639087303908686606,0</v>
    <v>0</v>
    <v>c5it27</v>
    <v>XNSE:MIDCAPETF</v>
    <v>1655</v>
  </rv>
  <rv s="1">
    <v>1</v>
    <v>MIDCAPETF</v>
    <v>Daily</v>
    <v>45523</v>
    <v>45523</v>
    <v>0</v>
    <v>1</v>
    <v>638596224000000000,639087303909076693,0</v>
    <v>0</v>
    <v>c5it27</v>
    <v>XNSE:MIDCAPETF</v>
    <v>1814</v>
  </rv>
  <rv s="1">
    <v>1</v>
    <v>MIDCAPETF</v>
    <v>Daily</v>
    <v>45110</v>
    <v>45110</v>
    <v>0</v>
    <v>1</v>
    <v>638239392000000000,639087303906055323,0</v>
    <v>0</v>
    <v>c5it27</v>
    <v>XNSE:MIDCAPETF</v>
    <v>1815</v>
  </rv>
  <rv s="1">
    <v>1</v>
    <v>MIDCAPETF</v>
    <v>Daily</v>
    <v>44781</v>
    <v>44781</v>
    <v>0</v>
    <v>1</v>
    <v>637955136000000000,639087303906205360,0</v>
    <v>0</v>
    <v>c5it27</v>
    <v>XNSE:MIDCAPETF</v>
    <v>1816</v>
  </rv>
  <rv s="1">
    <v>1</v>
    <v>MIDCAPETF</v>
    <v>Daily</v>
    <v>45138</v>
    <v>45138</v>
    <v>0</v>
    <v>1</v>
    <v>638263584000000000,639087303908654557,0</v>
    <v>0</v>
    <v>c5it27</v>
    <v>XNSE:MIDCAPETF</v>
    <v>1817</v>
  </rv>
  <rv s="1">
    <v>1</v>
    <v>MIDCAPETF</v>
    <v>Daily</v>
    <v>45187</v>
    <v>45187</v>
    <v>0</v>
    <v>1</v>
    <v>638305920000000000,639087303910697887,0</v>
    <v>0</v>
    <v>c5it27</v>
    <v>XNSE:MIDCAPETF</v>
    <v>1600</v>
  </rv>
  <rv s="1">
    <v>1</v>
    <v>MIDCAPETF</v>
    <v>Daily</v>
    <v>44774</v>
    <v>44774</v>
    <v>0</v>
    <v>1</v>
    <v>637949088000000000,639087303911478062,0</v>
    <v>0</v>
    <v>c5it27</v>
    <v>XNSE:MIDCAPETF</v>
    <v>1818</v>
  </rv>
  <rv s="1">
    <v>1</v>
    <v>MIDCAPETF</v>
    <v>Daily</v>
    <v>45271</v>
    <v>45271</v>
    <v>0</v>
    <v>1</v>
    <v>638378496000000000,639087303909504078,0</v>
    <v>0</v>
    <v>c5it27</v>
    <v>XNSE:MIDCAPETF</v>
    <v>1819</v>
  </rv>
  <rv s="1">
    <v>1</v>
    <v>MIDCAPETF</v>
    <v>Daily</v>
    <v>44858</v>
    <v>44858</v>
    <v>0</v>
    <v>1</v>
    <v>638021664000000000,639087303910436282,0</v>
    <v>0</v>
    <v>c5it27</v>
    <v>XNSE:MIDCAPETF</v>
    <v>1820</v>
  </rv>
  <rv s="1">
    <v>1</v>
    <v>MIDCAPETF</v>
    <v>Daily</v>
    <v>44719</v>
    <v>44719</v>
    <v>0</v>
    <v>1</v>
    <v>637901568000000000,639087303914128692,0</v>
    <v>0</v>
    <v>c5it27</v>
    <v>XNSE:MIDCAPETF</v>
    <v>1718</v>
  </rv>
  <rv s="1">
    <v>1</v>
    <v>MIDCAPETF</v>
    <v>Daily</v>
    <v>45061</v>
    <v>45061</v>
    <v>0</v>
    <v>1</v>
    <v>638197056000000000,639087303914518775,0</v>
    <v>0</v>
    <v>c5it27</v>
    <v>XNSE:MIDCAPETF</v>
    <v>1505</v>
  </rv>
  <rv s="1">
    <v>1</v>
    <v>MIDCAPETF</v>
    <v>Daily</v>
    <v>45516</v>
    <v>45516</v>
    <v>0</v>
    <v>1</v>
    <v>638590176000000000,639087303914044179,0</v>
    <v>0</v>
    <v>c5it27</v>
    <v>XNSE:MIDCAPETF</v>
    <v>1721</v>
  </rv>
  <rv s="1">
    <v>1</v>
    <v>MIDCAPETF</v>
    <v>Daily</v>
    <v>45173</v>
    <v>45173</v>
    <v>0</v>
    <v>1</v>
    <v>638293824000000000,639087303914217767,0</v>
    <v>0</v>
    <v>c5it27</v>
    <v>XNSE:MIDCAPETF</v>
    <v>1774</v>
  </rv>
  <rv s="1">
    <v>1</v>
    <v>MIDCAPETF</v>
    <v>Daily</v>
    <v>45019</v>
    <v>45019</v>
    <v>0</v>
    <v>1</v>
    <v>638160768000000000,639087303914729817,0</v>
    <v>0</v>
    <v>c5it27</v>
    <v>XNSE:MIDCAPETF</v>
    <v>1821</v>
  </rv>
  <rv s="1">
    <v>1</v>
    <v>MIDCAPETF</v>
    <v>Daily</v>
    <v>45663</v>
    <v>45663</v>
    <v>0</v>
    <v>1</v>
    <v>638717184000000000,639087303914148074,0</v>
    <v>0</v>
    <v>c5it27</v>
    <v>XNSE:MIDCAPETF</v>
    <v>1822</v>
  </rv>
  <rv s="1">
    <v>1</v>
    <v>MIDCAPETF</v>
    <v>Daily</v>
    <v>45243</v>
    <v>45243</v>
    <v>0</v>
    <v>1</v>
    <v>638354304000000000,639087303914530709,0</v>
    <v>0</v>
    <v>c5it27</v>
    <v>XNSE:MIDCAPETF</v>
    <v>1823</v>
  </rv>
  <rv s="1">
    <v>1</v>
    <v>MIDCAPETF</v>
    <v>Daily</v>
    <v>44669</v>
    <v>44669</v>
    <v>0</v>
    <v>1</v>
    <v>637858368000000000,639087303914987255,0</v>
    <v>0</v>
    <v>c5it27</v>
    <v>XNSE:MIDCAPETF</v>
    <v>1575</v>
  </rv>
  <rv s="1">
    <v>1</v>
    <v>MIDCAPETF</v>
    <v>Daily</v>
    <v>44739</v>
    <v>44739</v>
    <v>0</v>
    <v>1</v>
    <v>637918848000000000,639087303915287317,0</v>
    <v>0</v>
    <v>c5it27</v>
    <v>XNSE:MIDCAPETF</v>
    <v>1824</v>
  </rv>
  <rv s="1">
    <v>1</v>
    <v>MIDCAPETF</v>
    <v>Daily</v>
    <v>44767</v>
    <v>44767</v>
    <v>0</v>
    <v>1</v>
    <v>637943040000000000,639087303915596009,0</v>
    <v>0</v>
    <v>c5it27</v>
    <v>XNSE:MIDCAPETF</v>
    <v>1825</v>
  </rv>
  <rv s="1">
    <v>1</v>
    <v>MIDCAPETF</v>
    <v>Daily</v>
    <v>45215</v>
    <v>45215</v>
    <v>0</v>
    <v>1</v>
    <v>638330112000000000,639087303915199906,0</v>
    <v>0</v>
    <v>c5it27</v>
    <v>XNSE:MIDCAPETF</v>
    <v>1826</v>
  </rv>
  <rv s="1">
    <v>1</v>
    <v>MIDCAPETF</v>
    <v>Daily</v>
    <v>45418</v>
    <v>45418</v>
    <v>0</v>
    <v>1</v>
    <v>638505504000000000,639087303915239730,0</v>
    <v>0</v>
    <v>c5it27</v>
    <v>XNSE:MIDCAPETF</v>
    <v>1827</v>
  </rv>
  <rv s="1">
    <v>1</v>
    <v>MIDCAPETF</v>
    <v>Daily</v>
    <v>44944</v>
    <v>44944</v>
    <v>0</v>
    <v>1</v>
    <v>638095968000000000,639087303917208468,0</v>
    <v>0</v>
    <v>c5it27</v>
    <v>XNSE:MIDCAPETF</v>
    <v>1606</v>
  </rv>
  <rv s="1">
    <v>1</v>
    <v>MIDCAPETF</v>
    <v>Daily</v>
    <v>44663</v>
    <v>44663</v>
    <v>0</v>
    <v>1</v>
    <v>637853184000000000,639087303916364000,0</v>
    <v>0</v>
    <v>c5it27</v>
    <v>XNSE:MIDCAPETF</v>
    <v>1661</v>
  </rv>
  <rv s="1">
    <v>1</v>
    <v>MIDCAPETF</v>
    <v>Daily</v>
    <v>44746</v>
    <v>44746</v>
    <v>0</v>
    <v>1</v>
    <v>637924896000000000,639087303916438448,0</v>
    <v>0</v>
    <v>c5it27</v>
    <v>XNSE:MIDCAPETF</v>
    <v>1763</v>
  </rv>
  <rv s="1">
    <v>1</v>
    <v>MIDCAPETF</v>
    <v>Daily</v>
    <v>44656</v>
    <v>44656</v>
    <v>0</v>
    <v>1</v>
    <v>637847136000000000,639087303918618456,0</v>
    <v>0</v>
    <v>c5it27</v>
    <v>XNSE:MIDCAPETF</v>
    <v>1665</v>
  </rv>
  <rv s="1">
    <v>1</v>
    <v>MIDCAPETF</v>
    <v>Daily</v>
    <v>45327</v>
    <v>45327</v>
    <v>0</v>
    <v>1</v>
    <v>638426880000000000,639087303919616888,0</v>
    <v>0</v>
    <v>c5it27</v>
    <v>XNSE:MIDCAPETF</v>
    <v>1688</v>
  </rv>
  <rv s="1">
    <v>1</v>
    <v>MIDCAPETF</v>
    <v>Daily</v>
    <v>45222</v>
    <v>45222</v>
    <v>0</v>
    <v>1</v>
    <v>638336160000000000,639087303919538224,0</v>
    <v>0</v>
    <v>c5it27</v>
    <v>XNSE:MIDCAPETF</v>
    <v>1828</v>
  </rv>
  <rv s="1">
    <v>1</v>
    <v>MIDCAPETF</v>
    <v>Daily</v>
    <v>45474</v>
    <v>45474</v>
    <v>0</v>
    <v>1</v>
    <v>638553888000000000,639087303920629805,0</v>
    <v>0</v>
    <v>c5it27</v>
    <v>XNSE:MIDCAPETF</v>
    <v>1829</v>
  </rv>
  <rv s="1">
    <v>1</v>
    <v>MIDCAPETF</v>
    <v>Daily</v>
    <v>45293</v>
    <v>45293</v>
    <v>0</v>
    <v>1</v>
    <v>638397504000000000,639087303921117664,0</v>
    <v>0</v>
    <v>c5it27</v>
    <v>XNSE:MIDCAPETF</v>
    <v>1830</v>
  </rv>
  <rv s="1">
    <v>1</v>
    <v>MIDCAPETF</v>
    <v>Daily</v>
    <v>45572</v>
    <v>45572</v>
    <v>0</v>
    <v>1</v>
    <v>638638560000000000,639087303921585610,0</v>
    <v>0</v>
    <v>c5it27</v>
    <v>XNSE:MIDCAPETF</v>
    <v>1831</v>
  </rv>
  <rv s="1">
    <v>1</v>
    <v>MIDCAPETF</v>
    <v>Daily</v>
    <v>45481</v>
    <v>45481</v>
    <v>0</v>
    <v>1</v>
    <v>638559936000000000,639087303920231792,0</v>
    <v>0</v>
    <v>c5it27</v>
    <v>XNSE:MIDCAPETF</v>
    <v>1831</v>
  </rv>
  <rv s="1">
    <v>1</v>
    <v>MIDCAPETF</v>
    <v>Daily</v>
    <v>44683</v>
    <v>44683</v>
    <v>0</v>
    <v>1</v>
    <v>637870464000000000,639087303920928329,0</v>
    <v>0</v>
    <v>c5it27</v>
    <v>XNSE:MIDCAPETF</v>
    <v>1832</v>
  </rv>
  <rv s="1">
    <v>1</v>
    <v>MIDCAPETF</v>
    <v>Daily</v>
    <v>45145</v>
    <v>45145</v>
    <v>0</v>
    <v>1</v>
    <v>638269632000000000,639087303923970997,0</v>
    <v>0</v>
    <v>c5it27</v>
    <v>XNSE:MIDCAPETF</v>
    <v>1833</v>
  </rv>
  <rv s="1">
    <v>1</v>
    <v>MIDCAPETF</v>
    <v>Daily</v>
    <v>44928</v>
    <v>44928</v>
    <v>0</v>
    <v>1</v>
    <v>638082144000000000,639087303924391095,0</v>
    <v>0</v>
    <v>c5it27</v>
    <v>XNSE:MIDCAPETF</v>
    <v>1754</v>
  </rv>
  <rv s="1">
    <v>1</v>
    <v>MIDCAPETF</v>
    <v>Daily</v>
    <v>44677</v>
    <v>44677</v>
    <v>0</v>
    <v>1</v>
    <v>637865280000000000,639087303926220437,0</v>
    <v>0</v>
    <v>c5it27</v>
    <v>XNSE:MIDCAPETF</v>
    <v>1834</v>
  </rv>
  <rv s="1">
    <v>1</v>
    <v>MIDCAPETF</v>
    <v>Daily</v>
    <v>45552</v>
    <v>45552</v>
    <v>0</v>
    <v>1</v>
    <v>638621280000000000,639087303926610514,0</v>
    <v>0</v>
    <v>c5it27</v>
    <v>XNSE:MIDCAPETF</v>
    <v>1835</v>
  </rv>
  <rv s="1">
    <v>1</v>
    <v>MIDCAPETF</v>
    <v>Daily</v>
    <v>45600</v>
    <v>45600</v>
    <v>0</v>
    <v>1</v>
    <v>638662752000000000,639087303927400697,0</v>
    <v>0</v>
    <v>c5it27</v>
    <v>XNSE:MIDCAPETF</v>
    <v>1558</v>
  </rv>
  <rv s="1">
    <v>1</v>
    <v>MIDCAPETF</v>
    <v>Daily</v>
    <v>44802</v>
    <v>44802</v>
    <v>0</v>
    <v>1</v>
    <v>637973280000000000,639087303973013799,0</v>
    <v>0</v>
    <v>c5it27</v>
    <v>XNSE:MIDCAPETF</v>
    <v>1836</v>
  </rv>
  <rv s="1">
    <v>1</v>
    <v>MIDCAPETF</v>
    <v>Daily</v>
    <v>44844</v>
    <v>44844</v>
    <v>0</v>
    <v>1</v>
    <v>638009568000000000,639087303973089840,0</v>
    <v>0</v>
    <v>c5it27</v>
    <v>XNSE:MIDCAPETF</v>
    <v>1599</v>
  </rv>
  <rv s="1">
    <v>1</v>
    <v>MIDCAPETF</v>
    <v>Daily</v>
    <v>45642</v>
    <v>45642</v>
    <v>0</v>
    <v>1</v>
    <v>638699040000000000,639087303975593032,0</v>
    <v>0</v>
    <v>c5it27</v>
    <v>XNSE:MIDCAPETF</v>
    <v>1629</v>
  </rv>
  <rv s="1">
    <v>1</v>
    <v>MIDCAPETF</v>
    <v>Daily</v>
    <v>45530</v>
    <v>45530</v>
    <v>0</v>
    <v>1</v>
    <v>638602272000000000,639087303975958883,0</v>
    <v>0</v>
    <v>c5it27</v>
    <v>XNSE:MIDCAPETF</v>
    <v>1483</v>
  </rv>
  <rv s="1">
    <v>1</v>
    <v>MIDCAPETF</v>
    <v>Daily</v>
    <v>45446</v>
    <v>45446</v>
    <v>0</v>
    <v>1</v>
    <v>638529696000000000,639087303976328963,0</v>
    <v>0</v>
    <v>c5it27</v>
    <v>XNSE:MIDCAPETF</v>
    <v>1670</v>
  </rv>
  <rv s="1">
    <v>1</v>
    <v>MIDCAPETF</v>
    <v>Daily</v>
    <v>44670</v>
    <v>44670</v>
    <v>0</v>
    <v>1</v>
    <v>637859232000000000,639087303977413459,0</v>
    <v>0</v>
    <v>c5it27</v>
    <v>XNSE:MIDCAPETF</v>
    <v>1837</v>
  </rv>
  <rv s="1">
    <v>1</v>
    <v>MIDCAPETF</v>
    <v>Daily</v>
    <v>45614</v>
    <v>45614</v>
    <v>0</v>
    <v>1</v>
    <v>638674848000000000,639087303975797575,0</v>
    <v>0</v>
    <v>c5it27</v>
    <v>XNSE:MIDCAPETF</v>
    <v>1582</v>
  </rv>
  <rv s="1">
    <v>1</v>
    <v>MIDCAPETF</v>
    <v>Daily</v>
    <v>45040</v>
    <v>45040</v>
    <v>0</v>
    <v>1</v>
    <v>638178912000000000,639087303976548406,0</v>
    <v>0</v>
    <v>c5it27</v>
    <v>XNSE:MIDCAPETF</v>
    <v>1820</v>
  </rv>
  <rv s="1">
    <v>1</v>
    <v>MIDCAPETF</v>
    <v>Daily</v>
    <v>45180</v>
    <v>45180</v>
    <v>0</v>
    <v>1</v>
    <v>638299872000000000,639087303977189147,0</v>
    <v>0</v>
    <v>c5it27</v>
    <v>XNSE:MIDCAPETF</v>
    <v>1838</v>
  </rv>
  <rv s="1">
    <v>1</v>
    <v>MIDCAPETF</v>
    <v>Daily</v>
    <v>45152</v>
    <v>45152</v>
    <v>0</v>
    <v>1</v>
    <v>638275680000000000,639087303976040632,0</v>
    <v>0</v>
    <v>c5it27</v>
    <v>XNSE:MIDCAPETF</v>
    <v>1475</v>
  </rv>
  <rv s="1">
    <v>1</v>
    <v>MIDCAPETF</v>
    <v>Daily</v>
    <v>45468</v>
    <v>45468</v>
    <v>0</v>
    <v>1</v>
    <v>638548704000000000,639087303978495729,0</v>
    <v>0</v>
    <v>c5it27</v>
    <v>XNSE:MIDCAPETF</v>
    <v>1839</v>
  </rv>
  <rv s="1">
    <v>1</v>
    <v>MIDCAPETF</v>
    <v>Daily</v>
    <v>45684</v>
    <v>45684</v>
    <v>0</v>
    <v>1</v>
    <v>638735328000000000,639087303980391507,0</v>
    <v>0</v>
    <v>c5it27</v>
    <v>XNSE:MIDCAPETF</v>
    <v>1840</v>
  </rv>
  <rv s="1">
    <v>1</v>
    <v>MIDCAPETF</v>
    <v>Daily</v>
    <v>45467</v>
    <v>45467</v>
    <v>0</v>
    <v>1</v>
    <v>638547840000000000,639087303981544404,0</v>
    <v>0</v>
    <v>c5it27</v>
    <v>XNSE:MIDCAPETF</v>
    <v>1783</v>
  </rv>
  <rv s="1">
    <v>1</v>
    <v>MIDCAPETF</v>
    <v>Daily</v>
    <v>45628</v>
    <v>45628</v>
    <v>0</v>
    <v>1</v>
    <v>638686944000000000,639087303978290981,0</v>
    <v>0</v>
    <v>c5it27</v>
    <v>XNSE:MIDCAPETF</v>
    <v>1737</v>
  </rv>
  <rv s="1">
    <v>1</v>
    <v>MIDCAPETF</v>
    <v>Daily</v>
    <v>44943</v>
    <v>44943</v>
    <v>0</v>
    <v>1</v>
    <v>638095104000000000,639087303978310534,0</v>
    <v>0</v>
    <v>c5it27</v>
    <v>XNSE:MIDCAPETF</v>
    <v>1599</v>
  </rv>
  <rv s="1">
    <v>1</v>
    <v>MIDCAPETF</v>
    <v>Daily</v>
    <v>45068</v>
    <v>45068</v>
    <v>0</v>
    <v>1</v>
    <v>638203104000000000,639087303978333066,0</v>
    <v>0</v>
    <v>c5it27</v>
    <v>XNSE:MIDCAPETF</v>
    <v>1841</v>
  </rv>
  <rv s="1">
    <v>1</v>
    <v>MIDCAPETF</v>
    <v>Daily</v>
    <v>45439</v>
    <v>45439</v>
    <v>0</v>
    <v>1</v>
    <v>638523648000000000,639087303978370998,0</v>
    <v>0</v>
    <v>c5it27</v>
    <v>XNSE:MIDCAPETF</v>
    <v>1842</v>
  </rv>
  <rv s="1">
    <v>1</v>
    <v>MIDCAPETF</v>
    <v>Daily</v>
    <v>45635</v>
    <v>45635</v>
    <v>0</v>
    <v>1</v>
    <v>638692992000000000,639087303982201829,0</v>
    <v>0</v>
    <v>c5it27</v>
    <v>XNSE:MIDCAPETF</v>
    <v>1483</v>
  </rv>
  <rv s="1">
    <v>1</v>
    <v>MIDCAPETF</v>
    <v>Daily</v>
    <v>44900</v>
    <v>44900</v>
    <v>0</v>
    <v>1</v>
    <v>638057952000000000,639087303982291846,0</v>
    <v>0</v>
    <v>c5it27</v>
    <v>XNSE:MIDCAPETF</v>
    <v>1651</v>
  </rv>
  <rv s="1">
    <v>1</v>
    <v>MIDCAPETF</v>
    <v>Daily</v>
    <v>45124</v>
    <v>45124</v>
    <v>0</v>
    <v>1</v>
    <v>638251488000000000,639087303982391868,0</v>
    <v>0</v>
    <v>c5it27</v>
    <v>XNSE:MIDCAPETF</v>
    <v>1695</v>
  </rv>
  <rv s="1">
    <v>1</v>
    <v>MIDCAPETF</v>
    <v>Daily</v>
    <v>45733</v>
    <v>45733</v>
    <v>0</v>
    <v>1</v>
    <v>638777664000000000,639087303983892189,0</v>
    <v>0</v>
    <v>c5it27</v>
    <v>XNSE:MIDCAPETF</v>
    <v>1843</v>
  </rv>
  <rv s="1">
    <v>1</v>
    <v>MIDCAPETF</v>
    <v>Daily</v>
    <v>45670</v>
    <v>45670</v>
    <v>0</v>
    <v>1</v>
    <v>638723232000000000,639087303983968308,0</v>
    <v>0</v>
    <v>c5it27</v>
    <v>XNSE:MIDCAPETF</v>
    <v>1844</v>
  </rv>
  <rv s="1">
    <v>1</v>
    <v>MIDCAPETF</v>
    <v>Daily</v>
    <v>44935</v>
    <v>44935</v>
    <v>0</v>
    <v>1</v>
    <v>638088192000000000,639087303984042219,0</v>
    <v>0</v>
    <v>c5it27</v>
    <v>XNSE:MIDCAPETF</v>
    <v>1538</v>
  </rv>
  <rv s="1">
    <v>1</v>
    <v>MIDCAPETF</v>
    <v>Daily</v>
    <v>45740</v>
    <v>45740</v>
    <v>0</v>
    <v>1</v>
    <v>638783712000000000,639087303984122239,0</v>
    <v>0</v>
    <v>c5it27</v>
    <v>XNSE:MIDCAPETF</v>
    <v>1612</v>
  </rv>
  <rv s="1">
    <v>1</v>
    <v>MIDCAPETF</v>
    <v>Daily</v>
    <v>44726</v>
    <v>44726</v>
    <v>0</v>
    <v>1</v>
    <v>637907616000000000,639087303984162238,0</v>
    <v>0</v>
    <v>c5it27</v>
    <v>XNSE:MIDCAPETF</v>
    <v>1845</v>
  </rv>
  <rv s="1">
    <v>1</v>
    <v>MIDCAPETF</v>
    <v>Daily</v>
    <v>45649</v>
    <v>45649</v>
    <v>0</v>
    <v>1</v>
    <v>638705088000000000,639087303983370016,0</v>
    <v>0</v>
    <v>c5it27</v>
    <v>XNSE:MIDCAPETF</v>
    <v>1846</v>
  </rv>
  <rv s="1">
    <v>1</v>
    <v>MIDCAPETF</v>
    <v>Daily</v>
    <v>45621</v>
    <v>45621</v>
    <v>0</v>
    <v>1</v>
    <v>638680896000000000,639087303983474062,0</v>
    <v>0</v>
    <v>c5it27</v>
    <v>XNSE:MIDCAPETF</v>
    <v>1673</v>
  </rv>
  <rv s="1">
    <v>1</v>
    <v>MIDCAPETF</v>
    <v>Daily</v>
    <v>45453</v>
    <v>45453</v>
    <v>0</v>
    <v>1</v>
    <v>638535744000000000,639087303985056910,0</v>
    <v>0</v>
    <v>c5it27</v>
    <v>XNSE:MIDCAPETF</v>
    <v>1530</v>
  </rv>
  <rv s="1">
    <v>1</v>
    <v>MIDCAPETF</v>
    <v>Daily</v>
    <v>44760</v>
    <v>44760</v>
    <v>0</v>
    <v>1</v>
    <v>637936992000000000,639087303985285910,0</v>
    <v>0</v>
    <v>c5it27</v>
    <v>XNSE:MIDCAPETF</v>
    <v>1847</v>
  </rv>
  <rv s="1">
    <v>1</v>
    <v>MIDCAPETF</v>
    <v>Daily</v>
    <v>45097</v>
    <v>45097</v>
    <v>0</v>
    <v>1</v>
    <v>638228160000000000,639087303983182037,0</v>
    <v>0</v>
    <v>c5it27</v>
    <v>XNSE:MIDCAPETF</v>
    <v>1848</v>
  </rv>
  <rv s="1">
    <v>1</v>
    <v>MIDCAPETF</v>
    <v>Daily</v>
    <v>45083</v>
    <v>45083</v>
    <v>0</v>
    <v>1</v>
    <v>638216064000000000,639087303985047247,0</v>
    <v>0</v>
    <v>c5it27</v>
    <v>XNSE:MIDCAPETF</v>
    <v>1849</v>
  </rv>
  <rv s="1">
    <v>1</v>
    <v>MIDCAPETF</v>
    <v>Daily</v>
    <v>44909</v>
    <v>44909</v>
    <v>0</v>
    <v>1</v>
    <v>638065728000000000,639087303985067160,0</v>
    <v>0</v>
    <v>c5it27</v>
    <v>XNSE:MIDCAPETF</v>
    <v>1850</v>
  </rv>
  <rv s="1">
    <v>1</v>
    <v>MIDCAPETF</v>
    <v>Daily</v>
    <v>44893</v>
    <v>44893</v>
    <v>0</v>
    <v>1</v>
    <v>638051904000000000,639087303985086983,0</v>
    <v>0</v>
    <v>c5it27</v>
    <v>XNSE:MIDCAPETF</v>
    <v>1851</v>
  </rv>
  <rv s="1">
    <v>1</v>
    <v>MIDCAPETF</v>
    <v>Daily</v>
    <v>44886</v>
    <v>44886</v>
    <v>0</v>
    <v>1</v>
    <v>638045856000000000,639087303985156683,0</v>
    <v>0</v>
    <v>c5it27</v>
    <v>XNSE:MIDCAPETF</v>
    <v>1729</v>
  </rv>
  <rv s="1">
    <v>1</v>
    <v>MIDCAPETF</v>
    <v>Daily</v>
    <v>44872</v>
    <v>44872</v>
    <v>0</v>
    <v>1</v>
    <v>638033760000000000,639087303985246276,0</v>
    <v>0</v>
    <v>c5it27</v>
    <v>XNSE:MIDCAPETF</v>
    <v>1852</v>
  </rv>
  <rv s="1">
    <v>1</v>
    <v>MIDCAPETF</v>
    <v>Daily</v>
    <v>44865</v>
    <v>44865</v>
    <v>0</v>
    <v>1</v>
    <v>638027712000000000,639087303986530657,0</v>
    <v>0</v>
    <v>c5it27</v>
    <v>XNSE:MIDCAPETF</v>
    <v>1605</v>
  </rv>
  <rv s="1">
    <v>1</v>
    <v>MIDCAPETF</v>
    <v>Daily</v>
    <v>44732</v>
    <v>44732</v>
    <v>0</v>
    <v>1</v>
    <v>637912800000000000,639087303986590472,0</v>
    <v>0</v>
    <v>c5it27</v>
    <v>XNSE:MIDCAPETF</v>
    <v>1853</v>
  </rv>
  <rv s="1">
    <v>1</v>
    <v>MIDCAPETF</v>
    <v>Daily</v>
    <v>44718</v>
    <v>44718</v>
    <v>0</v>
    <v>1</v>
    <v>637900704000000000,639087303986630294,0</v>
    <v>0</v>
    <v>c5it27</v>
    <v>XNSE:MIDCAPETF</v>
    <v>1762</v>
  </rv>
  <rv s="1">
    <v>1</v>
    <v>MIDCAPETF</v>
    <v>Daily</v>
    <v>45742</v>
    <v>45742</v>
    <v>0</v>
    <v>1</v>
    <v>638785440000000000,639150494223257605,0</v>
    <v>0</v>
    <v>c5it27</v>
    <v>XNSE:MIDCAPETF</v>
    <v>1854</v>
  </rv>
  <rv s="1">
    <v>1</v>
    <v>MIDCAPETF</v>
    <v>Daily</v>
    <v>45250</v>
    <v>45250</v>
    <v>0</v>
    <v>1</v>
    <v>638360352000000000,639191690243879680,0</v>
    <v>0</v>
    <v>c5it27</v>
    <v>XNSE:MIDCAPETF</v>
    <v>1855</v>
  </rv>
  <rv s="1">
    <v>1</v>
    <v>MIDCAPETF</v>
    <v>Daily</v>
    <v>44945</v>
    <v>44945</v>
    <v>0</v>
    <v>1</v>
    <v>638096832000000000,639191690269331960,0</v>
    <v>0</v>
    <v>c5it27</v>
    <v>XNSE:MIDCAPETF</v>
    <v>1486</v>
  </rv>
  <rv s="1">
    <v>1</v>
    <v>MIDCAPETF</v>
    <v>Daily</v>
    <v>44914</v>
    <v>44914</v>
    <v>0</v>
    <v>1</v>
    <v>638070048000000000,639191690660945079,0</v>
    <v>0</v>
    <v>c5it27</v>
    <v>XNSE:MIDCAPETF</v>
    <v>1856</v>
  </rv>
  <rv s="1">
    <v>1</v>
    <v>GOLDBEES</v>
    <v>Daily</v>
    <v>45531</v>
    <v>45531</v>
    <v>0</v>
    <v>1</v>
    <v>638603136000000000,639087303705223466,0</v>
    <v>0</v>
    <v>ahhxpr</v>
    <v>XNSE:GOLDBEES</v>
    <v>1857</v>
  </rv>
  <rv s="1">
    <v>1</v>
    <v>GOLDBEES</v>
    <v>Daily</v>
    <v>44763</v>
    <v>44763</v>
    <v>0</v>
    <v>1</v>
    <v>637939584000000000,639087303705392703,0</v>
    <v>0</v>
    <v>ahhxpr</v>
    <v>XNSE:GOLDBEES</v>
    <v>1858</v>
  </rv>
  <rv s="1">
    <v>1</v>
    <v>GOLDBEES</v>
    <v>Daily</v>
    <v>45538</v>
    <v>45538</v>
    <v>0</v>
    <v>1</v>
    <v>638609184000000000,639087303705842965,0</v>
    <v>0</v>
    <v>ahhxpr</v>
    <v>XNSE:GOLDBEES</v>
    <v>1859</v>
  </rv>
  <rv s="1">
    <v>1</v>
    <v>GOLDBEES</v>
    <v>Daily</v>
    <v>45699</v>
    <v>45699</v>
    <v>0</v>
    <v>1</v>
    <v>638748288000000000,639087303706402635,0</v>
    <v>0</v>
    <v>ahhxpr</v>
    <v>XNSE:GOLDBEES</v>
    <v>1860</v>
  </rv>
  <rv s="1">
    <v>1</v>
    <v>GOLDBEES</v>
    <v>Daily</v>
    <v>45749</v>
    <v>45749</v>
    <v>0</v>
    <v>1</v>
    <v>638791488000000000,639087303706532657,0</v>
    <v>0</v>
    <v>ahhxpr</v>
    <v>XNSE:GOLDBEES</v>
    <v>1861</v>
  </rv>
  <rv s="1">
    <v>1</v>
    <v>GOLDBEES</v>
    <v>Daily</v>
    <v>45686</v>
    <v>45686</v>
    <v>0</v>
    <v>1</v>
    <v>638737056000000000,639087303706602354,0</v>
    <v>0</v>
    <v>ahhxpr</v>
    <v>XNSE:GOLDBEES</v>
    <v>1862</v>
  </rv>
  <rv s="1">
    <v>1</v>
    <v>GOLDBEES</v>
    <v>Daily</v>
    <v>45476</v>
    <v>45476</v>
    <v>0</v>
    <v>1</v>
    <v>638555616000000000,639087303707936634,0</v>
    <v>0</v>
    <v>ahhxpr</v>
    <v>XNSE:GOLDBEES</v>
    <v>1863</v>
  </rv>
  <rv s="1">
    <v>1</v>
    <v>GOLDBEES</v>
    <v>Daily</v>
    <v>44868</v>
    <v>44868</v>
    <v>0</v>
    <v>1</v>
    <v>638030304000000000,639087303708431564,0</v>
    <v>0</v>
    <v>ahhxpr</v>
    <v>XNSE:GOLDBEES</v>
    <v>1864</v>
  </rv>
  <rv s="1">
    <v>1</v>
    <v>GOLDBEES</v>
    <v>Daily</v>
    <v>44987</v>
    <v>44987</v>
    <v>0</v>
    <v>1</v>
    <v>638133120000000000,639087303709447121,0</v>
    <v>0</v>
    <v>ahhxpr</v>
    <v>XNSE:GOLDBEES</v>
    <v>1865</v>
  </rv>
  <rv s="1">
    <v>1</v>
    <v>GOLDBEES</v>
    <v>Daily</v>
    <v>45181</v>
    <v>45181</v>
    <v>0</v>
    <v>1</v>
    <v>638300736000000000,639087303708090861,0</v>
    <v>0</v>
    <v>ahhxpr</v>
    <v>XNSE:GOLDBEES</v>
    <v>1866</v>
  </rv>
  <rv s="1">
    <v>1</v>
    <v>GOLDBEES</v>
    <v>Daily</v>
    <v>45006</v>
    <v>45006</v>
    <v>0</v>
    <v>1</v>
    <v>638149536000000000,639087303708218892,0</v>
    <v>0</v>
    <v>ahhxpr</v>
    <v>XNSE:GOLDBEES</v>
    <v>1867</v>
  </rv>
  <rv s="1">
    <v>1</v>
    <v>GOLDBEES</v>
    <v>Daily</v>
    <v>45553</v>
    <v>45553</v>
    <v>0</v>
    <v>1</v>
    <v>638622144000000000,639087303713553149,0</v>
    <v>0</v>
    <v>ahhxpr</v>
    <v>XNSE:GOLDBEES</v>
    <v>1868</v>
  </rv>
  <rv s="1">
    <v>1</v>
    <v>GOLDBEES</v>
    <v>Daily</v>
    <v>45210</v>
    <v>45210</v>
    <v>0</v>
    <v>1</v>
    <v>638325792000000000,639087303711537940,0</v>
    <v>0</v>
    <v>ahhxpr</v>
    <v>XNSE:GOLDBEES</v>
    <v>1869</v>
  </rv>
  <rv s="1">
    <v>1</v>
    <v>GOLDBEES</v>
    <v>Daily</v>
    <v>45637</v>
    <v>45637</v>
    <v>0</v>
    <v>1</v>
    <v>638694720000000000,639087303711836688,0</v>
    <v>0</v>
    <v>ahhxpr</v>
    <v>XNSE:GOLDBEES</v>
    <v>1870</v>
  </rv>
  <rv s="1">
    <v>1</v>
    <v>GOLDBEES</v>
    <v>Daily</v>
    <v>45321</v>
    <v>45321</v>
    <v>0</v>
    <v>1</v>
    <v>638421696000000000,639087303711985973,0</v>
    <v>0</v>
    <v>ahhxpr</v>
    <v>XNSE:GOLDBEES</v>
    <v>1871</v>
  </rv>
  <rv s="1">
    <v>1</v>
    <v>GOLDBEES</v>
    <v>Daily</v>
    <v>44840</v>
    <v>44840</v>
    <v>0</v>
    <v>1</v>
    <v>638006112000000000,639087303712294617,0</v>
    <v>0</v>
    <v>ahhxpr</v>
    <v>XNSE:GOLDBEES</v>
    <v>1872</v>
  </rv>
  <rv s="1">
    <v>1</v>
    <v>GOLDBEES</v>
    <v>Daily</v>
    <v>45336</v>
    <v>45336</v>
    <v>0</v>
    <v>1</v>
    <v>638434656000000000,639087303712623168,0</v>
    <v>0</v>
    <v>ahhxpr</v>
    <v>XNSE:GOLDBEES</v>
    <v>1873</v>
  </rv>
  <rv s="1">
    <v>1</v>
    <v>GOLDBEES</v>
    <v>Daily</v>
    <v>44630</v>
    <v>44630</v>
    <v>0</v>
    <v>1</v>
    <v>637824672000000000,639087303712662959,0</v>
    <v>0</v>
    <v>ahhxpr</v>
    <v>XNSE:GOLDBEES</v>
    <v>1874</v>
  </rv>
  <rv s="1">
    <v>1</v>
    <v>GOLDBEES</v>
    <v>Daily</v>
    <v>44761</v>
    <v>44761</v>
    <v>0</v>
    <v>1</v>
    <v>637937856000000000,639087303713093058,0</v>
    <v>0</v>
    <v>ahhxpr</v>
    <v>XNSE:GOLDBEES</v>
    <v>1875</v>
  </rv>
  <rv s="1">
    <v>1</v>
    <v>GOLDBEES</v>
    <v>Daily</v>
    <v>45322</v>
    <v>45322</v>
    <v>0</v>
    <v>1</v>
    <v>638422560000000000,639087303713523144,0</v>
    <v>0</v>
    <v>ahhxpr</v>
    <v>XNSE:GOLDBEES</v>
    <v>1876</v>
  </rv>
  <rv s="1">
    <v>1</v>
    <v>GOLDBEES</v>
    <v>Daily</v>
    <v>45525</v>
    <v>45525</v>
    <v>0</v>
    <v>1</v>
    <v>638597952000000000,639087303714803961,0</v>
    <v>0</v>
    <v>ahhxpr</v>
    <v>XNSE:GOLDBEES</v>
    <v>1877</v>
  </rv>
  <rv s="1">
    <v>1</v>
    <v>GOLDBEES</v>
    <v>Daily</v>
    <v>45532</v>
    <v>45532</v>
    <v>0</v>
    <v>1</v>
    <v>638604000000000000,639087303715233530,0</v>
    <v>0</v>
    <v>ahhxpr</v>
    <v>XNSE:GOLDBEES</v>
    <v>1857</v>
  </rv>
  <rv s="1">
    <v>1</v>
    <v>GOLDBEES</v>
    <v>Daily</v>
    <v>45412</v>
    <v>45412</v>
    <v>0</v>
    <v>1</v>
    <v>638500320000000000,639087303715183527,0</v>
    <v>0</v>
    <v>ahhxpr</v>
    <v>XNSE:GOLDBEES</v>
    <v>1878</v>
  </rv>
  <rv s="1">
    <v>1</v>
    <v>GOLDBEES</v>
    <v>Daily</v>
    <v>44642</v>
    <v>44642</v>
    <v>0</v>
    <v>1</v>
    <v>637835040000000000,639087303711942565,0</v>
    <v>0</v>
    <v>ahhxpr</v>
    <v>XNSE:GOLDBEES</v>
    <v>1879</v>
  </rv>
  <rv s="1">
    <v>1</v>
    <v>GOLDBEES</v>
    <v>Daily</v>
    <v>45013</v>
    <v>45013</v>
    <v>0</v>
    <v>1</v>
    <v>638155584000000000,639087303711899098,0</v>
    <v>0</v>
    <v>ahhxpr</v>
    <v>XNSE:GOLDBEES</v>
    <v>1880</v>
  </rv>
  <rv s="1">
    <v>1</v>
    <v>GOLDBEES</v>
    <v>Daily</v>
    <v>45483</v>
    <v>45483</v>
    <v>0</v>
    <v>1</v>
    <v>638561664000000000,639087303711954951,0</v>
    <v>0</v>
    <v>ahhxpr</v>
    <v>XNSE:GOLDBEES</v>
    <v>1881</v>
  </rv>
  <rv s="1">
    <v>1</v>
    <v>GOLDBEES</v>
    <v>Daily</v>
    <v>45440</v>
    <v>45440</v>
    <v>0</v>
    <v>1</v>
    <v>638524512000000000,639087303712027991,0</v>
    <v>0</v>
    <v>ahhxpr</v>
    <v>XNSE:GOLDBEES</v>
    <v>1882</v>
  </rv>
  <rv s="1">
    <v>1</v>
    <v>GOLDBEES</v>
    <v>Daily</v>
    <v>44896</v>
    <v>44896</v>
    <v>0</v>
    <v>1</v>
    <v>638054496000000000,639087303712482631,0</v>
    <v>0</v>
    <v>ahhxpr</v>
    <v>XNSE:GOLDBEES</v>
    <v>1883</v>
  </rv>
  <rv s="1">
    <v>1</v>
    <v>GOLDBEES</v>
    <v>Daily</v>
    <v>45189</v>
    <v>45189</v>
    <v>0</v>
    <v>1</v>
    <v>638307648000000000,639087303712613215,0</v>
    <v>0</v>
    <v>ahhxpr</v>
    <v>XNSE:GOLDBEES</v>
    <v>1884</v>
  </rv>
  <rv s="1">
    <v>1</v>
    <v>GOLDBEES</v>
    <v>Daily</v>
    <v>45372</v>
    <v>45372</v>
    <v>0</v>
    <v>1</v>
    <v>638465760000000000,639087303712653029,0</v>
    <v>0</v>
    <v>ahhxpr</v>
    <v>XNSE:GOLDBEES</v>
    <v>1885</v>
  </rv>
  <rv s="1">
    <v>1</v>
    <v>GOLDBEES</v>
    <v>Daily</v>
    <v>45659</v>
    <v>45659</v>
    <v>0</v>
    <v>1</v>
    <v>638713728000000000,639087303712772519,0</v>
    <v>0</v>
    <v>ahhxpr</v>
    <v>XNSE:GOLDBEES</v>
    <v>1886</v>
  </rv>
  <rv s="1">
    <v>1</v>
    <v>GOLDBEES</v>
    <v>Daily</v>
    <v>45239</v>
    <v>45239</v>
    <v>0</v>
    <v>1</v>
    <v>638350848000000000,639087303714335679,0</v>
    <v>0</v>
    <v>ahhxpr</v>
    <v>XNSE:GOLDBEES</v>
    <v>1887</v>
  </rv>
  <rv s="1">
    <v>1</v>
    <v>GOLDBEES</v>
    <v>Daily</v>
    <v>45435</v>
    <v>45435</v>
    <v>0</v>
    <v>1</v>
    <v>638520192000000000,639087303714572537,0</v>
    <v>0</v>
    <v>ahhxpr</v>
    <v>XNSE:GOLDBEES</v>
    <v>1888</v>
  </rv>
  <rv s="1">
    <v>1</v>
    <v>GOLDBEES</v>
    <v>Daily</v>
    <v>44938</v>
    <v>44938</v>
    <v>0</v>
    <v>1</v>
    <v>638090784000000000,639087303715759430,0</v>
    <v>0</v>
    <v>ahhxpr</v>
    <v>XNSE:GOLDBEES</v>
    <v>1889</v>
  </rv>
  <rv s="1">
    <v>1</v>
    <v>GOLDBEES</v>
    <v>Daily</v>
    <v>45183</v>
    <v>45183</v>
    <v>0</v>
    <v>1</v>
    <v>638302464000000000,639087303715991245,0</v>
    <v>0</v>
    <v>ahhxpr</v>
    <v>XNSE:GOLDBEES</v>
    <v>1890</v>
  </rv>
  <rv s="1">
    <v>1</v>
    <v>GOLDBEES</v>
    <v>Daily</v>
    <v>45615</v>
    <v>45615</v>
    <v>0</v>
    <v>1</v>
    <v>638675712000000000,639087303717131134,0</v>
    <v>0</v>
    <v>ahhxpr</v>
    <v>XNSE:GOLDBEES</v>
    <v>1891</v>
  </rv>
  <rv s="1">
    <v>1</v>
    <v>GOLDBEES</v>
    <v>Daily</v>
    <v>45671</v>
    <v>45671</v>
    <v>0</v>
    <v>1</v>
    <v>638724096000000000,639087303717190872,0</v>
    <v>0</v>
    <v>ahhxpr</v>
    <v>XNSE:GOLDBEES</v>
    <v>1892</v>
  </rv>
  <rv s="1">
    <v>1</v>
    <v>GOLDBEES</v>
    <v>Daily</v>
    <v>45421</v>
    <v>45421</v>
    <v>0</v>
    <v>1</v>
    <v>638508096000000000,639087303718714914,0</v>
    <v>0</v>
    <v>ahhxpr</v>
    <v>XNSE:GOLDBEES</v>
    <v>1893</v>
  </rv>
  <rv s="1">
    <v>1</v>
    <v>GOLDBEES</v>
    <v>Daily</v>
    <v>44616</v>
    <v>44616</v>
    <v>0</v>
    <v>1</v>
    <v>637812576000000000,639087303719655135,0</v>
    <v>0</v>
    <v>ahhxpr</v>
    <v>XNSE:GOLDBEES</v>
    <v>1894</v>
  </rv>
  <rv s="1">
    <v>1</v>
    <v>GOLDBEES</v>
    <v>Daily</v>
    <v>45176</v>
    <v>45176</v>
    <v>0</v>
    <v>1</v>
    <v>638296416000000000,639087303721515581,0</v>
    <v>0</v>
    <v>ahhxpr</v>
    <v>XNSE:GOLDBEES</v>
    <v>1895</v>
  </rv>
  <rv s="1">
    <v>1</v>
    <v>GOLDBEES</v>
    <v>Daily</v>
    <v>45385</v>
    <v>45385</v>
    <v>0</v>
    <v>1</v>
    <v>638476992000000000,639087303718948251,0</v>
    <v>0</v>
    <v>ahhxpr</v>
    <v>XNSE:GOLDBEES</v>
    <v>1896</v>
  </rv>
  <rv s="1">
    <v>1</v>
    <v>GOLDBEES</v>
    <v>Daily</v>
    <v>45202</v>
    <v>45202</v>
    <v>0</v>
    <v>1</v>
    <v>638318880000000000,639087303719635241,0</v>
    <v>0</v>
    <v>ahhxpr</v>
    <v>XNSE:GOLDBEES</v>
    <v>1897</v>
  </rv>
  <rv s="1">
    <v>1</v>
    <v>GOLDBEES</v>
    <v>Daily</v>
    <v>45729</v>
    <v>45729</v>
    <v>0</v>
    <v>1</v>
    <v>638774208000000000,639087303718794031,0</v>
    <v>0</v>
    <v>ahhxpr</v>
    <v>XNSE:GOLDBEES</v>
    <v>1898</v>
  </rv>
  <rv s="1">
    <v>1</v>
    <v>GOLDBEES</v>
    <v>Daily</v>
    <v>45076</v>
    <v>45076</v>
    <v>0</v>
    <v>1</v>
    <v>638210016000000000,639087303719032963,0</v>
    <v>0</v>
    <v>ahhxpr</v>
    <v>XNSE:GOLDBEES</v>
    <v>1899</v>
  </rv>
  <rv s="1">
    <v>1</v>
    <v>GOLDBEES</v>
    <v>Daily</v>
    <v>45267</v>
    <v>45267</v>
    <v>0</v>
    <v>1</v>
    <v>638375040000000000,639087303719729921,0</v>
    <v>0</v>
    <v>ahhxpr</v>
    <v>XNSE:GOLDBEES</v>
    <v>1900</v>
  </rv>
  <rv s="1">
    <v>1</v>
    <v>GOLDBEES</v>
    <v>Daily</v>
    <v>45027</v>
    <v>45027</v>
    <v>0</v>
    <v>1</v>
    <v>638167680000000000,639087303720197854,0</v>
    <v>0</v>
    <v>ahhxpr</v>
    <v>XNSE:GOLDBEES</v>
    <v>1901</v>
  </rv>
  <rv s="1">
    <v>1</v>
    <v>GOLDBEES</v>
    <v>Daily</v>
    <v>45687</v>
    <v>45687</v>
    <v>0</v>
    <v>1</v>
    <v>638737920000000000,639087303722065078,0</v>
    <v>0</v>
    <v>ahhxpr</v>
    <v>XNSE:GOLDBEES</v>
    <v>1902</v>
  </rv>
  <rv s="1">
    <v>1</v>
    <v>GOLDBEES</v>
    <v>Daily</v>
    <v>45314</v>
    <v>45314</v>
    <v>0</v>
    <v>1</v>
    <v>638415648000000000,639087303720835417,0</v>
    <v>0</v>
    <v>ahhxpr</v>
    <v>XNSE:GOLDBEES</v>
    <v>1903</v>
  </rv>
  <rv s="1">
    <v>1</v>
    <v>GOLDBEES</v>
    <v>Daily</v>
    <v>45596</v>
    <v>45596</v>
    <v>0</v>
    <v>1</v>
    <v>638659296000000000,639087303722255754,0</v>
    <v>0</v>
    <v>ahhxpr</v>
    <v>XNSE:GOLDBEES</v>
    <v>1904</v>
  </rv>
  <rv s="1">
    <v>1</v>
    <v>GOLDBEES</v>
    <v>Daily</v>
    <v>45617</v>
    <v>45617</v>
    <v>0</v>
    <v>1</v>
    <v>638677440000000000,639087303719948964,0</v>
    <v>0</v>
    <v>ahhxpr</v>
    <v>XNSE:GOLDBEES</v>
    <v>1905</v>
  </rv>
  <rv s="1">
    <v>1</v>
    <v>GOLDBEES</v>
    <v>Daily</v>
    <v>45301</v>
    <v>45301</v>
    <v>0</v>
    <v>1</v>
    <v>638404416000000000,639087303720535347,0</v>
    <v>0</v>
    <v>ahhxpr</v>
    <v>XNSE:GOLDBEES</v>
    <v>1906</v>
  </rv>
  <rv s="1">
    <v>1</v>
    <v>GOLDBEES</v>
    <v>Daily</v>
    <v>44770</v>
    <v>44770</v>
    <v>0</v>
    <v>1</v>
    <v>637945632000000000,639087303721475571,0</v>
    <v>0</v>
    <v>ahhxpr</v>
    <v>XNSE:GOLDBEES</v>
    <v>1907</v>
  </rv>
  <rv s="1">
    <v>1</v>
    <v>GOLDBEES</v>
    <v>Daily</v>
    <v>44847</v>
    <v>44847</v>
    <v>0</v>
    <v>1</v>
    <v>638012160000000000,639087303723846129,0</v>
    <v>0</v>
    <v>ahhxpr</v>
    <v>XNSE:GOLDBEES</v>
    <v>1908</v>
  </rv>
  <rv s="1">
    <v>1</v>
    <v>GOLDBEES</v>
    <v>Daily</v>
    <v>45547</v>
    <v>45547</v>
    <v>0</v>
    <v>1</v>
    <v>638616960000000000,639087303724776348,0</v>
    <v>0</v>
    <v>ahhxpr</v>
    <v>XNSE:GOLDBEES</v>
    <v>1909</v>
  </rv>
  <rv s="1">
    <v>1</v>
    <v>GOLDBEES</v>
    <v>Daily</v>
    <v>44950</v>
    <v>44950</v>
    <v>0</v>
    <v>1</v>
    <v>638101152000000000,639087303721103693,0</v>
    <v>0</v>
    <v>ahhxpr</v>
    <v>XNSE:GOLDBEES</v>
    <v>1910</v>
  </rv>
  <rv s="1">
    <v>1</v>
    <v>GOLDBEES</v>
    <v>Daily</v>
    <v>45601</v>
    <v>45601</v>
    <v>0</v>
    <v>1</v>
    <v>638663616000000000,639087303721593758,0</v>
    <v>0</v>
    <v>ahhxpr</v>
    <v>XNSE:GOLDBEES</v>
    <v>1911</v>
  </rv>
  <rv s="1">
    <v>1</v>
    <v>GOLDBEES</v>
    <v>Daily</v>
    <v>45281</v>
    <v>45281</v>
    <v>0</v>
    <v>1</v>
    <v>638387136000000000,639087303721759511,0</v>
    <v>0</v>
    <v>ahhxpr</v>
    <v>XNSE:GOLDBEES</v>
    <v>1903</v>
  </rv>
  <rv s="1">
    <v>1</v>
    <v>GOLDBEES</v>
    <v>Daily</v>
    <v>45090</v>
    <v>45090</v>
    <v>0</v>
    <v>1</v>
    <v>638222112000000000,639087303721922315,0</v>
    <v>0</v>
    <v>ahhxpr</v>
    <v>XNSE:GOLDBEES</v>
    <v>1912</v>
  </rv>
  <rv s="1">
    <v>1</v>
    <v>GOLDBEES</v>
    <v>Daily</v>
    <v>45175</v>
    <v>45175</v>
    <v>0</v>
    <v>1</v>
    <v>638295552000000000,639087303721293973,0</v>
    <v>0</v>
    <v>ahhxpr</v>
    <v>XNSE:GOLDBEES</v>
    <v>1913</v>
  </rv>
  <rv s="1">
    <v>1</v>
    <v>GOLDBEES</v>
    <v>Daily</v>
    <v>45427</v>
    <v>45427</v>
    <v>0</v>
    <v>1</v>
    <v>638513280000000000,639087303723319063,0</v>
    <v>0</v>
    <v>ahhxpr</v>
    <v>XNSE:GOLDBEES</v>
    <v>1914</v>
  </rv>
  <rv s="1">
    <v>1</v>
    <v>GOLDBEES</v>
    <v>Daily</v>
    <v>44651</v>
    <v>44651</v>
    <v>0</v>
    <v>1</v>
    <v>637842816000000000,639087303724503857,0</v>
    <v>0</v>
    <v>ahhxpr</v>
    <v>XNSE:GOLDBEES</v>
    <v>1915</v>
  </rv>
  <rv s="1">
    <v>1</v>
    <v>GOLDBEES</v>
    <v>Daily</v>
    <v>45112</v>
    <v>45112</v>
    <v>0</v>
    <v>1</v>
    <v>638241120000000000,639087303725439737,0</v>
    <v>0</v>
    <v>ahhxpr</v>
    <v>XNSE:GOLDBEES</v>
    <v>1916</v>
  </rv>
  <rv s="1">
    <v>1</v>
    <v>GOLDBEES</v>
    <v>Daily</v>
    <v>44623</v>
    <v>44623</v>
    <v>0</v>
    <v>1</v>
    <v>637818624000000000,639087303727127772,0</v>
    <v>0</v>
    <v>ahhxpr</v>
    <v>XNSE:GOLDBEES</v>
    <v>1917</v>
  </rv>
  <rv s="1">
    <v>1</v>
    <v>GOLDBEES</v>
    <v>Daily</v>
    <v>45034</v>
    <v>45034</v>
    <v>0</v>
    <v>1</v>
    <v>638173728000000000,639087303724949021,0</v>
    <v>0</v>
    <v>ahhxpr</v>
    <v>XNSE:GOLDBEES</v>
    <v>1918</v>
  </rv>
  <rv s="1">
    <v>1</v>
    <v>GOLDBEES</v>
    <v>Daily</v>
    <v>45182</v>
    <v>45182</v>
    <v>0</v>
    <v>1</v>
    <v>638301600000000000,639087303727079660,0</v>
    <v>0</v>
    <v>ahhxpr</v>
    <v>XNSE:GOLDBEES</v>
    <v>1890</v>
  </rv>
  <rv s="1">
    <v>1</v>
    <v>GOLDBEES</v>
    <v>Daily</v>
    <v>45707</v>
    <v>45707</v>
    <v>0</v>
    <v>1</v>
    <v>638755200000000000,639087303726232327,0</v>
    <v>0</v>
    <v>ahhxpr</v>
    <v>XNSE:GOLDBEES</v>
    <v>1919</v>
  </rv>
  <rv s="1">
    <v>1</v>
    <v>GOLDBEES</v>
    <v>Daily</v>
    <v>44826</v>
    <v>44826</v>
    <v>0</v>
    <v>1</v>
    <v>637994016000000000,639087303726272148,0</v>
    <v>0</v>
    <v>ahhxpr</v>
    <v>XNSE:GOLDBEES</v>
    <v>1920</v>
  </rv>
  <rv s="1">
    <v>1</v>
    <v>GOLDBEES</v>
    <v>Daily</v>
    <v>44817</v>
    <v>44817</v>
    <v>0</v>
    <v>1</v>
    <v>637986240000000000,639087303726488758,0</v>
    <v>0</v>
    <v>ahhxpr</v>
    <v>XNSE:GOLDBEES</v>
    <v>1921</v>
  </rv>
  <rv s="1">
    <v>1</v>
    <v>GOLDBEES</v>
    <v>Daily</v>
    <v>45048</v>
    <v>45048</v>
    <v>0</v>
    <v>1</v>
    <v>638185824000000000,639087303726638093,0</v>
    <v>0</v>
    <v>ahhxpr</v>
    <v>XNSE:GOLDBEES</v>
    <v>1922</v>
  </rv>
  <rv s="1">
    <v>1</v>
    <v>GOLDBEES</v>
    <v>Daily</v>
    <v>45400</v>
    <v>45400</v>
    <v>0</v>
    <v>1</v>
    <v>638489952000000000,639087303728304281,0</v>
    <v>0</v>
    <v>ahhxpr</v>
    <v>XNSE:GOLDBEES</v>
    <v>1923</v>
  </rv>
  <rv s="1">
    <v>1</v>
    <v>GOLDBEES</v>
    <v>Daily</v>
    <v>45475</v>
    <v>45475</v>
    <v>0</v>
    <v>1</v>
    <v>638554752000000000,639087303728351836,0</v>
    <v>0</v>
    <v>ahhxpr</v>
    <v>XNSE:GOLDBEES</v>
    <v>1924</v>
  </rv>
  <rv s="1">
    <v>1</v>
    <v>GOLDBEES</v>
    <v>Daily</v>
    <v>45351</v>
    <v>45351</v>
    <v>0</v>
    <v>1</v>
    <v>638447616000000000,639087303728411574,0</v>
    <v>0</v>
    <v>ahhxpr</v>
    <v>XNSE:GOLDBEES</v>
    <v>1925</v>
  </rv>
  <rv s="1">
    <v>1</v>
    <v>GOLDBEES</v>
    <v>Daily</v>
    <v>44539</v>
    <v>44539</v>
    <v>0</v>
    <v>1</v>
    <v>637746048000000000,639087303727424655,0</v>
    <v>0</v>
    <v>ahhxpr</v>
    <v>XNSE:GOLDBEES</v>
    <v>1926</v>
  </rv>
  <rv s="1">
    <v>1</v>
    <v>GOLDBEES</v>
    <v>Daily</v>
    <v>45469</v>
    <v>45469</v>
    <v>0</v>
    <v>1</v>
    <v>638549568000000000,639087303727434610,0</v>
    <v>0</v>
    <v>ahhxpr</v>
    <v>XNSE:GOLDBEES</v>
    <v>1927</v>
  </rv>
  <rv s="1">
    <v>1</v>
    <v>GOLDBEES</v>
    <v>Daily</v>
    <v>45209</v>
    <v>45209</v>
    <v>0</v>
    <v>1</v>
    <v>638324928000000000,639087303727454533,0</v>
    <v>0</v>
    <v>ahhxpr</v>
    <v>XNSE:GOLDBEES</v>
    <v>1928</v>
  </rv>
  <rv s="1">
    <v>1</v>
    <v>GOLDBEES</v>
    <v>Daily</v>
    <v>44740</v>
    <v>44740</v>
    <v>0</v>
    <v>1</v>
    <v>637919712000000000,639087303727816433,0</v>
    <v>0</v>
    <v>ahhxpr</v>
    <v>XNSE:GOLDBEES</v>
    <v>1929</v>
  </rv>
  <rv s="1">
    <v>1</v>
    <v>GOLDBEES</v>
    <v>Daily</v>
    <v>45392</v>
    <v>45392</v>
    <v>0</v>
    <v>1</v>
    <v>638483040000000000,639087303727943638,0</v>
    <v>0</v>
    <v>ahhxpr</v>
    <v>XNSE:GOLDBEES</v>
    <v>1930</v>
  </rv>
  <rv s="1">
    <v>1</v>
    <v>GOLDBEES</v>
    <v>Daily</v>
    <v>45455</v>
    <v>45455</v>
    <v>0</v>
    <v>1</v>
    <v>638537472000000000,639087303730462814,0</v>
    <v>0</v>
    <v>ahhxpr</v>
    <v>XNSE:GOLDBEES</v>
    <v>1931</v>
  </rv>
  <rv s="1">
    <v>1</v>
    <v>GOLDBEES</v>
    <v>Daily</v>
    <v>45406</v>
    <v>45406</v>
    <v>0</v>
    <v>1</v>
    <v>638495136000000000,639087303731617749,0</v>
    <v>0</v>
    <v>ahhxpr</v>
    <v>XNSE:GOLDBEES</v>
    <v>1932</v>
  </rv>
  <rv s="1">
    <v>1</v>
    <v>GOLDBEES</v>
    <v>Daily</v>
    <v>44726</v>
    <v>44726</v>
    <v>0</v>
    <v>1</v>
    <v>637907616000000000,639087303730747036,0</v>
    <v>0</v>
    <v>ahhxpr</v>
    <v>XNSE:GOLDBEES</v>
    <v>1933</v>
  </rv>
  <rv s="1">
    <v>1</v>
    <v>GOLDBEES</v>
    <v>Daily</v>
    <v>45036</v>
    <v>45036</v>
    <v>0</v>
    <v>1</v>
    <v>638175456000000000,639087303731687258,0</v>
    <v>0</v>
    <v>ahhxpr</v>
    <v>XNSE:GOLDBEES</v>
    <v>1934</v>
  </rv>
  <rv s="1">
    <v>1</v>
    <v>GOLDBEES</v>
    <v>Daily</v>
    <v>45323</v>
    <v>45323</v>
    <v>0</v>
    <v>1</v>
    <v>638423424000000000,639087303732167361,0</v>
    <v>0</v>
    <v>ahhxpr</v>
    <v>XNSE:GOLDBEES</v>
    <v>1935</v>
  </rv>
  <rv s="1">
    <v>1</v>
    <v>GOLDBEES</v>
    <v>Daily</v>
    <v>44560</v>
    <v>44560</v>
    <v>0</v>
    <v>1</v>
    <v>637764192000000000,639087303731261291,0</v>
    <v>0</v>
    <v>ahhxpr</v>
    <v>XNSE:GOLDBEES</v>
    <v>1936</v>
  </rv>
  <rv s="1">
    <v>1</v>
    <v>GOLDBEES</v>
    <v>Daily</v>
    <v>44784</v>
    <v>44784</v>
    <v>0</v>
    <v>1</v>
    <v>637957728000000000,639087303730767780,0</v>
    <v>0</v>
    <v>ahhxpr</v>
    <v>XNSE:GOLDBEES</v>
    <v>1937</v>
  </rv>
  <rv s="1">
    <v>1</v>
    <v>GOLDBEES</v>
    <v>Daily</v>
    <v>44973</v>
    <v>44973</v>
    <v>0</v>
    <v>1</v>
    <v>638121024000000000,639087303731948067,0</v>
    <v>0</v>
    <v>ahhxpr</v>
    <v>XNSE:GOLDBEES</v>
    <v>1938</v>
  </rv>
  <rv s="1">
    <v>1</v>
    <v>GOLDBEES</v>
    <v>Daily</v>
    <v>45581</v>
    <v>45581</v>
    <v>0</v>
    <v>1</v>
    <v>638646336000000000,639087303733138356,0</v>
    <v>0</v>
    <v>ahhxpr</v>
    <v>XNSE:GOLDBEES</v>
    <v>1939</v>
  </rv>
  <rv s="1">
    <v>1</v>
    <v>GOLDBEES</v>
    <v>Daily</v>
    <v>45363</v>
    <v>45363</v>
    <v>0</v>
    <v>1</v>
    <v>638457984000000000,639087303731627718,0</v>
    <v>0</v>
    <v>ahhxpr</v>
    <v>XNSE:GOLDBEES</v>
    <v>1940</v>
  </rv>
  <rv s="1">
    <v>1</v>
    <v>GOLDBEES</v>
    <v>Daily</v>
    <v>45456</v>
    <v>45456</v>
    <v>0</v>
    <v>1</v>
    <v>638538336000000000,639087303731856711,0</v>
    <v>0</v>
    <v>ahhxpr</v>
    <v>XNSE:GOLDBEES</v>
    <v>1931</v>
  </rv>
  <rv s="1">
    <v>1</v>
    <v>GOLDBEES</v>
    <v>Daily</v>
    <v>45288</v>
    <v>45288</v>
    <v>0</v>
    <v>1</v>
    <v>638393184000000000,639087303732553659,0</v>
    <v>0</v>
    <v>ahhxpr</v>
    <v>XNSE:GOLDBEES</v>
    <v>1941</v>
  </rv>
  <rv s="1">
    <v>1</v>
    <v>GOLDBEES</v>
    <v>Daily</v>
    <v>45069</v>
    <v>45069</v>
    <v>0</v>
    <v>1</v>
    <v>638203968000000000,639087303733479579,0</v>
    <v>0</v>
    <v>ahhxpr</v>
    <v>XNSE:GOLDBEES</v>
    <v>1942</v>
  </rv>
  <rv s="1">
    <v>1</v>
    <v>GOLDBEES</v>
    <v>Daily</v>
    <v>45510</v>
    <v>45510</v>
    <v>0</v>
    <v>1</v>
    <v>638584992000000000,639087303733708591,0</v>
    <v>0</v>
    <v>ahhxpr</v>
    <v>XNSE:GOLDBEES</v>
    <v>1943</v>
  </rv>
  <rv s="1">
    <v>1</v>
    <v>GOLDBEES</v>
    <v>Daily</v>
    <v>44978</v>
    <v>44978</v>
    <v>0</v>
    <v>1</v>
    <v>638125344000000000,639087303731998046,0</v>
    <v>0</v>
    <v>ahhxpr</v>
    <v>XNSE:GOLDBEES</v>
    <v>1944</v>
  </rv>
  <rv s="1">
    <v>1</v>
    <v>GOLDBEES</v>
    <v>Daily</v>
    <v>45258</v>
    <v>45258</v>
    <v>0</v>
    <v>1</v>
    <v>638367264000000000,639087303732163853,0</v>
    <v>0</v>
    <v>ahhxpr</v>
    <v>XNSE:GOLDBEES</v>
    <v>1945</v>
  </rv>
  <rv s="1">
    <v>1</v>
    <v>GOLDBEES</v>
    <v>Daily</v>
    <v>45470</v>
    <v>45470</v>
    <v>0</v>
    <v>1</v>
    <v>638550432000000000,639087303732812256,0</v>
    <v>0</v>
    <v>ahhxpr</v>
    <v>XNSE:GOLDBEES</v>
    <v>1946</v>
  </rv>
  <rv s="1">
    <v>1</v>
    <v>GOLDBEES</v>
    <v>Daily</v>
    <v>45610</v>
    <v>45610</v>
    <v>0</v>
    <v>1</v>
    <v>638671392000000000,639087303732983717,0</v>
    <v>0</v>
    <v>ahhxpr</v>
    <v>XNSE:GOLDBEES</v>
    <v>1947</v>
  </rv>
  <rv s="1">
    <v>1</v>
    <v>GOLDBEES</v>
    <v>Daily</v>
    <v>44908</v>
    <v>44908</v>
    <v>0</v>
    <v>1</v>
    <v>638064864000000000,639087303732588223,0</v>
    <v>0</v>
    <v>ahhxpr</v>
    <v>XNSE:GOLDBEES</v>
    <v>1948</v>
  </rv>
  <rv s="1">
    <v>1</v>
    <v>GOLDBEES</v>
    <v>Daily</v>
    <v>44602</v>
    <v>44602</v>
    <v>0</v>
    <v>1</v>
    <v>637800480000000000,639087303734998808,0</v>
    <v>0</v>
    <v>ahhxpr</v>
    <v>XNSE:GOLDBEES</v>
    <v>1949</v>
  </rv>
  <rv s="1">
    <v>1</v>
    <v>GOLDBEES</v>
    <v>Daily</v>
    <v>45764</v>
    <v>45764</v>
    <v>0</v>
    <v>1</v>
    <v>638804448000000000,639087303732652951,0</v>
    <v>0</v>
    <v>ahhxpr</v>
    <v>XNSE:GOLDBEES</v>
    <v>1950</v>
  </rv>
  <rv s="1">
    <v>1</v>
    <v>GOLDBEES</v>
    <v>Daily</v>
    <v>45673</v>
    <v>45673</v>
    <v>0</v>
    <v>1</v>
    <v>638725824000000000,639087303732981517,0</v>
    <v>0</v>
    <v>ahhxpr</v>
    <v>XNSE:GOLDBEES</v>
    <v>1951</v>
  </rv>
  <rv s="1">
    <v>1</v>
    <v>GOLDBEES</v>
    <v>Daily</v>
    <v>45777</v>
    <v>45777</v>
    <v>0</v>
    <v>1</v>
    <v>638815680000000000,639087303733140809,0</v>
    <v>0</v>
    <v>ahhxpr</v>
    <v>XNSE:GOLDBEES</v>
    <v>1952</v>
  </rv>
  <rv s="1">
    <v>1</v>
    <v>GOLDBEES</v>
    <v>Daily</v>
    <v>45568</v>
    <v>45568</v>
    <v>0</v>
    <v>1</v>
    <v>638635104000000000,639087303732027917,0</v>
    <v>0</v>
    <v>ahhxpr</v>
    <v>XNSE:GOLDBEES</v>
    <v>1953</v>
  </rv>
  <rv s="1">
    <v>1</v>
    <v>GOLDBEES</v>
    <v>Daily</v>
    <v>45357</v>
    <v>45357</v>
    <v>0</v>
    <v>1</v>
    <v>638452800000000000,639087303732095400,0</v>
    <v>0</v>
    <v>ahhxpr</v>
    <v>XNSE:GOLDBEES</v>
    <v>1954</v>
  </rv>
  <rv s="1">
    <v>1</v>
    <v>GOLDBEES</v>
    <v>Daily</v>
    <v>45708</v>
    <v>45708</v>
    <v>0</v>
    <v>1</v>
    <v>638756064000000000,639087303732543434,0</v>
    <v>0</v>
    <v>ahhxpr</v>
    <v>XNSE:GOLDBEES</v>
    <v>1955</v>
  </rv>
  <rv s="1">
    <v>1</v>
    <v>GOLDBEES</v>
    <v>Daily</v>
    <v>45245</v>
    <v>45245</v>
    <v>0</v>
    <v>1</v>
    <v>638356032000000000,639087303732844327,0</v>
    <v>0</v>
    <v>ahhxpr</v>
    <v>XNSE:GOLDBEES</v>
    <v>1956</v>
  </rv>
  <rv s="1">
    <v>1</v>
    <v>GOLDBEES</v>
    <v>Daily</v>
    <v>45589</v>
    <v>45589</v>
    <v>0</v>
    <v>1</v>
    <v>638653248000000000,639087303732993673,0</v>
    <v>0</v>
    <v>ahhxpr</v>
    <v>XNSE:GOLDBEES</v>
    <v>1957</v>
  </rv>
  <rv s="1">
    <v>1</v>
    <v>GOLDBEES</v>
    <v>Daily</v>
    <v>45370</v>
    <v>45370</v>
    <v>0</v>
    <v>1</v>
    <v>638464032000000000,639087303733591050,0</v>
    <v>0</v>
    <v>ahhxpr</v>
    <v>XNSE:GOLDBEES</v>
    <v>1958</v>
  </rv>
  <rv s="1">
    <v>1</v>
    <v>GOLDBEES</v>
    <v>Daily</v>
    <v>45330</v>
    <v>45330</v>
    <v>0</v>
    <v>1</v>
    <v>638429472000000000,639087303736060207,0</v>
    <v>0</v>
    <v>ahhxpr</v>
    <v>XNSE:GOLDBEES</v>
    <v>1959</v>
  </rv>
  <rv s="1">
    <v>1</v>
    <v>GOLDBEES</v>
    <v>Daily</v>
    <v>44796</v>
    <v>44796</v>
    <v>0</v>
    <v>1</v>
    <v>637968096000000000,639087303736366637,0</v>
    <v>0</v>
    <v>ahhxpr</v>
    <v>XNSE:GOLDBEES</v>
    <v>1960</v>
  </rv>
  <rv s="1">
    <v>1</v>
    <v>GOLDBEES</v>
    <v>Daily</v>
    <v>45168</v>
    <v>45168</v>
    <v>0</v>
    <v>1</v>
    <v>638289504000000000,639087303737848639,0</v>
    <v>0</v>
    <v>ahhxpr</v>
    <v>XNSE:GOLDBEES</v>
    <v>1961</v>
  </rv>
  <rv s="1">
    <v>1</v>
    <v>GOLDBEES</v>
    <v>Daily</v>
    <v>45785</v>
    <v>45785</v>
    <v>0</v>
    <v>1</v>
    <v>638822592000000000,639087303738809735,0</v>
    <v>0</v>
    <v>ahhxpr</v>
    <v>XNSE:GOLDBEES</v>
    <v>1962</v>
  </rv>
  <rv s="1">
    <v>1</v>
    <v>GOLDBEES</v>
    <v>Daily</v>
    <v>45735</v>
    <v>45735</v>
    <v>0</v>
    <v>1</v>
    <v>638779392000000000,639087303736809248,0</v>
    <v>0</v>
    <v>ahhxpr</v>
    <v>XNSE:GOLDBEES</v>
    <v>1963</v>
  </rv>
  <rv s="1">
    <v>1</v>
    <v>GOLDBEES</v>
    <v>Daily</v>
    <v>45335</v>
    <v>45335</v>
    <v>0</v>
    <v>1</v>
    <v>638433792000000000,639087303737169335,0</v>
    <v>0</v>
    <v>ahhxpr</v>
    <v>XNSE:GOLDBEES</v>
    <v>1964</v>
  </rv>
  <rv s="1">
    <v>1</v>
    <v>GOLDBEES</v>
    <v>Daily</v>
    <v>45706</v>
    <v>45706</v>
    <v>0</v>
    <v>1</v>
    <v>638754336000000000,639087303741289420,0</v>
    <v>0</v>
    <v>ahhxpr</v>
    <v>XNSE:GOLDBEES</v>
    <v>1860</v>
  </rv>
  <rv s="1">
    <v>1</v>
    <v>GOLDBEES</v>
    <v>Daily</v>
    <v>45377</v>
    <v>45377</v>
    <v>0</v>
    <v>1</v>
    <v>638470080000000000,639087303741759522,0</v>
    <v>0</v>
    <v>ahhxpr</v>
    <v>XNSE:GOLDBEES</v>
    <v>1965</v>
  </rv>
  <rv s="1">
    <v>1</v>
    <v>GOLDBEES</v>
    <v>Daily</v>
    <v>45266</v>
    <v>45266</v>
    <v>0</v>
    <v>1</v>
    <v>638374176000000000,639087303738477367,0</v>
    <v>0</v>
    <v>ahhxpr</v>
    <v>XNSE:GOLDBEES</v>
    <v>1966</v>
  </rv>
  <rv s="1">
    <v>1</v>
    <v>GOLDBEES</v>
    <v>Daily</v>
    <v>45518</v>
    <v>45518</v>
    <v>0</v>
    <v>1</v>
    <v>638591904000000000,639087303738925397,0</v>
    <v>0</v>
    <v>ahhxpr</v>
    <v>XNSE:GOLDBEES</v>
    <v>1967</v>
  </rv>
  <rv s="1">
    <v>1</v>
    <v>GOLDBEES</v>
    <v>Daily</v>
    <v>44917</v>
    <v>44917</v>
    <v>0</v>
    <v>1</v>
    <v>638072640000000000,639087303737971805,0</v>
    <v>0</v>
    <v>ahhxpr</v>
    <v>XNSE:GOLDBEES</v>
    <v>1968</v>
  </rv>
  <rv s="1">
    <v>1</v>
    <v>GOLDBEES</v>
    <v>Daily</v>
    <v>44910</v>
    <v>44910</v>
    <v>0</v>
    <v>1</v>
    <v>638066592000000000,639087303738320280,0</v>
    <v>0</v>
    <v>ahhxpr</v>
    <v>XNSE:GOLDBEES</v>
    <v>1969</v>
  </rv>
  <rv s="1">
    <v>1</v>
    <v>GOLDBEES</v>
    <v>Daily</v>
    <v>44861</v>
    <v>44861</v>
    <v>0</v>
    <v>1</v>
    <v>638024256000000000,639087303741010261,0</v>
    <v>0</v>
    <v>ahhxpr</v>
    <v>XNSE:GOLDBEES</v>
    <v>1970</v>
  </rv>
  <rv s="1">
    <v>1</v>
    <v>GOLDBEES</v>
    <v>Daily</v>
    <v>44789</v>
    <v>44789</v>
    <v>0</v>
    <v>1</v>
    <v>637962048000000000,639087303742909778,0</v>
    <v>0</v>
    <v>ahhxpr</v>
    <v>XNSE:GOLDBEES</v>
    <v>1971</v>
  </rv>
  <rv s="1">
    <v>1</v>
    <v>GOLDBEES</v>
    <v>Daily</v>
    <v>45554</v>
    <v>45554</v>
    <v>0</v>
    <v>1</v>
    <v>638623008000000000,639087303738298155,0</v>
    <v>0</v>
    <v>ahhxpr</v>
    <v>XNSE:GOLDBEES</v>
    <v>1972</v>
  </rv>
  <rv s="1">
    <v>1</v>
    <v>GOLDBEES</v>
    <v>Daily</v>
    <v>45195</v>
    <v>45195</v>
    <v>0</v>
    <v>1</v>
    <v>638312832000000000,639087303749533929,0</v>
    <v>0</v>
    <v>ahhxpr</v>
    <v>XNSE:GOLDBEES</v>
    <v>1866</v>
  </rv>
  <rv s="1">
    <v>1</v>
    <v>GOLDBEES</v>
    <v>Daily</v>
    <v>45742</v>
    <v>45742</v>
    <v>0</v>
    <v>1</v>
    <v>638785440000000000,639087303749285023,0</v>
    <v>0</v>
    <v>ahhxpr</v>
    <v>XNSE:GOLDBEES</v>
    <v>1973</v>
  </rv>
  <rv s="1">
    <v>1</v>
    <v>GOLDBEES</v>
    <v>Daily</v>
    <v>45428</v>
    <v>45428</v>
    <v>0</v>
    <v>1</v>
    <v>638514144000000000,639087303748433624,0</v>
    <v>0</v>
    <v>ahhxpr</v>
    <v>XNSE:GOLDBEES</v>
    <v>1974</v>
  </rv>
  <rv s="1">
    <v>1</v>
    <v>GOLDBEES</v>
    <v>Daily</v>
    <v>44719</v>
    <v>44719</v>
    <v>0</v>
    <v>1</v>
    <v>637901568000000000,639087303748453535,0</v>
    <v>0</v>
    <v>ahhxpr</v>
    <v>XNSE:GOLDBEES</v>
    <v>1975</v>
  </rv>
  <rv s="1">
    <v>1</v>
    <v>GOLDBEES</v>
    <v>Daily</v>
    <v>45252</v>
    <v>45252</v>
    <v>0</v>
    <v>1</v>
    <v>638362080000000000,639087303749302025,0</v>
    <v>0</v>
    <v>ahhxpr</v>
    <v>XNSE:GOLDBEES</v>
    <v>1976</v>
  </rv>
  <rv s="1">
    <v>1</v>
    <v>GOLDBEES</v>
    <v>Daily</v>
    <v>45743</v>
    <v>45743</v>
    <v>0</v>
    <v>1</v>
    <v>638786304000000000,639087303749630567,0</v>
    <v>0</v>
    <v>ahhxpr</v>
    <v>XNSE:GOLDBEES</v>
    <v>1977</v>
  </rv>
  <rv s="1">
    <v>1</v>
    <v>GOLDBEES</v>
    <v>Daily</v>
    <v>45678</v>
    <v>45678</v>
    <v>0</v>
    <v>1</v>
    <v>638730144000000000,639087303749789883,0</v>
    <v>0</v>
    <v>ahhxpr</v>
    <v>XNSE:GOLDBEES</v>
    <v>1978</v>
  </rv>
  <rv s="1">
    <v>1</v>
    <v>GOLDBEES</v>
    <v>Daily</v>
    <v>44658</v>
    <v>44658</v>
    <v>0</v>
    <v>1</v>
    <v>637848864000000000,639087303750118437,0</v>
    <v>0</v>
    <v>ahhxpr</v>
    <v>XNSE:GOLDBEES</v>
    <v>1979</v>
  </rv>
  <rv s="1">
    <v>1</v>
    <v>GOLDBEES</v>
    <v>Daily</v>
    <v>45512</v>
    <v>45512</v>
    <v>0</v>
    <v>1</v>
    <v>638586720000000000,639087303748996093,0</v>
    <v>0</v>
    <v>ahhxpr</v>
    <v>XNSE:GOLDBEES</v>
    <v>1980</v>
  </rv>
  <rv s="1">
    <v>1</v>
    <v>GOLDBEES</v>
    <v>Daily</v>
    <v>45728</v>
    <v>45728</v>
    <v>0</v>
    <v>1</v>
    <v>638773344000000000,639087303749045883,0</v>
    <v>0</v>
    <v>ahhxpr</v>
    <v>XNSE:GOLDBEES</v>
    <v>1981</v>
  </rv>
  <rv s="1">
    <v>1</v>
    <v>GOLDBEES</v>
    <v>Daily</v>
    <v>44824</v>
    <v>44824</v>
    <v>0</v>
    <v>1</v>
    <v>637992288000000000,639087303749540984,0</v>
    <v>0</v>
    <v>ahhxpr</v>
    <v>XNSE:GOLDBEES</v>
    <v>1982</v>
  </rv>
  <rv s="1">
    <v>1</v>
    <v>GOLDBEES</v>
    <v>Daily</v>
    <v>45391</v>
    <v>45391</v>
    <v>0</v>
    <v>1</v>
    <v>638482176000000000,639087303749846301,0</v>
    <v>0</v>
    <v>ahhxpr</v>
    <v>XNSE:GOLDBEES</v>
    <v>1857</v>
  </rv>
  <rv s="1">
    <v>1</v>
    <v>GOLDBEES</v>
    <v>Daily</v>
    <v>45602</v>
    <v>45602</v>
    <v>0</v>
    <v>1</v>
    <v>638664480000000000,639087303751852844,0</v>
    <v>0</v>
    <v>ahhxpr</v>
    <v>XNSE:GOLDBEES</v>
    <v>1983</v>
  </rv>
  <rv s="1">
    <v>1</v>
    <v>GOLDBEES</v>
    <v>Daily</v>
    <v>44609</v>
    <v>44609</v>
    <v>0</v>
    <v>1</v>
    <v>637806528000000000,639087303753773309,0</v>
    <v>0</v>
    <v>ahhxpr</v>
    <v>XNSE:GOLDBEES</v>
    <v>1875</v>
  </rv>
  <rv s="1">
    <v>1</v>
    <v>GOLDBEES</v>
    <v>Daily</v>
    <v>45680</v>
    <v>45680</v>
    <v>0</v>
    <v>1</v>
    <v>638731872000000000,639087303754733544,0</v>
    <v>0</v>
    <v>ahhxpr</v>
    <v>XNSE:GOLDBEES</v>
    <v>1984</v>
  </rv>
  <rv s="1">
    <v>1</v>
    <v>GOLDBEES</v>
    <v>Daily</v>
    <v>45043</v>
    <v>45043</v>
    <v>0</v>
    <v>1</v>
    <v>638181504000000000,639087303750088765,0</v>
    <v>0</v>
    <v>ahhxpr</v>
    <v>XNSE:GOLDBEES</v>
    <v>1985</v>
  </rv>
  <rv s="1">
    <v>1</v>
    <v>GOLDBEES</v>
    <v>Daily</v>
    <v>44945</v>
    <v>44945</v>
    <v>0</v>
    <v>1</v>
    <v>638096832000000000,639087303750795668,0</v>
    <v>0</v>
    <v>ahhxpr</v>
    <v>XNSE:GOLDBEES</v>
    <v>1986</v>
  </rv>
  <rv s="1">
    <v>1</v>
    <v>GOLDBEES</v>
    <v>Daily</v>
    <v>45237</v>
    <v>45237</v>
    <v>0</v>
    <v>1</v>
    <v>638349120000000000,639087303751492613,0</v>
    <v>0</v>
    <v>ahhxpr</v>
    <v>XNSE:GOLDBEES</v>
    <v>1987</v>
  </rv>
  <rv s="1">
    <v>1</v>
    <v>GOLDBEES</v>
    <v>Daily</v>
    <v>44889</v>
    <v>44889</v>
    <v>0</v>
    <v>1</v>
    <v>638048448000000000,639087303750778349,0</v>
    <v>0</v>
    <v>ahhxpr</v>
    <v>XNSE:GOLDBEES</v>
    <v>1988</v>
  </rv>
  <rv s="1">
    <v>1</v>
    <v>GOLDBEES</v>
    <v>Daily</v>
    <v>45652</v>
    <v>45652</v>
    <v>0</v>
    <v>1</v>
    <v>638707680000000000,639087303750877917,0</v>
    <v>0</v>
    <v>ahhxpr</v>
    <v>XNSE:GOLDBEES</v>
    <v>1989</v>
  </rv>
  <rv s="1">
    <v>1</v>
    <v>GOLDBEES</v>
    <v>Daily</v>
    <v>45224</v>
    <v>45224</v>
    <v>0</v>
    <v>1</v>
    <v>638337888000000000,639087303753810403,0</v>
    <v>0</v>
    <v>ahhxpr</v>
    <v>XNSE:GOLDBEES</v>
    <v>1990</v>
  </rv>
  <rv s="1">
    <v>1</v>
    <v>GOLDBEES</v>
    <v>Daily</v>
    <v>45750</v>
    <v>45750</v>
    <v>0</v>
    <v>1</v>
    <v>638792352000000000,639087303755342190,0</v>
    <v>0</v>
    <v>ahhxpr</v>
    <v>XNSE:GOLDBEES</v>
    <v>1991</v>
  </rv>
  <rv s="1">
    <v>1</v>
    <v>GOLDBEES</v>
    <v>Daily</v>
    <v>44691</v>
    <v>44691</v>
    <v>0</v>
    <v>1</v>
    <v>637877376000000000,639087303759868550,0</v>
    <v>0</v>
    <v>ahhxpr</v>
    <v>XNSE:GOLDBEES</v>
    <v>1992</v>
  </rv>
  <rv s="1">
    <v>1</v>
    <v>GOLDBEES</v>
    <v>Daily</v>
    <v>45071</v>
    <v>45071</v>
    <v>0</v>
    <v>1</v>
    <v>638205696000000000,639087303757364382,0</v>
    <v>0</v>
    <v>ahhxpr</v>
    <v>XNSE:GOLDBEES</v>
    <v>1993</v>
  </rv>
  <rv s="1">
    <v>1</v>
    <v>GOLDBEES</v>
    <v>Daily</v>
    <v>45057</v>
    <v>45057</v>
    <v>0</v>
    <v>1</v>
    <v>638193600000000000,639087303757424122,0</v>
    <v>0</v>
    <v>ahhxpr</v>
    <v>XNSE:GOLDBEES</v>
    <v>1994</v>
  </rv>
  <rv s="1">
    <v>1</v>
    <v>GOLDBEES</v>
    <v>Daily</v>
    <v>45771</v>
    <v>45771</v>
    <v>0</v>
    <v>1</v>
    <v>638810496000000000,639087303757483862,0</v>
    <v>0</v>
    <v>ahhxpr</v>
    <v>XNSE:GOLDBEES</v>
    <v>1995</v>
  </rv>
  <rv s="1">
    <v>1</v>
    <v>GOLDBEES</v>
    <v>Daily</v>
    <v>45722</v>
    <v>45722</v>
    <v>0</v>
    <v>1</v>
    <v>638768160000000000,639087303757468975,0</v>
    <v>0</v>
    <v>ahhxpr</v>
    <v>XNSE:GOLDBEES</v>
    <v>1996</v>
  </rv>
  <rv s="1">
    <v>1</v>
    <v>GOLDBEES</v>
    <v>Daily</v>
    <v>45756</v>
    <v>45756</v>
    <v>0</v>
    <v>1</v>
    <v>638797536000000000,639087303757598445,0</v>
    <v>0</v>
    <v>ahhxpr</v>
    <v>XNSE:GOLDBEES</v>
    <v>1997</v>
  </rv>
  <rv s="1">
    <v>1</v>
    <v>GOLDBEES</v>
    <v>Daily</v>
    <v>44931</v>
    <v>44931</v>
    <v>0</v>
    <v>1</v>
    <v>638084736000000000,639087303757618337,0</v>
    <v>0</v>
    <v>ahhxpr</v>
    <v>XNSE:GOLDBEES</v>
    <v>1998</v>
  </rv>
  <rv s="1">
    <v>1</v>
    <v>GOLDBEES</v>
    <v>Daily</v>
    <v>45253</v>
    <v>45253</v>
    <v>0</v>
    <v>1</v>
    <v>638362944000000000,639087303757678076,0</v>
    <v>0</v>
    <v>ahhxpr</v>
    <v>XNSE:GOLDBEES</v>
    <v>1999</v>
  </rv>
  <rv s="1">
    <v>1</v>
    <v>GOLDBEES</v>
    <v>Daily</v>
    <v>45405</v>
    <v>45405</v>
    <v>0</v>
    <v>1</v>
    <v>638494272000000000,639087303757827378,0</v>
    <v>0</v>
    <v>ahhxpr</v>
    <v>XNSE:GOLDBEES</v>
    <v>2000</v>
  </rv>
  <rv s="1">
    <v>1</v>
    <v>GOLDBEES</v>
    <v>Daily</v>
    <v>44875</v>
    <v>44875</v>
    <v>0</v>
    <v>1</v>
    <v>638036352000000000,639087303758134371,0</v>
    <v>0</v>
    <v>ahhxpr</v>
    <v>XNSE:GOLDBEES</v>
    <v>2001</v>
  </rv>
  <rv s="1">
    <v>1</v>
    <v>GOLDBEES</v>
    <v>Daily</v>
    <v>44833</v>
    <v>44833</v>
    <v>0</v>
    <v>1</v>
    <v>638000064000000000,639087303758554470,0</v>
    <v>0</v>
    <v>ahhxpr</v>
    <v>XNSE:GOLDBEES</v>
    <v>2002</v>
  </rv>
  <rv s="1">
    <v>1</v>
    <v>GOLDBEES</v>
    <v>Daily</v>
    <v>44686</v>
    <v>44686</v>
    <v>0</v>
    <v>1</v>
    <v>637873056000000000,639087303759384672,0</v>
    <v>0</v>
    <v>ahhxpr</v>
    <v>XNSE:GOLDBEES</v>
    <v>2003</v>
  </rv>
  <rv s="1">
    <v>1</v>
    <v>GOLDBEES</v>
    <v>Daily</v>
    <v>45672</v>
    <v>45672</v>
    <v>0</v>
    <v>1</v>
    <v>638724960000000000,639087303761065083,0</v>
    <v>0</v>
    <v>ahhxpr</v>
    <v>XNSE:GOLDBEES</v>
    <v>2004</v>
  </rv>
  <rv s="1">
    <v>1</v>
    <v>GOLDBEES</v>
    <v>Daily</v>
    <v>45358</v>
    <v>45358</v>
    <v>0</v>
    <v>1</v>
    <v>638453664000000000,639087303761015073,0</v>
    <v>0</v>
    <v>ahhxpr</v>
    <v>XNSE:GOLDBEES</v>
    <v>2005</v>
  </rv>
  <rv s="1">
    <v>1</v>
    <v>GOLDBEES</v>
    <v>Daily</v>
    <v>45384</v>
    <v>45384</v>
    <v>0</v>
    <v>1</v>
    <v>638476128000000000,639087303762764258,0</v>
    <v>0</v>
    <v>ahhxpr</v>
    <v>XNSE:GOLDBEES</v>
    <v>2006</v>
  </rv>
  <rv s="1">
    <v>1</v>
    <v>GOLDBEES</v>
    <v>Daily</v>
    <v>45265</v>
    <v>45265</v>
    <v>0</v>
    <v>1</v>
    <v>638373312000000000,639087303764854737,0</v>
    <v>0</v>
    <v>ahhxpr</v>
    <v>XNSE:GOLDBEES</v>
    <v>2007</v>
  </rv>
  <rv s="1">
    <v>1</v>
    <v>GOLDBEES</v>
    <v>Daily</v>
    <v>45230</v>
    <v>45230</v>
    <v>0</v>
    <v>1</v>
    <v>638343072000000000,639087303765274824,0</v>
    <v>0</v>
    <v>ahhxpr</v>
    <v>XNSE:GOLDBEES</v>
    <v>2008</v>
  </rv>
  <rv s="1">
    <v>1</v>
    <v>GOLDBEES</v>
    <v>Daily</v>
    <v>45603</v>
    <v>45603</v>
    <v>0</v>
    <v>1</v>
    <v>638665344000000000,639087303761617898,0</v>
    <v>0</v>
    <v>ahhxpr</v>
    <v>XNSE:GOLDBEES</v>
    <v>2009</v>
  </rv>
  <rv s="1">
    <v>1</v>
    <v>GOLDBEES</v>
    <v>Daily</v>
    <v>45302</v>
    <v>45302</v>
    <v>0</v>
    <v>1</v>
    <v>638405280000000000,639087303766865183,0</v>
    <v>0</v>
    <v>ahhxpr</v>
    <v>XNSE:GOLDBEES</v>
    <v>2010</v>
  </rv>
  <rv s="1">
    <v>1</v>
    <v>GOLDBEES</v>
    <v>Daily</v>
    <v>44777</v>
    <v>44777</v>
    <v>0</v>
    <v>1</v>
    <v>637951680000000000,639087303764684690,0</v>
    <v>0</v>
    <v>ahhxpr</v>
    <v>XNSE:GOLDBEES</v>
    <v>2011</v>
  </rv>
  <rv s="1">
    <v>1</v>
    <v>GOLDBEES</v>
    <v>Daily</v>
    <v>45721</v>
    <v>45721</v>
    <v>0</v>
    <v>1</v>
    <v>638767296000000000,639087303767485322,0</v>
    <v>0</v>
    <v>ahhxpr</v>
    <v>XNSE:GOLDBEES</v>
    <v>2012</v>
  </rv>
  <rv s="1">
    <v>1</v>
    <v>GOLDBEES</v>
    <v>Daily</v>
    <v>44707</v>
    <v>44707</v>
    <v>0</v>
    <v>1</v>
    <v>637891200000000000,639087303764275863,0</v>
    <v>0</v>
    <v>ahhxpr</v>
    <v>XNSE:GOLDBEES</v>
    <v>2013</v>
  </rv>
  <rv s="1">
    <v>1</v>
    <v>GOLDBEES</v>
    <v>Daily</v>
    <v>45433</v>
    <v>45433</v>
    <v>0</v>
    <v>1</v>
    <v>638518464000000000,639087303765676204,0</v>
    <v>0</v>
    <v>ahhxpr</v>
    <v>XNSE:GOLDBEES</v>
    <v>2014</v>
  </rv>
  <rv s="1">
    <v>1</v>
    <v>GOLDBEES</v>
    <v>Daily</v>
    <v>45505</v>
    <v>45505</v>
    <v>0</v>
    <v>1</v>
    <v>638580672000000000,639087303767086545,0</v>
    <v>0</v>
    <v>ahhxpr</v>
    <v>XNSE:GOLDBEES</v>
    <v>2015</v>
  </rv>
  <rv s="1">
    <v>1</v>
    <v>GOLDBEES</v>
    <v>Daily</v>
    <v>45784</v>
    <v>45784</v>
    <v>0</v>
    <v>1</v>
    <v>638821728000000000,639087303765627068,0</v>
    <v>0</v>
    <v>ahhxpr</v>
    <v>XNSE:GOLDBEES</v>
    <v>2016</v>
  </rv>
  <rv s="1">
    <v>1</v>
    <v>GOLDBEES</v>
    <v>Daily</v>
    <v>45491</v>
    <v>45491</v>
    <v>0</v>
    <v>1</v>
    <v>638568576000000000,639087303766433602,0</v>
    <v>0</v>
    <v>ahhxpr</v>
    <v>XNSE:GOLDBEES</v>
    <v>2017</v>
  </rv>
  <rv s="1">
    <v>1</v>
    <v>GOLDBEES</v>
    <v>Daily</v>
    <v>45008</v>
    <v>45008</v>
    <v>0</v>
    <v>1</v>
    <v>638151264000000000,639087303767226233,0</v>
    <v>0</v>
    <v>ahhxpr</v>
    <v>XNSE:GOLDBEES</v>
    <v>2018</v>
  </rv>
  <rv s="1">
    <v>1</v>
    <v>GOLDBEES</v>
    <v>Daily</v>
    <v>45174</v>
    <v>45174</v>
    <v>0</v>
    <v>1</v>
    <v>638294688000000000,639087303767495049,0</v>
    <v>0</v>
    <v>ahhxpr</v>
    <v>XNSE:GOLDBEES</v>
    <v>2019</v>
  </rv>
  <rv s="1">
    <v>1</v>
    <v>GOLDBEES</v>
    <v>Daily</v>
    <v>45624</v>
    <v>45624</v>
    <v>0</v>
    <v>1</v>
    <v>638683488000000000,639087303767733996,0</v>
    <v>0</v>
    <v>ahhxpr</v>
    <v>XNSE:GOLDBEES</v>
    <v>2020</v>
  </rv>
  <rv s="1">
    <v>1</v>
    <v>GOLDBEES</v>
    <v>Daily</v>
    <v>45379</v>
    <v>45379</v>
    <v>0</v>
    <v>1</v>
    <v>638471808000000000,639087303767972946,0</v>
    <v>0</v>
    <v>ahhxpr</v>
    <v>XNSE:GOLDBEES</v>
    <v>2021</v>
  </rv>
  <rv s="1">
    <v>1</v>
    <v>GOLDBEES</v>
    <v>Daily</v>
    <v>45650</v>
    <v>45650</v>
    <v>0</v>
    <v>1</v>
    <v>638705952000000000,639087303768211902,0</v>
    <v>0</v>
    <v>ahhxpr</v>
    <v>XNSE:GOLDBEES</v>
    <v>2022</v>
  </rv>
  <rv s="1">
    <v>1</v>
    <v>GOLDBEES</v>
    <v>Daily</v>
    <v>44553</v>
    <v>44553</v>
    <v>0</v>
    <v>1</v>
    <v>637758144000000000,639087303770628307,0</v>
    <v>0</v>
    <v>ahhxpr</v>
    <v>XNSE:GOLDBEES</v>
    <v>2023</v>
  </rv>
  <rv s="1">
    <v>1</v>
    <v>GOLDBEES</v>
    <v>Daily</v>
    <v>45022</v>
    <v>45022</v>
    <v>0</v>
    <v>1</v>
    <v>638163360000000000,639087303769085098,0</v>
    <v>0</v>
    <v>ahhxpr</v>
    <v>XNSE:GOLDBEES</v>
    <v>2024</v>
  </rv>
  <rv s="1">
    <v>1</v>
    <v>GOLDBEES</v>
    <v>Daily</v>
    <v>45561</v>
    <v>45561</v>
    <v>0</v>
    <v>1</v>
    <v>638629056000000000,639087303769144837,0</v>
    <v>0</v>
    <v>ahhxpr</v>
    <v>XNSE:GOLDBEES</v>
    <v>2025</v>
  </rv>
  <rv s="1">
    <v>1</v>
    <v>GOLDBEES</v>
    <v>Daily</v>
    <v>45329</v>
    <v>45329</v>
    <v>0</v>
    <v>1</v>
    <v>638428608000000000,639087303769214525,0</v>
    <v>0</v>
    <v>ahhxpr</v>
    <v>XNSE:GOLDBEES</v>
    <v>2026</v>
  </rv>
  <rv s="1">
    <v>1</v>
    <v>GOLDBEES</v>
    <v>Daily</v>
    <v>45694</v>
    <v>45694</v>
    <v>0</v>
    <v>1</v>
    <v>638743968000000000,639087303770153450,0</v>
    <v>0</v>
    <v>ahhxpr</v>
    <v>XNSE:GOLDBEES</v>
    <v>2027</v>
  </rv>
  <rv s="1">
    <v>1</v>
    <v>GOLDBEES</v>
    <v>Daily</v>
    <v>44749</v>
    <v>44749</v>
    <v>0</v>
    <v>1</v>
    <v>637927488000000000,639087303770292851,0</v>
    <v>0</v>
    <v>ahhxpr</v>
    <v>XNSE:GOLDBEES</v>
    <v>2028</v>
  </rv>
  <rv s="1">
    <v>1</v>
    <v>GOLDBEES</v>
    <v>Daily</v>
    <v>45588</v>
    <v>45588</v>
    <v>0</v>
    <v>1</v>
    <v>638652384000000000,639087303772015183,0</v>
    <v>0</v>
    <v>ahhxpr</v>
    <v>XNSE:GOLDBEES</v>
    <v>2029</v>
  </rv>
  <rv s="1">
    <v>1</v>
    <v>GOLDBEES</v>
    <v>Daily</v>
    <v>45477</v>
    <v>45477</v>
    <v>0</v>
    <v>1</v>
    <v>638556480000000000,639087303772251512,0</v>
    <v>0</v>
    <v>ahhxpr</v>
    <v>XNSE:GOLDBEES</v>
    <v>2030</v>
  </rv>
  <rv s="1">
    <v>1</v>
    <v>GOLDBEES</v>
    <v>Daily</v>
    <v>45442</v>
    <v>45442</v>
    <v>0</v>
    <v>1</v>
    <v>638526240000000000,639087303772719456,0</v>
    <v>0</v>
    <v>ahhxpr</v>
    <v>XNSE:GOLDBEES</v>
    <v>2031</v>
  </rv>
  <rv s="1">
    <v>1</v>
    <v>GOLDBEES</v>
    <v>Daily</v>
    <v>44994</v>
    <v>44994</v>
    <v>0</v>
    <v>1</v>
    <v>638139168000000000,639087303772948452,0</v>
    <v>0</v>
    <v>ahhxpr</v>
    <v>XNSE:GOLDBEES</v>
    <v>2032</v>
  </rv>
  <rv s="1">
    <v>1</v>
    <v>GOLDBEES</v>
    <v>Daily</v>
    <v>45582</v>
    <v>45582</v>
    <v>0</v>
    <v>1</v>
    <v>638647200000000000,639087303773298029,0</v>
    <v>0</v>
    <v>ahhxpr</v>
    <v>XNSE:GOLDBEES</v>
    <v>1939</v>
  </rv>
  <rv s="1">
    <v>1</v>
    <v>GOLDBEES</v>
    <v>Daily</v>
    <v>45161</v>
    <v>45161</v>
    <v>0</v>
    <v>1</v>
    <v>638283456000000000,639087303774688359,0</v>
    <v>0</v>
    <v>ahhxpr</v>
    <v>XNSE:GOLDBEES</v>
    <v>2033</v>
  </rv>
  <rv s="1">
    <v>1</v>
    <v>GOLDBEES</v>
    <v>Daily</v>
    <v>44628</v>
    <v>44628</v>
    <v>0</v>
    <v>1</v>
    <v>637822944000000000,639087303772512871,0</v>
    <v>0</v>
    <v>ahhxpr</v>
    <v>XNSE:GOLDBEES</v>
    <v>2034</v>
  </rv>
  <rv s="1">
    <v>1</v>
    <v>GOLDBEES</v>
    <v>Daily</v>
    <v>45517</v>
    <v>45517</v>
    <v>0</v>
    <v>1</v>
    <v>638591040000000000,639087303772572866,0</v>
    <v>0</v>
    <v>ahhxpr</v>
    <v>XNSE:GOLDBEES</v>
    <v>2035</v>
  </rv>
  <rv s="1">
    <v>1</v>
    <v>GOLDBEES</v>
    <v>Daily</v>
    <v>45608</v>
    <v>45608</v>
    <v>0</v>
    <v>1</v>
    <v>638669664000000000,639087303772638694,0</v>
    <v>0</v>
    <v>ahhxpr</v>
    <v>XNSE:GOLDBEES</v>
    <v>2036</v>
  </rv>
  <rv s="1">
    <v>1</v>
    <v>GOLDBEES</v>
    <v>Daily</v>
    <v>45378</v>
    <v>45378</v>
    <v>0</v>
    <v>1</v>
    <v>638470944000000000,639087303772692340,0</v>
    <v>0</v>
    <v>ahhxpr</v>
    <v>XNSE:GOLDBEES</v>
    <v>2037</v>
  </rv>
  <rv s="1">
    <v>1</v>
    <v>GOLDBEES</v>
    <v>Daily</v>
    <v>45791</v>
    <v>45791</v>
    <v>0</v>
    <v>1</v>
    <v>638827776000000000,639087303773808151,0</v>
    <v>0</v>
    <v>ahhxpr</v>
    <v>XNSE:GOLDBEES</v>
    <v>2038</v>
  </rv>
  <rv s="1">
    <v>1</v>
    <v>GOLDBEES</v>
    <v>Daily</v>
    <v>45692</v>
    <v>45692</v>
    <v>0</v>
    <v>1</v>
    <v>638742240000000000,639087303773265941,0</v>
    <v>0</v>
    <v>ahhxpr</v>
    <v>XNSE:GOLDBEES</v>
    <v>2039</v>
  </rv>
  <rv s="1">
    <v>1</v>
    <v>GOLDBEES</v>
    <v>Daily</v>
    <v>44567</v>
    <v>44567</v>
    <v>0</v>
    <v>1</v>
    <v>637770240000000000,639087303773279518,0</v>
    <v>0</v>
    <v>ahhxpr</v>
    <v>XNSE:GOLDBEES</v>
    <v>2040</v>
  </rv>
  <rv s="1">
    <v>1</v>
    <v>GOLDBEES</v>
    <v>Daily</v>
    <v>45658</v>
    <v>45658</v>
    <v>0</v>
    <v>1</v>
    <v>638712864000000000,639087303773305751,0</v>
    <v>0</v>
    <v>ahhxpr</v>
    <v>XNSE:GOLDBEES</v>
    <v>2041</v>
  </rv>
  <rv s="1">
    <v>1</v>
    <v>GOLDBEES</v>
    <v>Daily</v>
    <v>44511</v>
    <v>44511</v>
    <v>0</v>
    <v>1</v>
    <v>637721856000000000,639087303774938418,0</v>
    <v>0</v>
    <v>ahhxpr</v>
    <v>XNSE:GOLDBEES</v>
    <v>2042</v>
  </rv>
  <rv s="1">
    <v>1</v>
    <v>GOLDBEES</v>
    <v>Daily</v>
    <v>45328</v>
    <v>45328</v>
    <v>0</v>
    <v>1</v>
    <v>638427744000000000,639087303774653575,0</v>
    <v>0</v>
    <v>ahhxpr</v>
    <v>XNSE:GOLDBEES</v>
    <v>2007</v>
  </rv>
  <rv s="1">
    <v>1</v>
    <v>GOLDBEES</v>
    <v>Daily</v>
    <v>45343</v>
    <v>45343</v>
    <v>0</v>
    <v>1</v>
    <v>638440704000000000,639087303775586878,0</v>
    <v>0</v>
    <v>ahhxpr</v>
    <v>XNSE:GOLDBEES</v>
    <v>2043</v>
  </rv>
  <rv s="1">
    <v>1</v>
    <v>GOLDBEES</v>
    <v>Daily</v>
    <v>45685</v>
    <v>45685</v>
    <v>0</v>
    <v>1</v>
    <v>638736192000000000,639087303775818449,0</v>
    <v>0</v>
    <v>ahhxpr</v>
    <v>XNSE:GOLDBEES</v>
    <v>2044</v>
  </rv>
  <rv s="1">
    <v>1</v>
    <v>GOLDBEES</v>
    <v>Daily</v>
    <v>45657</v>
    <v>45657</v>
    <v>0</v>
    <v>1</v>
    <v>638712000000000000,639087303776044868,0</v>
    <v>0</v>
    <v>ahhxpr</v>
    <v>XNSE:GOLDBEES</v>
    <v>2045</v>
  </rv>
  <rv s="1">
    <v>1</v>
    <v>GOLDBEES</v>
    <v>Daily</v>
    <v>45792</v>
    <v>45792</v>
    <v>0</v>
    <v>1</v>
    <v>638828640000000000,639087303774986045,0</v>
    <v>0</v>
    <v>ahhxpr</v>
    <v>XNSE:GOLDBEES</v>
    <v>2046</v>
  </rv>
  <rv s="1">
    <v>1</v>
    <v>GOLDBEES</v>
    <v>Daily</v>
    <v>45085</v>
    <v>45085</v>
    <v>0</v>
    <v>1</v>
    <v>638217792000000000,639087303775006882,0</v>
    <v>0</v>
    <v>ahhxpr</v>
    <v>XNSE:GOLDBEES</v>
    <v>2047</v>
  </rv>
  <rv s="1">
    <v>1</v>
    <v>GOLDBEES</v>
    <v>Daily</v>
    <v>44894</v>
    <v>44894</v>
    <v>0</v>
    <v>1</v>
    <v>638052768000000000,639087303775066618,0</v>
    <v>0</v>
    <v>ahhxpr</v>
    <v>XNSE:GOLDBEES</v>
    <v>2048</v>
  </rv>
  <rv s="1">
    <v>1</v>
    <v>GOLDBEES</v>
    <v>Daily</v>
    <v>44922</v>
    <v>44922</v>
    <v>0</v>
    <v>1</v>
    <v>638076960000000000,639087303775086536,0</v>
    <v>0</v>
    <v>ahhxpr</v>
    <v>XNSE:GOLDBEES</v>
    <v>1968</v>
  </rv>
  <rv s="1">
    <v>1</v>
    <v>GOLDBEES</v>
    <v>Daily</v>
    <v>44803</v>
    <v>44803</v>
    <v>0</v>
    <v>1</v>
    <v>637974144000000000,639087303775136312,0</v>
    <v>0</v>
    <v>ahhxpr</v>
    <v>XNSE:GOLDBEES</v>
    <v>2049</v>
  </rv>
  <rv s="1">
    <v>1</v>
    <v>GOLDBEES</v>
    <v>Daily</v>
    <v>45307</v>
    <v>45307</v>
    <v>0</v>
    <v>1</v>
    <v>638409600000000000,639087303775156226,0</v>
    <v>0</v>
    <v>ahhxpr</v>
    <v>XNSE:GOLDBEES</v>
    <v>1959</v>
  </rv>
  <rv s="1">
    <v>1</v>
    <v>GOLDBEES</v>
    <v>Daily</v>
    <v>44999</v>
    <v>44999</v>
    <v>0</v>
    <v>1</v>
    <v>638143488000000000,639087303779208984,0</v>
    <v>0</v>
    <v>ahhxpr</v>
    <v>XNSE:GOLDBEES</v>
    <v>2050</v>
  </rv>
  <rv s="1">
    <v>1</v>
    <v>GOLDBEES</v>
    <v>Daily</v>
    <v>45104</v>
    <v>45104</v>
    <v>0</v>
    <v>1</v>
    <v>638234208000000000,639087303780609284,0</v>
    <v>0</v>
    <v>ahhxpr</v>
    <v>XNSE:GOLDBEES</v>
    <v>2051</v>
  </rv>
  <rv s="1">
    <v>1</v>
    <v>GOLDBEES</v>
    <v>Daily</v>
    <v>45350</v>
    <v>45350</v>
    <v>0</v>
    <v>1</v>
    <v>638446752000000000,639087303779449489,0</v>
    <v>0</v>
    <v>ahhxpr</v>
    <v>XNSE:GOLDBEES</v>
    <v>2052</v>
  </rv>
  <rv s="1">
    <v>1</v>
    <v>GOLDBEES</v>
    <v>Daily</v>
    <v>44957</v>
    <v>44957</v>
    <v>0</v>
    <v>1</v>
    <v>638107200000000000,639087303779839583,0</v>
    <v>0</v>
    <v>ahhxpr</v>
    <v>XNSE:GOLDBEES</v>
    <v>2053</v>
  </rv>
  <rv s="1">
    <v>1</v>
    <v>GOLDBEES</v>
    <v>Daily</v>
    <v>44854</v>
    <v>44854</v>
    <v>0</v>
    <v>1</v>
    <v>638018208000000000,639087303780619773,0</v>
    <v>0</v>
    <v>ahhxpr</v>
    <v>XNSE:GOLDBEES</v>
    <v>2054</v>
  </rv>
  <rv s="1">
    <v>1</v>
    <v>GOLDBEES</v>
    <v>Daily</v>
    <v>45631</v>
    <v>45631</v>
    <v>0</v>
    <v>1</v>
    <v>638689536000000000,639087303781780056,0</v>
    <v>0</v>
    <v>ahhxpr</v>
    <v>XNSE:GOLDBEES</v>
    <v>2055</v>
  </rv>
  <rv s="1">
    <v>1</v>
    <v>GOLDBEES</v>
    <v>Daily</v>
    <v>45715</v>
    <v>45715</v>
    <v>0</v>
    <v>1</v>
    <v>638762112000000000,639087303782170151,0</v>
    <v>0</v>
    <v>ahhxpr</v>
    <v>XNSE:GOLDBEES</v>
    <v>2056</v>
  </rv>
  <rv s="1">
    <v>1</v>
    <v>GOLDBEES</v>
    <v>Daily</v>
    <v>45573</v>
    <v>45573</v>
    <v>0</v>
    <v>1</v>
    <v>638639424000000000,639087303782560247,0</v>
    <v>0</v>
    <v>ahhxpr</v>
    <v>XNSE:GOLDBEES</v>
    <v>2057</v>
  </rv>
  <rv s="1">
    <v>1</v>
    <v>GOLDBEES</v>
    <v>Daily</v>
    <v>45246</v>
    <v>45246</v>
    <v>0</v>
    <v>1</v>
    <v>638356896000000000,639087303779280656,0</v>
    <v>0</v>
    <v>ahhxpr</v>
    <v>XNSE:GOLDBEES</v>
    <v>2058</v>
  </rv>
  <rv s="1">
    <v>1</v>
    <v>GOLDBEES</v>
    <v>Daily</v>
    <v>45574</v>
    <v>45574</v>
    <v>0</v>
    <v>1</v>
    <v>638640288000000000,639087303781162391,0</v>
    <v>0</v>
    <v>ahhxpr</v>
    <v>XNSE:GOLDBEES</v>
    <v>2059</v>
  </rv>
  <rv s="1">
    <v>1</v>
    <v>GOLDBEES</v>
    <v>Daily</v>
    <v>45062</v>
    <v>45062</v>
    <v>0</v>
    <v>1</v>
    <v>638197920000000000,639087303779718082,0</v>
    <v>0</v>
    <v>ahhxpr</v>
    <v>XNSE:GOLDBEES</v>
    <v>2060</v>
  </rv>
  <rv s="1">
    <v>1</v>
    <v>GOLDBEES</v>
    <v>Daily</v>
    <v>45763</v>
    <v>45763</v>
    <v>0</v>
    <v>1</v>
    <v>638803584000000000,639087303780549272,0</v>
    <v>0</v>
    <v>ahhxpr</v>
    <v>XNSE:GOLDBEES</v>
    <v>2061</v>
  </rv>
  <rv s="1">
    <v>1</v>
    <v>GOLDBEES</v>
    <v>Daily</v>
    <v>45448</v>
    <v>45448</v>
    <v>0</v>
    <v>1</v>
    <v>638531424000000000,639087303782628737,0</v>
    <v>0</v>
    <v>ahhxpr</v>
    <v>XNSE:GOLDBEES</v>
    <v>2062</v>
  </rv>
  <rv s="1">
    <v>1</v>
    <v>GOLDBEES</v>
    <v>Daily</v>
    <v>44924</v>
    <v>44924</v>
    <v>0</v>
    <v>1</v>
    <v>638078688000000000,639087303781378457,0</v>
    <v>0</v>
    <v>ahhxpr</v>
    <v>XNSE:GOLDBEES</v>
    <v>2063</v>
  </rv>
  <rv s="1">
    <v>1</v>
    <v>GOLDBEES</v>
    <v>Daily</v>
    <v>45441</v>
    <v>45441</v>
    <v>0</v>
    <v>1</v>
    <v>638525376000000000,639087303781838559,0</v>
    <v>0</v>
    <v>ahhxpr</v>
    <v>XNSE:GOLDBEES</v>
    <v>2064</v>
  </rv>
  <rv s="1">
    <v>1</v>
    <v>GOLDBEES</v>
    <v>Daily</v>
    <v>44852</v>
    <v>44852</v>
    <v>0</v>
    <v>1</v>
    <v>638016480000000000,639087303782308670,0</v>
    <v>0</v>
    <v>ahhxpr</v>
    <v>XNSE:GOLDBEES</v>
    <v>2065</v>
  </rv>
  <rv s="1">
    <v>1</v>
    <v>GOLDBEES</v>
    <v>Daily</v>
    <v>45371</v>
    <v>45371</v>
    <v>0</v>
    <v>1</v>
    <v>638464896000000000,639087303779382734,0</v>
    <v>0</v>
    <v>ahhxpr</v>
    <v>XNSE:GOLDBEES</v>
    <v>2066</v>
  </rv>
  <rv s="1">
    <v>1</v>
    <v>GOLDBEES</v>
    <v>Daily</v>
    <v>44798</v>
    <v>44798</v>
    <v>0</v>
    <v>1</v>
    <v>637969824000000000,639087303779402644,0</v>
    <v>0</v>
    <v>ahhxpr</v>
    <v>XNSE:GOLDBEES</v>
    <v>1979</v>
  </rv>
  <rv s="1">
    <v>1</v>
    <v>GOLDBEES</v>
    <v>Daily</v>
    <v>44635</v>
    <v>44635</v>
    <v>0</v>
    <v>1</v>
    <v>637828992000000000,639087303779452432,0</v>
    <v>0</v>
    <v>ahhxpr</v>
    <v>XNSE:GOLDBEES</v>
    <v>2067</v>
  </rv>
  <rv s="1">
    <v>1</v>
    <v>GOLDBEES</v>
    <v>Daily</v>
    <v>45300</v>
    <v>45300</v>
    <v>0</v>
    <v>1</v>
    <v>638403552000000000,639087303780093565,0</v>
    <v>0</v>
    <v>ahhxpr</v>
    <v>XNSE:GOLDBEES</v>
    <v>2068</v>
  </rv>
  <rv s="1">
    <v>1</v>
    <v>GOLDBEES</v>
    <v>Daily</v>
    <v>44915</v>
    <v>44915</v>
    <v>0</v>
    <v>1</v>
    <v>638070912000000000,639087303782220162,0</v>
    <v>0</v>
    <v>ahhxpr</v>
    <v>XNSE:GOLDBEES</v>
    <v>2069</v>
  </rv>
  <rv s="1">
    <v>1</v>
    <v>GOLDBEES</v>
    <v>Daily</v>
    <v>45225</v>
    <v>45225</v>
    <v>0</v>
    <v>1</v>
    <v>638338752000000000,639087303781590164,0</v>
    <v>0</v>
    <v>ahhxpr</v>
    <v>XNSE:GOLDBEES</v>
    <v>2070</v>
  </rv>
  <rv s="1">
    <v>1</v>
    <v>GOLDBEES</v>
    <v>Daily</v>
    <v>44959</v>
    <v>44959</v>
    <v>0</v>
    <v>1</v>
    <v>638108928000000000,639087303784354851,0</v>
    <v>0</v>
    <v>ahhxpr</v>
    <v>XNSE:GOLDBEES</v>
    <v>2071</v>
  </rv>
  <rv s="1">
    <v>1</v>
    <v>GOLDBEES</v>
    <v>Daily</v>
    <v>44887</v>
    <v>44887</v>
    <v>0</v>
    <v>1</v>
    <v>638046720000000000,639087303784424545,0</v>
    <v>0</v>
    <v>ahhxpr</v>
    <v>XNSE:GOLDBEES</v>
    <v>2072</v>
  </rv>
  <rv s="1">
    <v>1</v>
    <v>GOLDBEES</v>
    <v>Daily</v>
    <v>45533</v>
    <v>45533</v>
    <v>0</v>
    <v>1</v>
    <v>638604864000000000,639087303784434513,0</v>
    <v>0</v>
    <v>ahhxpr</v>
    <v>XNSE:GOLDBEES</v>
    <v>2073</v>
  </rv>
  <rv s="1">
    <v>1</v>
    <v>GOLDBEES</v>
    <v>Daily</v>
    <v>45489</v>
    <v>45489</v>
    <v>0</v>
    <v>1</v>
    <v>638566848000000000,639087303784474327,0</v>
    <v>0</v>
    <v>ahhxpr</v>
    <v>XNSE:GOLDBEES</v>
    <v>2074</v>
  </rv>
  <rv s="1">
    <v>1</v>
    <v>GOLDBEES</v>
    <v>Daily</v>
    <v>45609</v>
    <v>45609</v>
    <v>0</v>
    <v>1</v>
    <v>638670528000000000,639087303784405589,0</v>
    <v>0</v>
    <v>ahhxpr</v>
    <v>XNSE:GOLDBEES</v>
    <v>2075</v>
  </rv>
  <rv s="1">
    <v>1</v>
    <v>GOLDBEES</v>
    <v>Daily</v>
    <v>45630</v>
    <v>45630</v>
    <v>0</v>
    <v>1</v>
    <v>638688672000000000,639087303784553985,0</v>
    <v>0</v>
    <v>ahhxpr</v>
    <v>XNSE:GOLDBEES</v>
    <v>2076</v>
  </rv>
  <rv s="1">
    <v>1</v>
    <v>GOLDBEES</v>
    <v>Daily</v>
    <v>45251</v>
    <v>45251</v>
    <v>0</v>
    <v>1</v>
    <v>638361216000000000,639087303785609389,0</v>
    <v>0</v>
    <v>ahhxpr</v>
    <v>XNSE:GOLDBEES</v>
    <v>2077</v>
  </rv>
  <rv s="1">
    <v>1</v>
    <v>GOLDBEES</v>
    <v>Daily</v>
    <v>45140</v>
    <v>45140</v>
    <v>0</v>
    <v>1</v>
    <v>638265312000000000,639087303785758761,0</v>
    <v>0</v>
    <v>ahhxpr</v>
    <v>XNSE:GOLDBEES</v>
    <v>2078</v>
  </rv>
  <rv s="1">
    <v>1</v>
    <v>GOLDBEES</v>
    <v>Daily</v>
    <v>45295</v>
    <v>45295</v>
    <v>0</v>
    <v>1</v>
    <v>638399232000000000,639087303788630092,0</v>
    <v>0</v>
    <v>ahhxpr</v>
    <v>XNSE:GOLDBEES</v>
    <v>2079</v>
  </rv>
  <rv s="1">
    <v>1</v>
    <v>GOLDBEES</v>
    <v>Daily</v>
    <v>45280</v>
    <v>45280</v>
    <v>0</v>
    <v>1</v>
    <v>638386272000000000,639087303787434483,0</v>
    <v>0</v>
    <v>ahhxpr</v>
    <v>XNSE:GOLDBEES</v>
    <v>1966</v>
  </rv>
  <rv s="1">
    <v>1</v>
    <v>GOLDBEES</v>
    <v>Daily</v>
    <v>45638</v>
    <v>45638</v>
    <v>0</v>
    <v>1</v>
    <v>638695584000000000,639087303786262516,0</v>
    <v>0</v>
    <v>ahhxpr</v>
    <v>XNSE:GOLDBEES</v>
    <v>2080</v>
  </rv>
  <rv s="1">
    <v>1</v>
    <v>GOLDBEES</v>
    <v>Daily</v>
    <v>45272</v>
    <v>45272</v>
    <v>0</v>
    <v>1</v>
    <v>638379360000000000,639087303786288796,0</v>
    <v>0</v>
    <v>ahhxpr</v>
    <v>XNSE:GOLDBEES</v>
    <v>2081</v>
  </rv>
  <rv s="1">
    <v>1</v>
    <v>GOLDBEES</v>
    <v>Daily</v>
    <v>44985</v>
    <v>44985</v>
    <v>0</v>
    <v>1</v>
    <v>638131392000000000,639087303786421816,0</v>
    <v>0</v>
    <v>ahhxpr</v>
    <v>XNSE:GOLDBEES</v>
    <v>2082</v>
  </rv>
  <rv s="1">
    <v>1</v>
    <v>GOLDBEES</v>
    <v>Daily</v>
    <v>45526</v>
    <v>45526</v>
    <v>0</v>
    <v>1</v>
    <v>638598816000000000,639087303786481551,0</v>
    <v>0</v>
    <v>ahhxpr</v>
    <v>XNSE:GOLDBEES</v>
    <v>2083</v>
  </rv>
  <rv s="1">
    <v>1</v>
    <v>GOLDBEES</v>
    <v>Daily</v>
    <v>45736</v>
    <v>45736</v>
    <v>0</v>
    <v>1</v>
    <v>638780256000000000,639087303789500287,0</v>
    <v>0</v>
    <v>ahhxpr</v>
    <v>XNSE:GOLDBEES</v>
    <v>2084</v>
  </rv>
  <rv s="1">
    <v>1</v>
    <v>GOLDBEES</v>
    <v>Daily</v>
    <v>45419</v>
    <v>45419</v>
    <v>0</v>
    <v>1</v>
    <v>638506368000000000,639087303786747875,0</v>
    <v>0</v>
    <v>ahhxpr</v>
    <v>XNSE:GOLDBEES</v>
    <v>2062</v>
  </rv>
  <rv s="1">
    <v>1</v>
    <v>GOLDBEES</v>
    <v>Daily</v>
    <v>44595</v>
    <v>44595</v>
    <v>0</v>
    <v>1</v>
    <v>637794432000000000,639087303787673809,0</v>
    <v>0</v>
    <v>ahhxpr</v>
    <v>XNSE:GOLDBEES</v>
    <v>2085</v>
  </rv>
  <rv s="1">
    <v>1</v>
    <v>GOLDBEES</v>
    <v>Daily</v>
    <v>45001</v>
    <v>45001</v>
    <v>0</v>
    <v>1</v>
    <v>638145216000000000,639087303788607750,0</v>
    <v>0</v>
    <v>ahhxpr</v>
    <v>XNSE:GOLDBEES</v>
    <v>2086</v>
  </rv>
  <rv s="1">
    <v>1</v>
    <v>GOLDBEES</v>
    <v>Daily</v>
    <v>44742</v>
    <v>44742</v>
    <v>0</v>
    <v>1</v>
    <v>637921440000000000,639087303787931552,0</v>
    <v>0</v>
    <v>ahhxpr</v>
    <v>XNSE:GOLDBEES</v>
    <v>2087</v>
  </rv>
  <rv s="1">
    <v>1</v>
    <v>GOLDBEES</v>
    <v>Daily</v>
    <v>44859</v>
    <v>44859</v>
    <v>0</v>
    <v>1</v>
    <v>638022528000000000,639087303789601953,0</v>
    <v>0</v>
    <v>ahhxpr</v>
    <v>XNSE:GOLDBEES</v>
    <v>2088</v>
  </rv>
  <rv s="1">
    <v>1</v>
    <v>GOLDBEES</v>
    <v>Daily</v>
    <v>45643</v>
    <v>45643</v>
    <v>0</v>
    <v>1</v>
    <v>638699904000000000,639087303790012049,0</v>
    <v>0</v>
    <v>ahhxpr</v>
    <v>XNSE:GOLDBEES</v>
    <v>2089</v>
  </rv>
  <rv s="1">
    <v>1</v>
    <v>GOLDBEES</v>
    <v>Daily</v>
    <v>45190</v>
    <v>45190</v>
    <v>0</v>
    <v>1</v>
    <v>638308512000000000,639087303788846081,0</v>
    <v>0</v>
    <v>ahhxpr</v>
    <v>XNSE:GOLDBEES</v>
    <v>2090</v>
  </rv>
  <rv s="1">
    <v>1</v>
    <v>GOLDBEES</v>
    <v>Daily</v>
    <v>45287</v>
    <v>45287</v>
    <v>0</v>
    <v>1</v>
    <v>638392320000000000,639087303789993239,0</v>
    <v>0</v>
    <v>ahhxpr</v>
    <v>XNSE:GOLDBEES</v>
    <v>2091</v>
  </rv>
  <rv s="1">
    <v>1</v>
    <v>GOLDBEES</v>
    <v>Daily</v>
    <v>45462</v>
    <v>45462</v>
    <v>0</v>
    <v>1</v>
    <v>638543520000000000,639087303789926845,0</v>
    <v>0</v>
    <v>ahhxpr</v>
    <v>XNSE:GOLDBEES</v>
    <v>2092</v>
  </rv>
  <rv s="1">
    <v>1</v>
    <v>GOLDBEES</v>
    <v>Daily</v>
    <v>45484</v>
    <v>45484</v>
    <v>0</v>
    <v>1</v>
    <v>638562528000000000,639087303790912075,0</v>
    <v>0</v>
    <v>ahhxpr</v>
    <v>XNSE:GOLDBEES</v>
    <v>1868</v>
  </rv>
  <rv s="1">
    <v>1</v>
    <v>GOLDBEES</v>
    <v>Daily</v>
    <v>44735</v>
    <v>44735</v>
    <v>0</v>
    <v>1</v>
    <v>637915392000000000,639087303790951912,0</v>
    <v>0</v>
    <v>ahhxpr</v>
    <v>XNSE:GOLDBEES</v>
    <v>2087</v>
  </rv>
  <rv s="1">
    <v>1</v>
    <v>GOLDBEES</v>
    <v>Daily</v>
    <v>45666</v>
    <v>45666</v>
    <v>0</v>
    <v>1</v>
    <v>638719776000000000,639087303791429819,0</v>
    <v>0</v>
    <v>ahhxpr</v>
    <v>XNSE:GOLDBEES</v>
    <v>2093</v>
  </rv>
  <rv s="1">
    <v>1</v>
    <v>GOLDBEES</v>
    <v>Daily</v>
    <v>45203</v>
    <v>45203</v>
    <v>0</v>
    <v>1</v>
    <v>638319744000000000,639087303791738463,0</v>
    <v>0</v>
    <v>ahhxpr</v>
    <v>XNSE:GOLDBEES</v>
    <v>2094</v>
  </rv>
  <rv s="1">
    <v>1</v>
    <v>GOLDBEES</v>
    <v>Daily</v>
    <v>45447</v>
    <v>45447</v>
    <v>0</v>
    <v>1</v>
    <v>638530560000000000,639087303797342919,0</v>
    <v>0</v>
    <v>ahhxpr</v>
    <v>XNSE:GOLDBEES</v>
    <v>2095</v>
  </rv>
  <rv s="1">
    <v>1</v>
    <v>GOLDBEES</v>
    <v>Daily</v>
    <v>45511</v>
    <v>45511</v>
    <v>0</v>
    <v>1</v>
    <v>638585856000000000,639087303798322277,0</v>
    <v>0</v>
    <v>ahhxpr</v>
    <v>XNSE:GOLDBEES</v>
    <v>2096</v>
  </rv>
  <rv s="1">
    <v>1</v>
    <v>GOLDBEES</v>
    <v>Daily</v>
    <v>45629</v>
    <v>45629</v>
    <v>0</v>
    <v>1</v>
    <v>638687808000000000,639087303799762602,0</v>
    <v>0</v>
    <v>ahhxpr</v>
    <v>XNSE:GOLDBEES</v>
    <v>2055</v>
  </rv>
  <rv s="1">
    <v>1</v>
    <v>GOLDBEES</v>
    <v>Daily</v>
    <v>45365</v>
    <v>45365</v>
    <v>0</v>
    <v>1</v>
    <v>638459712000000000,639087303793935917,0</v>
    <v>0</v>
    <v>ahhxpr</v>
    <v>XNSE:GOLDBEES</v>
    <v>2097</v>
  </rv>
  <rv s="1">
    <v>1</v>
    <v>GOLDBEES</v>
    <v>Daily</v>
    <v>45665</v>
    <v>45665</v>
    <v>0</v>
    <v>1</v>
    <v>638718912000000000,639087303794262287,0</v>
    <v>0</v>
    <v>ahhxpr</v>
    <v>XNSE:GOLDBEES</v>
    <v>2098</v>
  </rv>
  <rv s="1">
    <v>1</v>
    <v>GOLDBEES</v>
    <v>Daily</v>
    <v>44672</v>
    <v>44672</v>
    <v>0</v>
    <v>1</v>
    <v>637860960000000000,639087303794421591,0</v>
    <v>0</v>
    <v>ahhxpr</v>
    <v>XNSE:GOLDBEES</v>
    <v>2099</v>
  </rv>
  <rv s="1">
    <v>1</v>
    <v>GOLDBEES</v>
    <v>Daily</v>
    <v>44581</v>
    <v>44581</v>
    <v>0</v>
    <v>1</v>
    <v>637782336000000000,639087303794750143,0</v>
    <v>0</v>
    <v>ahhxpr</v>
    <v>XNSE:GOLDBEES</v>
    <v>2100</v>
  </rv>
  <rv s="1">
    <v>1</v>
    <v>GOLDBEES</v>
    <v>Daily</v>
    <v>44698</v>
    <v>44698</v>
    <v>0</v>
    <v>1</v>
    <v>637883424000000000,639087303796209369,0</v>
    <v>0</v>
    <v>ahhxpr</v>
    <v>XNSE:GOLDBEES</v>
    <v>2101</v>
  </rv>
  <rv s="1">
    <v>1</v>
    <v>GOLDBEES</v>
    <v>Daily</v>
    <v>45398</v>
    <v>45398</v>
    <v>0</v>
    <v>1</v>
    <v>638488224000000000,639087303796229282,0</v>
    <v>0</v>
    <v>ahhxpr</v>
    <v>XNSE:GOLDBEES</v>
    <v>2102</v>
  </rv>
  <rv s="1">
    <v>1</v>
    <v>GOLDBEES</v>
    <v>Daily</v>
    <v>45160</v>
    <v>45160</v>
    <v>0</v>
    <v>1</v>
    <v>638282592000000000,639087303795133538,0</v>
    <v>0</v>
    <v>ahhxpr</v>
    <v>XNSE:GOLDBEES</v>
    <v>2103</v>
  </rv>
  <rv s="1">
    <v>1</v>
    <v>GOLDBEES</v>
    <v>Daily</v>
    <v>44656</v>
    <v>44656</v>
    <v>0</v>
    <v>1</v>
    <v>637847136000000000,639087303795183320,0</v>
    <v>0</v>
    <v>ahhxpr</v>
    <v>XNSE:GOLDBEES</v>
    <v>2104</v>
  </rv>
  <rv s="1">
    <v>1</v>
    <v>GOLDBEES</v>
    <v>Daily</v>
    <v>45426</v>
    <v>45426</v>
    <v>0</v>
    <v>1</v>
    <v>638512416000000000,639087303795203235,0</v>
    <v>0</v>
    <v>ahhxpr</v>
    <v>XNSE:GOLDBEES</v>
    <v>2105</v>
  </rv>
  <rv s="1">
    <v>1</v>
    <v>GOLDBEES</v>
    <v>Daily</v>
    <v>44705</v>
    <v>44705</v>
    <v>0</v>
    <v>1</v>
    <v>637889472000000000,639087303795253016,0</v>
    <v>0</v>
    <v>ahhxpr</v>
    <v>XNSE:GOLDBEES</v>
    <v>2106</v>
  </rv>
  <rv s="1">
    <v>1</v>
    <v>GOLDBEES</v>
    <v>Daily</v>
    <v>45497</v>
    <v>45497</v>
    <v>0</v>
    <v>1</v>
    <v>638573760000000000,639087303795272928,0</v>
    <v>0</v>
    <v>ahhxpr</v>
    <v>XNSE:GOLDBEES</v>
    <v>2107</v>
  </rv>
  <rv s="1">
    <v>1</v>
    <v>GOLDBEES</v>
    <v>Daily</v>
    <v>44700</v>
    <v>44700</v>
    <v>0</v>
    <v>1</v>
    <v>637885152000000000,639087303797763012,0</v>
    <v>0</v>
    <v>ahhxpr</v>
    <v>XNSE:GOLDBEES</v>
    <v>2028</v>
  </rv>
  <rv s="1">
    <v>1</v>
    <v>GOLDBEES</v>
    <v>Daily</v>
    <v>45196</v>
    <v>45196</v>
    <v>0</v>
    <v>1</v>
    <v>638313696000000000,639087303796195344,0</v>
    <v>0</v>
    <v>ahhxpr</v>
    <v>XNSE:GOLDBEES</v>
    <v>2086</v>
  </rv>
  <rv s="1">
    <v>1</v>
    <v>GOLDBEES</v>
    <v>Daily</v>
    <v>45414</v>
    <v>45414</v>
    <v>0</v>
    <v>1</v>
    <v>638502048000000000,639087303796284946,0</v>
    <v>0</v>
    <v>ahhxpr</v>
    <v>XNSE:GOLDBEES</v>
    <v>2108</v>
  </rv>
  <rv s="1">
    <v>1</v>
    <v>GOLDBEES</v>
    <v>Daily</v>
    <v>45701</v>
    <v>45701</v>
    <v>0</v>
    <v>1</v>
    <v>638750016000000000,639087303796324785,0</v>
    <v>0</v>
    <v>ahhxpr</v>
    <v>XNSE:GOLDBEES</v>
    <v>2109</v>
  </rv>
  <rv s="1">
    <v>1</v>
    <v>GOLDBEES</v>
    <v>Daily</v>
    <v>45092</v>
    <v>45092</v>
    <v>0</v>
    <v>1</v>
    <v>638223840000000000,639087303797071995,0</v>
    <v>0</v>
    <v>ahhxpr</v>
    <v>XNSE:GOLDBEES</v>
    <v>2110</v>
  </rv>
  <rv s="1">
    <v>1</v>
    <v>GOLDBEES</v>
    <v>Daily</v>
    <v>45496</v>
    <v>45496</v>
    <v>0</v>
    <v>1</v>
    <v>638572896000000000,639087303797492090,0</v>
    <v>0</v>
    <v>ahhxpr</v>
    <v>XNSE:GOLDBEES</v>
    <v>2111</v>
  </rv>
  <rv s="1">
    <v>1</v>
    <v>GOLDBEES</v>
    <v>Daily</v>
    <v>44747</v>
    <v>44747</v>
    <v>0</v>
    <v>1</v>
    <v>637925760000000000,639087303799592564,0</v>
    <v>0</v>
    <v>ahhxpr</v>
    <v>XNSE:GOLDBEES</v>
    <v>1874</v>
  </rv>
  <rv s="1">
    <v>1</v>
    <v>GOLDBEES</v>
    <v>Daily</v>
    <v>45539</v>
    <v>45539</v>
    <v>0</v>
    <v>1</v>
    <v>638610048000000000,639087303797527071,0</v>
    <v>0</v>
    <v>ahhxpr</v>
    <v>XNSE:GOLDBEES</v>
    <v>2112</v>
  </rv>
  <rv s="1">
    <v>1</v>
    <v>GOLDBEES</v>
    <v>Daily</v>
    <v>45154</v>
    <v>45154</v>
    <v>0</v>
    <v>1</v>
    <v>638277408000000000,639087303796179501,0</v>
    <v>0</v>
    <v>ahhxpr</v>
    <v>XNSE:GOLDBEES</v>
    <v>2113</v>
  </rv>
  <rv s="1">
    <v>1</v>
    <v>GOLDBEES</v>
    <v>Daily</v>
    <v>45315</v>
    <v>45315</v>
    <v>0</v>
    <v>1</v>
    <v>638416512000000000,639087303796215263,0</v>
    <v>0</v>
    <v>ahhxpr</v>
    <v>XNSE:GOLDBEES</v>
    <v>2114</v>
  </rv>
  <rv s="1">
    <v>1</v>
    <v>GOLDBEES</v>
    <v>Daily</v>
    <v>45540</v>
    <v>45540</v>
    <v>0</v>
    <v>1</v>
    <v>638610912000000000,639087303796324785,0</v>
    <v>0</v>
    <v>ahhxpr</v>
    <v>XNSE:GOLDBEES</v>
    <v>1857</v>
  </rv>
  <rv s="1">
    <v>1</v>
    <v>GOLDBEES</v>
    <v>Daily</v>
    <v>44810</v>
    <v>44810</v>
    <v>0</v>
    <v>1</v>
    <v>637980192000000000,639087303835861711,0</v>
    <v>0</v>
    <v>ahhxpr</v>
    <v>XNSE:GOLDBEES</v>
    <v>1921</v>
  </rv>
  <rv s="1">
    <v>1</v>
    <v>GOLDBEES</v>
    <v>Daily</v>
    <v>45594</v>
    <v>45594</v>
    <v>0</v>
    <v>1</v>
    <v>638657568000000000,639087303835949148,0</v>
    <v>0</v>
    <v>ahhxpr</v>
    <v>XNSE:GOLDBEES</v>
    <v>2115</v>
  </rv>
  <rv s="1">
    <v>1</v>
    <v>GOLDBEES</v>
    <v>Daily</v>
    <v>45055</v>
    <v>45055</v>
    <v>0</v>
    <v>1</v>
    <v>638191872000000000,639087303800022661,0</v>
    <v>0</v>
    <v>ahhxpr</v>
    <v>XNSE:GOLDBEES</v>
    <v>1994</v>
  </rv>
  <rv s="1">
    <v>1</v>
    <v>GOLDBEES</v>
    <v>Daily</v>
    <v>44882</v>
    <v>44882</v>
    <v>0</v>
    <v>1</v>
    <v>638042400000000000,639087303801282947,0</v>
    <v>0</v>
    <v>ahhxpr</v>
    <v>XNSE:GOLDBEES</v>
    <v>2116</v>
  </rv>
  <rv s="1">
    <v>1</v>
    <v>GOLDBEES</v>
    <v>Daily</v>
    <v>44733</v>
    <v>44733</v>
    <v>0</v>
    <v>1</v>
    <v>637913664000000000,639087303802227997,0</v>
    <v>0</v>
    <v>ahhxpr</v>
    <v>XNSE:GOLDBEES</v>
    <v>2117</v>
  </rv>
  <rv s="1">
    <v>1</v>
    <v>GOLDBEES</v>
    <v>Daily</v>
    <v>45273</v>
    <v>45273</v>
    <v>0</v>
    <v>1</v>
    <v>638380224000000000,639087303803014132,0</v>
    <v>0</v>
    <v>ahhxpr</v>
    <v>XNSE:GOLDBEES</v>
    <v>2070</v>
  </rv>
  <rv s="1">
    <v>1</v>
    <v>GOLDBEES</v>
    <v>Daily</v>
    <v>44964</v>
    <v>44964</v>
    <v>0</v>
    <v>1</v>
    <v>638113248000000000,639087303803024506,0</v>
    <v>0</v>
    <v>ahhxpr</v>
    <v>XNSE:GOLDBEES</v>
    <v>2118</v>
  </rv>
  <rv s="1">
    <v>1</v>
    <v>GOLDBEES</v>
    <v>Daily</v>
    <v>44574</v>
    <v>44574</v>
    <v>0</v>
    <v>1</v>
    <v>637776288000000000,639087303802070176,0</v>
    <v>0</v>
    <v>ahhxpr</v>
    <v>XNSE:GOLDBEES</v>
    <v>2119</v>
  </rv>
  <rv s="1">
    <v>1</v>
    <v>GOLDBEES</v>
    <v>Daily</v>
    <v>45308</v>
    <v>45308</v>
    <v>0</v>
    <v>1</v>
    <v>638410464000000000,639087303802189652,0</v>
    <v>0</v>
    <v>ahhxpr</v>
    <v>XNSE:GOLDBEES</v>
    <v>2120</v>
  </rv>
  <rv s="1">
    <v>1</v>
    <v>GOLDBEES</v>
    <v>Daily</v>
    <v>45364</v>
    <v>45364</v>
    <v>0</v>
    <v>1</v>
    <v>638458848000000000,639087303803562995,0</v>
    <v>0</v>
    <v>ahhxpr</v>
    <v>XNSE:GOLDBEES</v>
    <v>2121</v>
  </rv>
  <rv s="1">
    <v>1</v>
    <v>GOLDBEES</v>
    <v>Daily</v>
    <v>45587</v>
    <v>45587</v>
    <v>0</v>
    <v>1</v>
    <v>638651520000000000,639087303803626870,0</v>
    <v>0</v>
    <v>ahhxpr</v>
    <v>XNSE:GOLDBEES</v>
    <v>2122</v>
  </rv>
  <rv s="1">
    <v>1</v>
    <v>GOLDBEES</v>
    <v>Daily</v>
    <v>44637</v>
    <v>44637</v>
    <v>0</v>
    <v>1</v>
    <v>637830720000000000,639087303803646162,0</v>
    <v>0</v>
    <v>ahhxpr</v>
    <v>XNSE:GOLDBEES</v>
    <v>2123</v>
  </rv>
  <rv s="1">
    <v>1</v>
    <v>GOLDBEES</v>
    <v>Daily</v>
    <v>45286</v>
    <v>45286</v>
    <v>0</v>
    <v>1</v>
    <v>638391456000000000,639087303803726430,0</v>
    <v>0</v>
    <v>ahhxpr</v>
    <v>XNSE:GOLDBEES</v>
    <v>1935</v>
  </rv>
  <rv s="1">
    <v>1</v>
    <v>GOLDBEES</v>
    <v>Daily</v>
    <v>45260</v>
    <v>45260</v>
    <v>0</v>
    <v>1</v>
    <v>638368992000000000,639087303803742206,0</v>
    <v>0</v>
    <v>ahhxpr</v>
    <v>XNSE:GOLDBEES</v>
    <v>2124</v>
  </rv>
  <rv s="1">
    <v>1</v>
    <v>GOLDBEES</v>
    <v>Daily</v>
    <v>45119</v>
    <v>45119</v>
    <v>0</v>
    <v>1</v>
    <v>638247168000000000,639087303804124690,0</v>
    <v>0</v>
    <v>ahhxpr</v>
    <v>XNSE:GOLDBEES</v>
    <v>2125</v>
  </rv>
  <rv s="1">
    <v>1</v>
    <v>GOLDBEES</v>
    <v>Daily</v>
    <v>45559</v>
    <v>45559</v>
    <v>0</v>
    <v>1</v>
    <v>638627328000000000,639087303804153933,0</v>
    <v>0</v>
    <v>ahhxpr</v>
    <v>XNSE:GOLDBEES</v>
    <v>2126</v>
  </rv>
  <rv s="1">
    <v>1</v>
    <v>GOLDBEES</v>
    <v>Daily</v>
    <v>44754</v>
    <v>44754</v>
    <v>0</v>
    <v>1</v>
    <v>637931808000000000,639087303804190240,0</v>
    <v>0</v>
    <v>ahhxpr</v>
    <v>XNSE:GOLDBEES</v>
    <v>2127</v>
  </rv>
  <rv s="1">
    <v>1</v>
    <v>GOLDBEES</v>
    <v>Daily</v>
    <v>45664</v>
    <v>45664</v>
    <v>0</v>
    <v>1</v>
    <v>638718048000000000,639087303805355732,0</v>
    <v>0</v>
    <v>ahhxpr</v>
    <v>XNSE:GOLDBEES</v>
    <v>2128</v>
  </rv>
  <rv s="1">
    <v>1</v>
    <v>GOLDBEES</v>
    <v>Daily</v>
    <v>45132</v>
    <v>45132</v>
    <v>0</v>
    <v>1</v>
    <v>638258400000000000,639087303805415481,0</v>
    <v>0</v>
    <v>ahhxpr</v>
    <v>XNSE:GOLDBEES</v>
    <v>2129</v>
  </rv>
  <rv s="1">
    <v>1</v>
    <v>GOLDBEES</v>
    <v>Daily</v>
    <v>44838</v>
    <v>44838</v>
    <v>0</v>
    <v>1</v>
    <v>638004384000000000,639087303805505083,0</v>
    <v>0</v>
    <v>ahhxpr</v>
    <v>XNSE:GOLDBEES</v>
    <v>2130</v>
  </rv>
  <rv s="1">
    <v>1</v>
    <v>GOLDBEES</v>
    <v>Daily</v>
    <v>44714</v>
    <v>44714</v>
    <v>0</v>
    <v>1</v>
    <v>637897248000000000,639087303806769530,0</v>
    <v>0</v>
    <v>ahhxpr</v>
    <v>XNSE:GOLDBEES</v>
    <v>2131</v>
  </rv>
  <rv s="1">
    <v>1</v>
    <v>GOLDBEES</v>
    <v>Daily</v>
    <v>45770</v>
    <v>45770</v>
    <v>0</v>
    <v>1</v>
    <v>638809632000000000,639087303806916694,0</v>
    <v>0</v>
    <v>ahhxpr</v>
    <v>XNSE:GOLDBEES</v>
    <v>2132</v>
  </rv>
  <rv s="1">
    <v>1</v>
    <v>GOLDBEES</v>
    <v>Daily</v>
    <v>44728</v>
    <v>44728</v>
    <v>0</v>
    <v>1</v>
    <v>637909344000000000,639087303807376861,0</v>
    <v>0</v>
    <v>ahhxpr</v>
    <v>XNSE:GOLDBEES</v>
    <v>2133</v>
  </rv>
  <rv s="1">
    <v>1</v>
    <v>GOLDBEES</v>
    <v>Daily</v>
    <v>45125</v>
    <v>45125</v>
    <v>0</v>
    <v>1</v>
    <v>638252352000000000,639087303807824892,0</v>
    <v>0</v>
    <v>ahhxpr</v>
    <v>XNSE:GOLDBEES</v>
    <v>2134</v>
  </rv>
  <rv s="1">
    <v>1</v>
    <v>GOLDBEES</v>
    <v>Daily</v>
    <v>45595</v>
    <v>45595</v>
    <v>0</v>
    <v>1</v>
    <v>638658432000000000,639087303810707014,0</v>
    <v>0</v>
    <v>ahhxpr</v>
    <v>XNSE:GOLDBEES</v>
    <v>2135</v>
  </rv>
  <rv s="1">
    <v>1</v>
    <v>GOLDBEES</v>
    <v>Daily</v>
    <v>45482</v>
    <v>45482</v>
    <v>0</v>
    <v>1</v>
    <v>638560800000000000,639087303809739448,0</v>
    <v>0</v>
    <v>ahhxpr</v>
    <v>XNSE:GOLDBEES</v>
    <v>2136</v>
  </rv>
  <rv s="1">
    <v>1</v>
    <v>GOLDBEES</v>
    <v>Daily</v>
    <v>44721</v>
    <v>44721</v>
    <v>0</v>
    <v>1</v>
    <v>637903296000000000,639087303808671173,0</v>
    <v>0</v>
    <v>ahhxpr</v>
    <v>XNSE:GOLDBEES</v>
    <v>2137</v>
  </rv>
  <rv s="1">
    <v>1</v>
    <v>GOLDBEES</v>
    <v>Daily</v>
    <v>44670</v>
    <v>44670</v>
    <v>0</v>
    <v>1</v>
    <v>637859232000000000,639087303808691101,0</v>
    <v>0</v>
    <v>ahhxpr</v>
    <v>XNSE:GOLDBEES</v>
    <v>2138</v>
  </rv>
  <rv s="1">
    <v>1</v>
    <v>GOLDBEES</v>
    <v>Daily</v>
    <v>45693</v>
    <v>45693</v>
    <v>0</v>
    <v>1</v>
    <v>638743104000000000,639087303808730898,0</v>
    <v>0</v>
    <v>ahhxpr</v>
    <v>XNSE:GOLDBEES</v>
    <v>2139</v>
  </rv>
  <rv s="1">
    <v>1</v>
    <v>GOLDBEES</v>
    <v>Daily</v>
    <v>44532</v>
    <v>44532</v>
    <v>0</v>
    <v>1</v>
    <v>637740000000000000,639087303808810560,0</v>
    <v>0</v>
    <v>ahhxpr</v>
    <v>XNSE:GOLDBEES</v>
    <v>2140</v>
  </rv>
  <rv s="1">
    <v>1</v>
    <v>GOLDBEES</v>
    <v>Daily</v>
    <v>44497</v>
    <v>44497</v>
    <v>0</v>
    <v>1</v>
    <v>637709760000000000,639087303809430785,0</v>
    <v>0</v>
    <v>ahhxpr</v>
    <v>XNSE:GOLDBEES</v>
    <v>2141</v>
  </rv>
  <rv s="1">
    <v>1</v>
    <v>GOLDBEES</v>
    <v>Daily</v>
    <v>45566</v>
    <v>45566</v>
    <v>0</v>
    <v>1</v>
    <v>638633376000000000,639087303809490524,0</v>
    <v>0</v>
    <v>ahhxpr</v>
    <v>XNSE:GOLDBEES</v>
    <v>2142</v>
  </rv>
  <rv s="1">
    <v>1</v>
    <v>GOLDBEES</v>
    <v>Daily</v>
    <v>45645</v>
    <v>45645</v>
    <v>0</v>
    <v>1</v>
    <v>638701632000000000,639087303810416944,0</v>
    <v>0</v>
    <v>ahhxpr</v>
    <v>XNSE:GOLDBEES</v>
    <v>2143</v>
  </rv>
  <rv s="1">
    <v>1</v>
    <v>GOLDBEES</v>
    <v>Daily</v>
    <v>45337</v>
    <v>45337</v>
    <v>0</v>
    <v>1</v>
    <v>638435520000000000,639087303811347166,0</v>
    <v>0</v>
    <v>ahhxpr</v>
    <v>XNSE:GOLDBEES</v>
    <v>1976</v>
  </rv>
  <rv s="1">
    <v>1</v>
    <v>GOLDBEES</v>
    <v>Daily</v>
    <v>45356</v>
    <v>45356</v>
    <v>0</v>
    <v>1</v>
    <v>638451936000000000,639087303811177125,0</v>
    <v>0</v>
    <v>ahhxpr</v>
    <v>XNSE:GOLDBEES</v>
    <v>2144</v>
  </rv>
  <rv s="1">
    <v>1</v>
    <v>GOLDBEES</v>
    <v>Daily</v>
    <v>44805</v>
    <v>44805</v>
    <v>0</v>
    <v>1</v>
    <v>637975872000000000,639087303811567218,0</v>
    <v>0</v>
    <v>ahhxpr</v>
    <v>XNSE:GOLDBEES</v>
    <v>2145</v>
  </rv>
  <rv s="1">
    <v>1</v>
    <v>GOLDBEES</v>
    <v>Daily</v>
    <v>44679</v>
    <v>44679</v>
    <v>0</v>
    <v>1</v>
    <v>637867008000000000,639087303811957300,0</v>
    <v>0</v>
    <v>ahhxpr</v>
    <v>XNSE:GOLDBEES</v>
    <v>2067</v>
  </rv>
  <rv s="1">
    <v>1</v>
    <v>GOLDBEES</v>
    <v>Daily</v>
    <v>45700</v>
    <v>45700</v>
    <v>0</v>
    <v>1</v>
    <v>638749152000000000,639087303811345214,0</v>
    <v>0</v>
    <v>ahhxpr</v>
    <v>XNSE:GOLDBEES</v>
    <v>2146</v>
  </rv>
  <rv s="1">
    <v>1</v>
    <v>GOLDBEES</v>
    <v>Daily</v>
    <v>44775</v>
    <v>44775</v>
    <v>0</v>
    <v>1</v>
    <v>637949952000000000,639087303812125391,0</v>
    <v>0</v>
    <v>ahhxpr</v>
    <v>XNSE:GOLDBEES</v>
    <v>2001</v>
  </rv>
  <rv s="1">
    <v>1</v>
    <v>GOLDBEES</v>
    <v>Daily</v>
    <v>44756</v>
    <v>44756</v>
    <v>0</v>
    <v>1</v>
    <v>637933536000000000,639087303814485923,0</v>
    <v>0</v>
    <v>ahhxpr</v>
    <v>XNSE:GOLDBEES</v>
    <v>2147</v>
  </rv>
  <rv s="1">
    <v>1</v>
    <v>GOLDBEES</v>
    <v>Daily</v>
    <v>45546</v>
    <v>45546</v>
    <v>0</v>
    <v>1</v>
    <v>638616096000000000,639087303813615727,0</v>
    <v>0</v>
    <v>ahhxpr</v>
    <v>XNSE:GOLDBEES</v>
    <v>2092</v>
  </rv>
  <rv s="1">
    <v>1</v>
    <v>GOLDBEES</v>
    <v>Daily</v>
    <v>45217</v>
    <v>45217</v>
    <v>0</v>
    <v>1</v>
    <v>638331840000000000,639087303814035823,0</v>
    <v>0</v>
    <v>ahhxpr</v>
    <v>XNSE:GOLDBEES</v>
    <v>2148</v>
  </rv>
  <rv s="1">
    <v>1</v>
    <v>GOLDBEES</v>
    <v>Daily</v>
    <v>45029</v>
    <v>45029</v>
    <v>0</v>
    <v>1</v>
    <v>638169408000000000,639087303812955319,0</v>
    <v>0</v>
    <v>ahhxpr</v>
    <v>XNSE:GOLDBEES</v>
    <v>2149</v>
  </rv>
  <rv s="1">
    <v>1</v>
    <v>GOLDBEES</v>
    <v>Daily</v>
    <v>44929</v>
    <v>44929</v>
    <v>0</v>
    <v>1</v>
    <v>638083008000000000,639087303813891213,0</v>
    <v>0</v>
    <v>ahhxpr</v>
    <v>XNSE:GOLDBEES</v>
    <v>2150</v>
  </rv>
  <rv s="1">
    <v>1</v>
    <v>GOLDBEES</v>
    <v>Daily</v>
    <v>45454</v>
    <v>45454</v>
    <v>0</v>
    <v>1</v>
    <v>638536608000000000,639087303816166308,0</v>
    <v>0</v>
    <v>ahhxpr</v>
    <v>XNSE:GOLDBEES</v>
    <v>1893</v>
  </rv>
  <rv s="1">
    <v>1</v>
    <v>GOLDBEES</v>
    <v>Daily</v>
    <v>45126</v>
    <v>45126</v>
    <v>0</v>
    <v>1</v>
    <v>638253216000000000,639087303835991143,0</v>
    <v>0</v>
    <v>ahhxpr</v>
    <v>XNSE:GOLDBEES</v>
    <v>2151</v>
  </rv>
  <rv s="1">
    <v>1</v>
    <v>GOLDBEES</v>
    <v>Daily</v>
    <v>45560</v>
    <v>45560</v>
    <v>0</v>
    <v>1</v>
    <v>638628192000000000,639087303836018841,0</v>
    <v>0</v>
    <v>ahhxpr</v>
    <v>XNSE:GOLDBEES</v>
    <v>2152</v>
  </rv>
  <rv s="1">
    <v>1</v>
    <v>GOLDBEES</v>
    <v>Daily</v>
    <v>45636</v>
    <v>45636</v>
    <v>0</v>
    <v>1</v>
    <v>638693856000000000,639087303815827552,0</v>
    <v>0</v>
    <v>ahhxpr</v>
    <v>XNSE:GOLDBEES</v>
    <v>2153</v>
  </rv>
  <rv s="1">
    <v>1</v>
    <v>GOLDBEES</v>
    <v>Daily</v>
    <v>45434</v>
    <v>45434</v>
    <v>0</v>
    <v>1</v>
    <v>638519328000000000,639087303816444125,0</v>
    <v>0</v>
    <v>ahhxpr</v>
    <v>XNSE:GOLDBEES</v>
    <v>2154</v>
  </rv>
  <rv s="1">
    <v>1</v>
    <v>GOLDBEES</v>
    <v>Daily</v>
    <v>45580</v>
    <v>45580</v>
    <v>0</v>
    <v>1</v>
    <v>638645472000000000,639087303816745702,0</v>
    <v>0</v>
    <v>ahhxpr</v>
    <v>XNSE:GOLDBEES</v>
    <v>2155</v>
  </rv>
  <rv s="1">
    <v>1</v>
    <v>GOLDBEES</v>
    <v>Daily</v>
    <v>44546</v>
    <v>44546</v>
    <v>0</v>
    <v>1</v>
    <v>637752096000000000,639087303815568683,0</v>
    <v>0</v>
    <v>ahhxpr</v>
    <v>XNSE:GOLDBEES</v>
    <v>2156</v>
  </rv>
  <rv s="1">
    <v>1</v>
    <v>GOLDBEES</v>
    <v>Daily</v>
    <v>45211</v>
    <v>45211</v>
    <v>0</v>
    <v>1</v>
    <v>638326656000000000,639087303815588597,0</v>
    <v>0</v>
    <v>ahhxpr</v>
    <v>XNSE:GOLDBEES</v>
    <v>2157</v>
  </rv>
  <rv s="1">
    <v>1</v>
    <v>GOLDBEES</v>
    <v>Daily</v>
    <v>45294</v>
    <v>45294</v>
    <v>0</v>
    <v>1</v>
    <v>638398368000000000,639087303815650516,0</v>
    <v>0</v>
    <v>ahhxpr</v>
    <v>XNSE:GOLDBEES</v>
    <v>2158</v>
  </rv>
  <rv s="1">
    <v>1</v>
    <v>GOLDBEES</v>
    <v>Daily</v>
    <v>45449</v>
    <v>45449</v>
    <v>0</v>
    <v>1</v>
    <v>638532288000000000,639087303819274615,0</v>
    <v>0</v>
    <v>ahhxpr</v>
    <v>XNSE:GOLDBEES</v>
    <v>2159</v>
  </rv>
  <rv s="1">
    <v>1</v>
    <v>GOLDBEES</v>
    <v>Daily</v>
    <v>45461</v>
    <v>45461</v>
    <v>0</v>
    <v>1</v>
    <v>638542656000000000,639087303818481028,0</v>
    <v>0</v>
    <v>ahhxpr</v>
    <v>XNSE:GOLDBEES</v>
    <v>2160</v>
  </rv>
  <rv s="1">
    <v>1</v>
    <v>GOLDBEES</v>
    <v>Daily</v>
    <v>44644</v>
    <v>44644</v>
    <v>0</v>
    <v>1</v>
    <v>637836768000000000,639087303818530813,0</v>
    <v>0</v>
    <v>ahhxpr</v>
    <v>XNSE:GOLDBEES</v>
    <v>2161</v>
  </rv>
  <rv s="1">
    <v>1</v>
    <v>GOLDBEES</v>
    <v>Daily</v>
    <v>45216</v>
    <v>45216</v>
    <v>0</v>
    <v>1</v>
    <v>638330976000000000,639087303821149501,0</v>
    <v>0</v>
    <v>ahhxpr</v>
    <v>XNSE:GOLDBEES</v>
    <v>1913</v>
  </rv>
  <rv s="1">
    <v>1</v>
    <v>GOLDBEES</v>
    <v>Daily</v>
    <v>45204</v>
    <v>45204</v>
    <v>0</v>
    <v>1</v>
    <v>638320608000000000,639087303822547741,0</v>
    <v>0</v>
    <v>ahhxpr</v>
    <v>XNSE:GOLDBEES</v>
    <v>2162</v>
  </rv>
  <rv s="1">
    <v>1</v>
    <v>GOLDBEES</v>
    <v>Daily</v>
    <v>45644</v>
    <v>45644</v>
    <v>0</v>
    <v>1</v>
    <v>638700768000000000,639087303819095372,0</v>
    <v>0</v>
    <v>ahhxpr</v>
    <v>XNSE:GOLDBEES</v>
    <v>2163</v>
  </rv>
  <rv s="1">
    <v>1</v>
    <v>GOLDBEES</v>
    <v>Daily</v>
    <v>44936</v>
    <v>44936</v>
    <v>0</v>
    <v>1</v>
    <v>638089056000000000,639087303819264631,0</v>
    <v>0</v>
    <v>ahhxpr</v>
    <v>XNSE:GOLDBEES</v>
    <v>2164</v>
  </rv>
  <rv s="1">
    <v>1</v>
    <v>GOLDBEES</v>
    <v>Daily</v>
    <v>45504</v>
    <v>45504</v>
    <v>0</v>
    <v>1</v>
    <v>638579808000000000,639087303819583229,0</v>
    <v>0</v>
    <v>ahhxpr</v>
    <v>XNSE:GOLDBEES</v>
    <v>2165</v>
  </rv>
  <rv s="1">
    <v>1</v>
    <v>GOLDBEES</v>
    <v>Daily</v>
    <v>44980</v>
    <v>44980</v>
    <v>0</v>
    <v>1</v>
    <v>638127072000000000,639087303819742532,0</v>
    <v>0</v>
    <v>ahhxpr</v>
    <v>XNSE:GOLDBEES</v>
    <v>2166</v>
  </rv>
  <rv s="1">
    <v>1</v>
    <v>GOLDBEES</v>
    <v>Daily</v>
    <v>44588</v>
    <v>44588</v>
    <v>0</v>
    <v>1</v>
    <v>637788384000000000,639087303820071086,0</v>
    <v>0</v>
    <v>ahhxpr</v>
    <v>XNSE:GOLDBEES</v>
    <v>2167</v>
  </rv>
  <rv s="1">
    <v>1</v>
    <v>GOLDBEES</v>
    <v>Daily</v>
    <v>44812</v>
    <v>44812</v>
    <v>0</v>
    <v>1</v>
    <v>637981920000000000,639087303820399644,0</v>
    <v>0</v>
    <v>ahhxpr</v>
    <v>XNSE:GOLDBEES</v>
    <v>2168</v>
  </rv>
  <rv s="1">
    <v>1</v>
    <v>GOLDBEES</v>
    <v>Daily</v>
    <v>45386</v>
    <v>45386</v>
    <v>0</v>
    <v>1</v>
    <v>638477856000000000,639087303819702189,0</v>
    <v>0</v>
    <v>ahhxpr</v>
    <v>XNSE:GOLDBEES</v>
    <v>2169</v>
  </rv>
  <rv s="1">
    <v>1</v>
    <v>GOLDBEES</v>
    <v>Daily</v>
    <v>44504</v>
    <v>44504</v>
    <v>0</v>
    <v>1</v>
    <v>637715808000000000,639087303821981340,0</v>
    <v>0</v>
    <v>ahhxpr</v>
    <v>XNSE:GOLDBEES</v>
    <v>2170</v>
  </rv>
  <rv s="1">
    <v>1</v>
    <v>GOLDBEES</v>
    <v>Daily</v>
    <v>45545</v>
    <v>45545</v>
    <v>0</v>
    <v>1</v>
    <v>638615232000000000,639087303822220296,0</v>
    <v>0</v>
    <v>ahhxpr</v>
    <v>XNSE:GOLDBEES</v>
    <v>1859</v>
  </rv>
  <rv s="1">
    <v>1</v>
    <v>GOLDBEES</v>
    <v>Daily</v>
    <v>44966</v>
    <v>44966</v>
    <v>0</v>
    <v>1</v>
    <v>638114976000000000,639087303820834834,0</v>
    <v>0</v>
    <v>ahhxpr</v>
    <v>XNSE:GOLDBEES</v>
    <v>2171</v>
  </rv>
  <rv s="1">
    <v>1</v>
    <v>GOLDBEES</v>
    <v>Daily</v>
    <v>44518</v>
    <v>44518</v>
    <v>0</v>
    <v>1</v>
    <v>637727904000000000,639087303820857630,0</v>
    <v>0</v>
    <v>ahhxpr</v>
    <v>XNSE:GOLDBEES</v>
    <v>2172</v>
  </rv>
  <rv s="1">
    <v>1</v>
    <v>GOLDBEES</v>
    <v>Daily</v>
    <v>45342</v>
    <v>45342</v>
    <v>0</v>
    <v>1</v>
    <v>638439840000000000,639087303822301286,0</v>
    <v>0</v>
    <v>ahhxpr</v>
    <v>XNSE:GOLDBEES</v>
    <v>2173</v>
  </rv>
  <rv s="1">
    <v>1</v>
    <v>GOLDBEES</v>
    <v>Daily</v>
    <v>44791</v>
    <v>44791</v>
    <v>0</v>
    <v>1</v>
    <v>637963776000000000,639087303822759271,0</v>
    <v>0</v>
    <v>ahhxpr</v>
    <v>XNSE:GOLDBEES</v>
    <v>2174</v>
  </rv>
  <rv s="1">
    <v>1</v>
    <v>GOLDBEES</v>
    <v>Daily</v>
    <v>44525</v>
    <v>44525</v>
    <v>0</v>
    <v>1</v>
    <v>637733952000000000,639087303824550327,0</v>
    <v>0</v>
    <v>ahhxpr</v>
    <v>XNSE:GOLDBEES</v>
    <v>2175</v>
  </rv>
  <rv s="1">
    <v>1</v>
    <v>GOLDBEES</v>
    <v>Daily</v>
    <v>45197</v>
    <v>45197</v>
    <v>0</v>
    <v>1</v>
    <v>638314560000000000,639087303825030444,0</v>
    <v>0</v>
    <v>ahhxpr</v>
    <v>XNSE:GOLDBEES</v>
    <v>2176</v>
  </rv>
  <rv s="1">
    <v>1</v>
    <v>GOLDBEES</v>
    <v>Daily</v>
    <v>45133</v>
    <v>45133</v>
    <v>0</v>
    <v>1</v>
    <v>638259264000000000,639087303825500558,0</v>
    <v>0</v>
    <v>ahhxpr</v>
    <v>XNSE:GOLDBEES</v>
    <v>2177</v>
  </rv>
  <rv s="1">
    <v>1</v>
    <v>GOLDBEES</v>
    <v>Daily</v>
    <v>45118</v>
    <v>45118</v>
    <v>0</v>
    <v>1</v>
    <v>638246304000000000,639087303824073504,0</v>
    <v>0</v>
    <v>ahhxpr</v>
    <v>XNSE:GOLDBEES</v>
    <v>2110</v>
  </rv>
  <rv s="1">
    <v>1</v>
    <v>GOLDBEES</v>
    <v>Daily</v>
    <v>45503</v>
    <v>45503</v>
    <v>0</v>
    <v>1</v>
    <v>638578944000000000,639087303824120423,0</v>
    <v>0</v>
    <v>ahhxpr</v>
    <v>XNSE:GOLDBEES</v>
    <v>2178</v>
  </rv>
  <rv s="1">
    <v>1</v>
    <v>GOLDBEES</v>
    <v>Daily</v>
    <v>45420</v>
    <v>45420</v>
    <v>0</v>
    <v>1</v>
    <v>638507232000000000,639087303824232802,0</v>
    <v>0</v>
    <v>ahhxpr</v>
    <v>XNSE:GOLDBEES</v>
    <v>2179</v>
  </rv>
  <rv s="1">
    <v>1</v>
    <v>GOLDBEES</v>
    <v>Daily</v>
    <v>45146</v>
    <v>45146</v>
    <v>0</v>
    <v>1</v>
    <v>638270496000000000,639087303824290360,0</v>
    <v>0</v>
    <v>ahhxpr</v>
    <v>XNSE:GOLDBEES</v>
    <v>2180</v>
  </rv>
  <rv s="1">
    <v>1</v>
    <v>GOLDBEES</v>
    <v>Daily</v>
    <v>45169</v>
    <v>45169</v>
    <v>0</v>
    <v>1</v>
    <v>638290368000000000,639087303824459632,0</v>
    <v>0</v>
    <v>ahhxpr</v>
    <v>XNSE:GOLDBEES</v>
    <v>2019</v>
  </rv>
  <rv s="1">
    <v>1</v>
    <v>GOLDBEES</v>
    <v>Daily</v>
    <v>44490</v>
    <v>44490</v>
    <v>0</v>
    <v>1</v>
    <v>637703712000000000,639087303824618923,0</v>
    <v>0</v>
    <v>ahhxpr</v>
    <v>XNSE:GOLDBEES</v>
    <v>2181</v>
  </rv>
  <rv s="1">
    <v>1</v>
    <v>GOLDBEES</v>
    <v>Daily</v>
    <v>44483</v>
    <v>44483</v>
    <v>0</v>
    <v>1</v>
    <v>637697664000000000,639087303825457420,0</v>
    <v>0</v>
    <v>ahhxpr</v>
    <v>XNSE:GOLDBEES</v>
    <v>2182</v>
  </rv>
  <rv s="1">
    <v>1</v>
    <v>GOLDBEES</v>
    <v>Daily</v>
    <v>45162</v>
    <v>45162</v>
    <v>0</v>
    <v>1</v>
    <v>638284320000000000,639087303826084665,0</v>
    <v>0</v>
    <v>ahhxpr</v>
    <v>XNSE:GOLDBEES</v>
    <v>2183</v>
  </rv>
  <rv s="1">
    <v>1</v>
    <v>GOLDBEES</v>
    <v>Daily</v>
    <v>45155</v>
    <v>45155</v>
    <v>0</v>
    <v>1</v>
    <v>638278272000000000,639087303824907654,0</v>
    <v>0</v>
    <v>ahhxpr</v>
    <v>XNSE:GOLDBEES</v>
    <v>2184</v>
  </rv>
  <rv s="1">
    <v>1</v>
    <v>GOLDBEES</v>
    <v>Daily</v>
    <v>44476</v>
    <v>44476</v>
    <v>0</v>
    <v>1</v>
    <v>637691616000000000,639087303824947480,0</v>
    <v>0</v>
    <v>ahhxpr</v>
    <v>XNSE:GOLDBEES</v>
    <v>2185</v>
  </rv>
  <rv s="1">
    <v>1</v>
    <v>GOLDBEES</v>
    <v>Daily</v>
    <v>44469</v>
    <v>44469</v>
    <v>0</v>
    <v>1</v>
    <v>637685568000000000,639087303824997264,0</v>
    <v>0</v>
    <v>ahhxpr</v>
    <v>XNSE:GOLDBEES</v>
    <v>2186</v>
  </rv>
  <rv s="1">
    <v>1</v>
    <v>GOLDBEES</v>
    <v>Daily</v>
    <v>45148</v>
    <v>45148</v>
    <v>0</v>
    <v>1</v>
    <v>638272224000000000,639087303828063128,0</v>
    <v>0</v>
    <v>ahhxpr</v>
    <v>XNSE:GOLDBEES</v>
    <v>2187</v>
  </rv>
  <rv s="1">
    <v>1</v>
    <v>GOLDBEES</v>
    <v>Daily</v>
    <v>44462</v>
    <v>44462</v>
    <v>0</v>
    <v>1</v>
    <v>637679520000000000,639087303836188101,0</v>
    <v>0</v>
    <v>ahhxpr</v>
    <v>XNSE:GOLDBEES</v>
    <v>2188</v>
  </rv>
  <rv s="1">
    <v>1</v>
    <v>GOLDBEES</v>
    <v>Daily</v>
    <v>45141</v>
    <v>45141</v>
    <v>0</v>
    <v>1</v>
    <v>638266176000000000,639087303836208010,0</v>
    <v>0</v>
    <v>ahhxpr</v>
    <v>XNSE:GOLDBEES</v>
    <v>2189</v>
  </rv>
  <rv s="1">
    <v>1</v>
    <v>GOLDBEES</v>
    <v>Daily</v>
    <v>45134</v>
    <v>45134</v>
    <v>0</v>
    <v>1</v>
    <v>638260128000000000,639087303836407143,0</v>
    <v>0</v>
    <v>ahhxpr</v>
    <v>XNSE:GOLDBEES</v>
    <v>2190</v>
  </rv>
  <rv s="1">
    <v>1</v>
    <v>GOLDBEES</v>
    <v>Daily</v>
    <v>44455</v>
    <v>44455</v>
    <v>0</v>
    <v>1</v>
    <v>637673472000000000,639087303829319268,0</v>
    <v>0</v>
    <v>ahhxpr</v>
    <v>XNSE:GOLDBEES</v>
    <v>2191</v>
  </rv>
  <rv s="1">
    <v>1</v>
    <v>GOLDBEES</v>
    <v>Daily</v>
    <v>44448</v>
    <v>44448</v>
    <v>0</v>
    <v>1</v>
    <v>637667424000000000,639087303832209922,0</v>
    <v>0</v>
    <v>ahhxpr</v>
    <v>XNSE:GOLDBEES</v>
    <v>2192</v>
  </rv>
  <rv s="1">
    <v>1</v>
    <v>GOLDBEES</v>
    <v>Daily</v>
    <v>44441</v>
    <v>44441</v>
    <v>0</v>
    <v>1</v>
    <v>637661376000000000,639087303829909403,0</v>
    <v>0</v>
    <v>ahhxpr</v>
    <v>XNSE:GOLDBEES</v>
    <v>2193</v>
  </rv>
  <rv s="1">
    <v>1</v>
    <v>GOLDBEES</v>
    <v>Daily</v>
    <v>45120</v>
    <v>45120</v>
    <v>0</v>
    <v>1</v>
    <v>638248032000000000,639087303832439974,0</v>
    <v>0</v>
    <v>ahhxpr</v>
    <v>XNSE:GOLDBEES</v>
    <v>2194</v>
  </rv>
  <rv s="1">
    <v>1</v>
    <v>GOLDBEES</v>
    <v>Daily</v>
    <v>44434</v>
    <v>44434</v>
    <v>0</v>
    <v>1</v>
    <v>637655328000000000,639087303829749370,0</v>
    <v>0</v>
    <v>ahhxpr</v>
    <v>XNSE:GOLDBEES</v>
    <v>2195</v>
  </rv>
  <rv s="1">
    <v>1</v>
    <v>GOLDBEES</v>
    <v>Daily</v>
    <v>45113</v>
    <v>45113</v>
    <v>0</v>
    <v>1</v>
    <v>638241984000000000,639087303831151916,0</v>
    <v>0</v>
    <v>ahhxpr</v>
    <v>XNSE:GOLDBEES</v>
    <v>2103</v>
  </rv>
  <rv s="1">
    <v>1</v>
    <v>GOLDBEES</v>
    <v>Daily</v>
    <v>45099</v>
    <v>45099</v>
    <v>0</v>
    <v>1</v>
    <v>638229888000000000,639087303831101905,0</v>
    <v>0</v>
    <v>ahhxpr</v>
    <v>XNSE:GOLDBEES</v>
    <v>2196</v>
  </rv>
  <rv s="1">
    <v>1</v>
    <v>GOLDBEES</v>
    <v>Daily</v>
    <v>44420</v>
    <v>44420</v>
    <v>0</v>
    <v>1</v>
    <v>637643232000000000,639087303832512240,0</v>
    <v>0</v>
    <v>ahhxpr</v>
    <v>XNSE:GOLDBEES</v>
    <v>2197</v>
  </rv>
  <rv s="1">
    <v>1</v>
    <v>GOLDBEES</v>
    <v>Daily</v>
    <v>45439</v>
    <v>45439</v>
    <v>0</v>
    <v>1</v>
    <v>638523648000000000,639087303874402367,0</v>
    <v>0</v>
    <v>ahhxpr</v>
    <v>XNSE:GOLDBEES</v>
    <v>2198</v>
  </rv>
  <rv s="1">
    <v>1</v>
    <v>GOLDBEES</v>
    <v>Daily</v>
    <v>45446</v>
    <v>45446</v>
    <v>0</v>
    <v>1</v>
    <v>638529696000000000,639087303874850408,0</v>
    <v>0</v>
    <v>ahhxpr</v>
    <v>XNSE:GOLDBEES</v>
    <v>1931</v>
  </rv>
  <rv s="1">
    <v>1</v>
    <v>GOLDBEES</v>
    <v>Daily</v>
    <v>45607</v>
    <v>45607</v>
    <v>0</v>
    <v>1</v>
    <v>638668800000000000,639087303874740666,0</v>
    <v>0</v>
    <v>ahhxpr</v>
    <v>XNSE:GOLDBEES</v>
    <v>2199</v>
  </rv>
  <rv s="1">
    <v>1</v>
    <v>GOLDBEES</v>
    <v>Daily</v>
    <v>45320</v>
    <v>45320</v>
    <v>0</v>
    <v>1</v>
    <v>638420832000000000,639087303874840239,0</v>
    <v>0</v>
    <v>ahhxpr</v>
    <v>XNSE:GOLDBEES</v>
    <v>2200</v>
  </rv>
  <rv s="1">
    <v>1</v>
    <v>GOLDBEES</v>
    <v>Daily</v>
    <v>45110</v>
    <v>45110</v>
    <v>0</v>
    <v>1</v>
    <v>638239392000000000,639087303874929847,0</v>
    <v>0</v>
    <v>ahhxpr</v>
    <v>XNSE:GOLDBEES</v>
    <v>2201</v>
  </rv>
  <rv s="1">
    <v>1</v>
    <v>GOLDBEES</v>
    <v>Daily</v>
    <v>44837</v>
    <v>44837</v>
    <v>0</v>
    <v>1</v>
    <v>638003520000000000,639087303874954488,0</v>
    <v>0</v>
    <v>ahhxpr</v>
    <v>XNSE:GOLDBEES</v>
    <v>2202</v>
  </rv>
  <rv s="1">
    <v>1</v>
    <v>GOLDBEES</v>
    <v>Daily</v>
    <v>45089</v>
    <v>45089</v>
    <v>0</v>
    <v>1</v>
    <v>638221248000000000,639087303875855780,0</v>
    <v>0</v>
    <v>ahhxpr</v>
    <v>XNSE:GOLDBEES</v>
    <v>2190</v>
  </rv>
  <rv s="1">
    <v>1</v>
    <v>GOLDBEES</v>
    <v>Daily</v>
    <v>44641</v>
    <v>44641</v>
    <v>0</v>
    <v>1</v>
    <v>637834176000000000,639087303875905562,0</v>
    <v>0</v>
    <v>ahhxpr</v>
    <v>XNSE:GOLDBEES</v>
    <v>2203</v>
  </rv>
  <rv s="1">
    <v>1</v>
    <v>GOLDBEES</v>
    <v>Daily</v>
    <v>45187</v>
    <v>45187</v>
    <v>0</v>
    <v>1</v>
    <v>638305920000000000,639087303877161112,0</v>
    <v>0</v>
    <v>ahhxpr</v>
    <v>XNSE:GOLDBEES</v>
    <v>2204</v>
  </rv>
  <rv s="1">
    <v>1</v>
    <v>GOLDBEES</v>
    <v>Daily</v>
    <v>44845</v>
    <v>44845</v>
    <v>0</v>
    <v>1</v>
    <v>638010432000000000,639087303877629066,0</v>
    <v>0</v>
    <v>ahhxpr</v>
    <v>XNSE:GOLDBEES</v>
    <v>2205</v>
  </rv>
  <rv s="1">
    <v>1</v>
    <v>GOLDBEES</v>
    <v>Daily</v>
    <v>45271</v>
    <v>45271</v>
    <v>0</v>
    <v>1</v>
    <v>638378496000000000,639087303877866174,0</v>
    <v>0</v>
    <v>ahhxpr</v>
    <v>XNSE:GOLDBEES</v>
    <v>1999</v>
  </rv>
  <rv s="1">
    <v>1</v>
    <v>GOLDBEES</v>
    <v>Daily</v>
    <v>45229</v>
    <v>45229</v>
    <v>0</v>
    <v>1</v>
    <v>638342208000000000,639087303878097002,0</v>
    <v>0</v>
    <v>ahhxpr</v>
    <v>XNSE:GOLDBEES</v>
    <v>1999</v>
  </rv>
  <rv s="1">
    <v>1</v>
    <v>GOLDBEES</v>
    <v>Daily</v>
    <v>44971</v>
    <v>44971</v>
    <v>0</v>
    <v>1</v>
    <v>638119296000000000,639087303878335967,0</v>
    <v>0</v>
    <v>ahhxpr</v>
    <v>XNSE:GOLDBEES</v>
    <v>2206</v>
  </rv>
  <rv s="1">
    <v>1</v>
    <v>GOLDBEES</v>
    <v>Daily</v>
    <v>44277</v>
    <v>44277</v>
    <v>0</v>
    <v>1</v>
    <v>637519680000000000,639087303879042869,0</v>
    <v>0</v>
    <v>ahhxpr</v>
    <v>XNSE:GOLDBEES</v>
    <v>2207</v>
  </rv>
  <rv s="1">
    <v>1</v>
    <v>GOLDBEES</v>
    <v>Daily</v>
    <v>44648</v>
    <v>44648</v>
    <v>0</v>
    <v>1</v>
    <v>637840224000000000,639087303876970868,0</v>
    <v>0</v>
    <v>ahhxpr</v>
    <v>XNSE:GOLDBEES</v>
    <v>2208</v>
  </rv>
  <rv s="1">
    <v>1</v>
    <v>GOLDBEES</v>
    <v>Daily</v>
    <v>45117</v>
    <v>45117</v>
    <v>0</v>
    <v>1</v>
    <v>638245440000000000,639087303877005499,0</v>
    <v>0</v>
    <v>ahhxpr</v>
    <v>XNSE:GOLDBEES</v>
    <v>2183</v>
  </rv>
  <rv s="1">
    <v>1</v>
    <v>GOLDBEES</v>
    <v>Daily</v>
    <v>45628</v>
    <v>45628</v>
    <v>0</v>
    <v>1</v>
    <v>638686944000000000,639087303881080951,0</v>
    <v>0</v>
    <v>ahhxpr</v>
    <v>XNSE:GOLDBEES</v>
    <v>2209</v>
  </rv>
  <rv s="1">
    <v>1</v>
    <v>GOLDBEES</v>
    <v>Daily</v>
    <v>44923</v>
    <v>44923</v>
    <v>0</v>
    <v>1</v>
    <v>638077824000000000,639087303879678265,0</v>
    <v>0</v>
    <v>ahhxpr</v>
    <v>XNSE:GOLDBEES</v>
    <v>2210</v>
  </rv>
  <rv s="1">
    <v>1</v>
    <v>GOLDBEES</v>
    <v>Daily</v>
    <v>44916</v>
    <v>44916</v>
    <v>0</v>
    <v>1</v>
    <v>638071776000000000,639087303879909071,0</v>
    <v>0</v>
    <v>ahhxpr</v>
    <v>XNSE:GOLDBEES</v>
    <v>2211</v>
  </rv>
  <rv s="1">
    <v>1</v>
    <v>GOLDBEES</v>
    <v>Daily</v>
    <v>44552</v>
    <v>44552</v>
    <v>0</v>
    <v>1</v>
    <v>637757280000000000,639087303880844966,0</v>
    <v>0</v>
    <v>ahhxpr</v>
    <v>XNSE:GOLDBEES</v>
    <v>2182</v>
  </rv>
  <rv s="1">
    <v>1</v>
    <v>GOLDBEES</v>
    <v>Daily</v>
    <v>44396</v>
    <v>44396</v>
    <v>0</v>
    <v>1</v>
    <v>637622496000000000,639087303879766271,0</v>
    <v>0</v>
    <v>ahhxpr</v>
    <v>XNSE:GOLDBEES</v>
    <v>2212</v>
  </rv>
  <rv s="1">
    <v>1</v>
    <v>GOLDBEES</v>
    <v>Daily</v>
    <v>45159</v>
    <v>45159</v>
    <v>0</v>
    <v>1</v>
    <v>638281728000000000,639087303879816046,0</v>
    <v>0</v>
    <v>ahhxpr</v>
    <v>XNSE:GOLDBEES</v>
    <v>2213</v>
  </rv>
  <rv s="1">
    <v>1</v>
    <v>GOLDBEES</v>
    <v>Daily</v>
    <v>45166</v>
    <v>45166</v>
    <v>0</v>
    <v>1</v>
    <v>638287776000000000,639087303879835949,0</v>
    <v>0</v>
    <v>ahhxpr</v>
    <v>XNSE:GOLDBEES</v>
    <v>2051</v>
  </rv>
  <rv s="1">
    <v>1</v>
    <v>GOLDBEES</v>
    <v>Daily</v>
    <v>45208</v>
    <v>45208</v>
    <v>0</v>
    <v>1</v>
    <v>638324064000000000,639087303882157353,0</v>
    <v>0</v>
    <v>ahhxpr</v>
    <v>XNSE:GOLDBEES</v>
    <v>2214</v>
  </rv>
  <rv s="1">
    <v>1</v>
    <v>GOLDBEES</v>
    <v>Daily</v>
    <v>44907</v>
    <v>44907</v>
    <v>0</v>
    <v>1</v>
    <v>638064000000000000,639087303880903839,0</v>
    <v>0</v>
    <v>ahhxpr</v>
    <v>XNSE:GOLDBEES</v>
    <v>2215</v>
  </rv>
  <rv s="1">
    <v>1</v>
    <v>GOLDBEES</v>
    <v>Daily</v>
    <v>45152</v>
    <v>45152</v>
    <v>0</v>
    <v>1</v>
    <v>638275680000000000,639087303881373955,0</v>
    <v>0</v>
    <v>ahhxpr</v>
    <v>XNSE:GOLDBEES</v>
    <v>2216</v>
  </rv>
  <rv s="1">
    <v>1</v>
    <v>GOLDBEES</v>
    <v>Daily</v>
    <v>45523</v>
    <v>45523</v>
    <v>0</v>
    <v>1</v>
    <v>638596224000000000,639087303880279646,0</v>
    <v>0</v>
    <v>ahhxpr</v>
    <v>XNSE:GOLDBEES</v>
    <v>2217</v>
  </rv>
  <rv s="1">
    <v>1</v>
    <v>GOLDBEES</v>
    <v>Daily</v>
    <v>45579</v>
    <v>45579</v>
    <v>0</v>
    <v>1</v>
    <v>638644608000000000,639087303880319470,0</v>
    <v>0</v>
    <v>ahhxpr</v>
    <v>XNSE:GOLDBEES</v>
    <v>2218</v>
  </rv>
  <rv s="1">
    <v>1</v>
    <v>GOLDBEES</v>
    <v>Daily</v>
    <v>45019</v>
    <v>45019</v>
    <v>0</v>
    <v>1</v>
    <v>638160768000000000,639087303882768647,0</v>
    <v>0</v>
    <v>ahhxpr</v>
    <v>XNSE:GOLDBEES</v>
    <v>2219</v>
  </rv>
  <rv s="1">
    <v>1</v>
    <v>GOLDBEES</v>
    <v>Daily</v>
    <v>44711</v>
    <v>44711</v>
    <v>0</v>
    <v>1</v>
    <v>637894656000000000,639087303883720489,0</v>
    <v>0</v>
    <v>ahhxpr</v>
    <v>XNSE:GOLDBEES</v>
    <v>2131</v>
  </rv>
  <rv s="1">
    <v>1</v>
    <v>GOLDBEES</v>
    <v>Daily</v>
    <v>44662</v>
    <v>44662</v>
    <v>0</v>
    <v>1</v>
    <v>637852320000000000,639087303884190298,0</v>
    <v>0</v>
    <v>ahhxpr</v>
    <v>XNSE:GOLDBEES</v>
    <v>2220</v>
  </rv>
  <rv s="1">
    <v>1</v>
    <v>GOLDBEES</v>
    <v>Daily</v>
    <v>44937</v>
    <v>44937</v>
    <v>0</v>
    <v>1</v>
    <v>638089920000000000,639087303883921584,0</v>
    <v>0</v>
    <v>ahhxpr</v>
    <v>XNSE:GOLDBEES</v>
    <v>2221</v>
  </rv>
  <rv s="1">
    <v>1</v>
    <v>GOLDBEES</v>
    <v>Daily</v>
    <v>44585</v>
    <v>44585</v>
    <v>0</v>
    <v>1</v>
    <v>637785792000000000,639087303884724767,0</v>
    <v>0</v>
    <v>ahhxpr</v>
    <v>XNSE:GOLDBEES</v>
    <v>2222</v>
  </rv>
  <rv s="1">
    <v>1</v>
    <v>GOLDBEES</v>
    <v>Daily</v>
    <v>45145</v>
    <v>45145</v>
    <v>0</v>
    <v>1</v>
    <v>638269632000000000,639087303886292119,0</v>
    <v>0</v>
    <v>ahhxpr</v>
    <v>XNSE:GOLDBEES</v>
    <v>2223</v>
  </rv>
  <rv s="1">
    <v>1</v>
    <v>GOLDBEES</v>
    <v>Daily</v>
    <v>45656</v>
    <v>45656</v>
    <v>0</v>
    <v>1</v>
    <v>638711136000000000,639087303884139593,0</v>
    <v>0</v>
    <v>ahhxpr</v>
    <v>XNSE:GOLDBEES</v>
    <v>1989</v>
  </rv>
  <rv s="1">
    <v>1</v>
    <v>GOLDBEES</v>
    <v>Daily</v>
    <v>45222</v>
    <v>45222</v>
    <v>0</v>
    <v>1</v>
    <v>638336160000000000,639087303884953516,0</v>
    <v>0</v>
    <v>ahhxpr</v>
    <v>XNSE:GOLDBEES</v>
    <v>2224</v>
  </rv>
  <rv s="1">
    <v>1</v>
    <v>GOLDBEES</v>
    <v>Daily</v>
    <v>45565</v>
    <v>45565</v>
    <v>0</v>
    <v>1</v>
    <v>638632512000000000,639087303885481526,0</v>
    <v>0</v>
    <v>ahhxpr</v>
    <v>XNSE:GOLDBEES</v>
    <v>2225</v>
  </rv>
  <rv s="1">
    <v>1</v>
    <v>GOLDBEES</v>
    <v>Daily</v>
    <v>45586</v>
    <v>45586</v>
    <v>0</v>
    <v>1</v>
    <v>638650656000000000,639087303884769918,0</v>
    <v>0</v>
    <v>ahhxpr</v>
    <v>XNSE:GOLDBEES</v>
    <v>2226</v>
  </rv>
  <rv s="1">
    <v>1</v>
    <v>GOLDBEES</v>
    <v>Daily</v>
    <v>45516</v>
    <v>45516</v>
    <v>0</v>
    <v>1</v>
    <v>638590176000000000,639087303884744768,0</v>
    <v>0</v>
    <v>ahhxpr</v>
    <v>XNSE:GOLDBEES</v>
    <v>2227</v>
  </rv>
  <rv s="1">
    <v>1</v>
    <v>GOLDBEES</v>
    <v>Daily</v>
    <v>45509</v>
    <v>45509</v>
    <v>0</v>
    <v>1</v>
    <v>638584128000000000,639087303884826565,0</v>
    <v>0</v>
    <v>ahhxpr</v>
    <v>XNSE:GOLDBEES</v>
    <v>2228</v>
  </rv>
  <rv s="1">
    <v>1</v>
    <v>GOLDBEES</v>
    <v>Daily</v>
    <v>44725</v>
    <v>44725</v>
    <v>0</v>
    <v>1</v>
    <v>637906752000000000,639087303884844333,0</v>
    <v>0</v>
    <v>ahhxpr</v>
    <v>XNSE:GOLDBEES</v>
    <v>2229</v>
  </rv>
  <rv s="1">
    <v>1</v>
    <v>GOLDBEES</v>
    <v>Daily</v>
    <v>45061</v>
    <v>45061</v>
    <v>0</v>
    <v>1</v>
    <v>638197056000000000,639087303886581958,0</v>
    <v>0</v>
    <v>ahhxpr</v>
    <v>XNSE:GOLDBEES</v>
    <v>2230</v>
  </rv>
  <rv s="1">
    <v>1</v>
    <v>GOLDBEES</v>
    <v>Daily</v>
    <v>44620</v>
    <v>44620</v>
    <v>0</v>
    <v>1</v>
    <v>637816032000000000,639087303886661609,0</v>
    <v>0</v>
    <v>ahhxpr</v>
    <v>XNSE:GOLDBEES</v>
    <v>2028</v>
  </rv>
  <rv s="1">
    <v>1</v>
    <v>GOLDBEES</v>
    <v>Daily</v>
    <v>44669</v>
    <v>44669</v>
    <v>0</v>
    <v>1</v>
    <v>637858368000000000,639087303886392790,0</v>
    <v>0</v>
    <v>ahhxpr</v>
    <v>XNSE:GOLDBEES</v>
    <v>2215</v>
  </rv>
  <rv s="1">
    <v>1</v>
    <v>GOLDBEES</v>
    <v>Daily</v>
    <v>45341</v>
    <v>45341</v>
    <v>0</v>
    <v>1</v>
    <v>638438976000000000,639087303890833144,0</v>
    <v>0</v>
    <v>ahhxpr</v>
    <v>XNSE:GOLDBEES</v>
    <v>2043</v>
  </rv>
  <rv s="1">
    <v>1</v>
    <v>GOLDBEES</v>
    <v>Daily</v>
    <v>44795</v>
    <v>44795</v>
    <v>0</v>
    <v>1</v>
    <v>637967232000000000,639087303891263241,0</v>
    <v>0</v>
    <v>ahhxpr</v>
    <v>XNSE:GOLDBEES</v>
    <v>2231</v>
  </rv>
  <rv s="1">
    <v>1</v>
    <v>GOLDBEES</v>
    <v>Daily</v>
    <v>44452</v>
    <v>44452</v>
    <v>0</v>
    <v>1</v>
    <v>637670880000000000,639087303887875533,0</v>
    <v>0</v>
    <v>ahhxpr</v>
    <v>XNSE:GOLDBEES</v>
    <v>2232</v>
  </rv>
  <rv s="1">
    <v>1</v>
    <v>GOLDBEES</v>
    <v>Daily</v>
    <v>44683</v>
    <v>44683</v>
    <v>0</v>
    <v>1</v>
    <v>637870464000000000,639087303888265629,0</v>
    <v>0</v>
    <v>ahhxpr</v>
    <v>XNSE:GOLDBEES</v>
    <v>2233</v>
  </rv>
  <rv s="1">
    <v>1</v>
    <v>GOLDBEES</v>
    <v>Daily</v>
    <v>45369</v>
    <v>45369</v>
    <v>0</v>
    <v>1</v>
    <v>638463168000000000,639087303890626200,0</v>
    <v>0</v>
    <v>ahhxpr</v>
    <v>XNSE:GOLDBEES</v>
    <v>2234</v>
  </rv>
  <rv s="1">
    <v>1</v>
    <v>GOLDBEES</v>
    <v>Daily</v>
    <v>45530</v>
    <v>45530</v>
    <v>0</v>
    <v>1</v>
    <v>638602272000000000,639087303887773618,0</v>
    <v>0</v>
    <v>ahhxpr</v>
    <v>XNSE:GOLDBEES</v>
    <v>2235</v>
  </rv>
  <rv s="1">
    <v>1</v>
    <v>GOLDBEES</v>
    <v>Daily</v>
    <v>44509</v>
    <v>44509</v>
    <v>0</v>
    <v>1</v>
    <v>637720128000000000,639087303887823397,0</v>
    <v>0</v>
    <v>ahhxpr</v>
    <v>XNSE:GOLDBEES</v>
    <v>2236</v>
  </rv>
  <rv s="1">
    <v>1</v>
    <v>GOLDBEES</v>
    <v>Daily</v>
    <v>45103</v>
    <v>45103</v>
    <v>0</v>
    <v>1</v>
    <v>638233344000000000,639087303887840838,0</v>
    <v>0</v>
    <v>ahhxpr</v>
    <v>XNSE:GOLDBEES</v>
    <v>2237</v>
  </rv>
  <rv s="1">
    <v>1</v>
    <v>GOLDBEES</v>
    <v>Daily</v>
    <v>44375</v>
    <v>44375</v>
    <v>0</v>
    <v>1</v>
    <v>637604352000000000,639087303887910552,0</v>
    <v>0</v>
    <v>ahhxpr</v>
    <v>XNSE:GOLDBEES</v>
    <v>2238</v>
  </rv>
  <rv s="1">
    <v>1</v>
    <v>GOLDBEES</v>
    <v>Daily</v>
    <v>45026</v>
    <v>45026</v>
    <v>0</v>
    <v>1</v>
    <v>638166816000000000,639087303890112910,0</v>
    <v>0</v>
    <v>ahhxpr</v>
    <v>XNSE:GOLDBEES</v>
    <v>2239</v>
  </rv>
  <rv s="1">
    <v>1</v>
    <v>GOLDBEES</v>
    <v>Daily</v>
    <v>45040</v>
    <v>45040</v>
    <v>0</v>
    <v>1</v>
    <v>638178912000000000,639087303893923736,0</v>
    <v>0</v>
    <v>ahhxpr</v>
    <v>XNSE:GOLDBEES</v>
    <v>2240</v>
  </rv>
  <rv s="1">
    <v>1</v>
    <v>GOLDBEES</v>
    <v>Daily</v>
    <v>45621</v>
    <v>45621</v>
    <v>0</v>
    <v>1</v>
    <v>638680896000000000,639087303889314702,0</v>
    <v>0</v>
    <v>ahhxpr</v>
    <v>XNSE:GOLDBEES</v>
    <v>2163</v>
  </rv>
  <rv s="1">
    <v>1</v>
    <v>GOLDBEES</v>
    <v>Daily</v>
    <v>44530</v>
    <v>44530</v>
    <v>0</v>
    <v>1</v>
    <v>637738272000000000,639087303889922027,0</v>
    <v>0</v>
    <v>ahhxpr</v>
    <v>XNSE:GOLDBEES</v>
    <v>2241</v>
  </rv>
  <rv s="1">
    <v>1</v>
    <v>GOLDBEES</v>
    <v>Daily</v>
    <v>44991</v>
    <v>44991</v>
    <v>0</v>
    <v>1</v>
    <v>638136576000000000,639087303891448423,0</v>
    <v>0</v>
    <v>ahhxpr</v>
    <v>XNSE:GOLDBEES</v>
    <v>2242</v>
  </rv>
  <rv s="1">
    <v>1</v>
    <v>GOLDBEES</v>
    <v>Daily</v>
    <v>44998</v>
    <v>44998</v>
    <v>0</v>
    <v>1</v>
    <v>638142624000000000,639087303892872177,0</v>
    <v>0</v>
    <v>ahhxpr</v>
    <v>XNSE:GOLDBEES</v>
    <v>2243</v>
  </rv>
  <rv s="1">
    <v>1</v>
    <v>GOLDBEES</v>
    <v>Daily</v>
    <v>44944</v>
    <v>44944</v>
    <v>0</v>
    <v>1</v>
    <v>638095968000000000,639087303893109315,0</v>
    <v>0</v>
    <v>ahhxpr</v>
    <v>XNSE:GOLDBEES</v>
    <v>2244</v>
  </rv>
  <rv s="1">
    <v>1</v>
    <v>GOLDBEES</v>
    <v>Daily</v>
    <v>44858</v>
    <v>44858</v>
    <v>0</v>
    <v>1</v>
    <v>638021664000000000,639087303893587218,0</v>
    <v>0</v>
    <v>ahhxpr</v>
    <v>XNSE:GOLDBEES</v>
    <v>2245</v>
  </rv>
  <rv s="1">
    <v>1</v>
    <v>GOLDBEES</v>
    <v>Daily</v>
    <v>44361</v>
    <v>44361</v>
    <v>0</v>
    <v>1</v>
    <v>637592256000000000,639087303892306611,0</v>
    <v>0</v>
    <v>ahhxpr</v>
    <v>XNSE:GOLDBEES</v>
    <v>2246</v>
  </rv>
  <rv s="1">
    <v>1</v>
    <v>GOLDBEES</v>
    <v>Daily</v>
    <v>45005</v>
    <v>45005</v>
    <v>0</v>
    <v>1</v>
    <v>638148672000000000,639087303893076789,0</v>
    <v>0</v>
    <v>ahhxpr</v>
    <v>XNSE:GOLDBEES</v>
    <v>2247</v>
  </rv>
  <rv s="1">
    <v>1</v>
    <v>GOLDBEES</v>
    <v>Daily</v>
    <v>45292</v>
    <v>45292</v>
    <v>0</v>
    <v>1</v>
    <v>638396640000000000,639087303893466894,0</v>
    <v>0</v>
    <v>ahhxpr</v>
    <v>XNSE:GOLDBEES</v>
    <v>2248</v>
  </rv>
  <rv s="1">
    <v>1</v>
    <v>GOLDBEES</v>
    <v>Daily</v>
    <v>44753</v>
    <v>44753</v>
    <v>0</v>
    <v>1</v>
    <v>637930944000000000,639087303894627176,0</v>
    <v>0</v>
    <v>ahhxpr</v>
    <v>XNSE:GOLDBEES</v>
    <v>2249</v>
  </rv>
  <rv s="1">
    <v>1</v>
    <v>GOLDBEES</v>
    <v>Daily</v>
    <v>44942</v>
    <v>44942</v>
    <v>0</v>
    <v>1</v>
    <v>638094240000000000,639087303892416274,0</v>
    <v>0</v>
    <v>ahhxpr</v>
    <v>XNSE:GOLDBEES</v>
    <v>2250</v>
  </rv>
  <rv s="1">
    <v>1</v>
    <v>GOLDBEES</v>
    <v>Daily</v>
    <v>45215</v>
    <v>45215</v>
    <v>0</v>
    <v>1</v>
    <v>638330112000000000,639087303892884221,0</v>
    <v>0</v>
    <v>ahhxpr</v>
    <v>XNSE:GOLDBEES</v>
    <v>2251</v>
  </rv>
  <rv s="1">
    <v>1</v>
    <v>GOLDBEES</v>
    <v>Daily</v>
    <v>45425</v>
    <v>45425</v>
    <v>0</v>
    <v>1</v>
    <v>638511552000000000,639087303893826168,0</v>
    <v>0</v>
    <v>ahhxpr</v>
    <v>XNSE:GOLDBEES</v>
    <v>2252</v>
  </rv>
  <rv s="1">
    <v>1</v>
    <v>GOLDBEES</v>
    <v>Daily</v>
    <v>44704</v>
    <v>44704</v>
    <v>0</v>
    <v>1</v>
    <v>637888608000000000,639087303891915433,0</v>
    <v>0</v>
    <v>ahhxpr</v>
    <v>XNSE:GOLDBEES</v>
    <v>2253</v>
  </rv>
  <rv s="1">
    <v>1</v>
    <v>GOLDBEES</v>
    <v>Daily</v>
    <v>45418</v>
    <v>45418</v>
    <v>0</v>
    <v>1</v>
    <v>638505504000000000,639087303891935344,0</v>
    <v>0</v>
    <v>ahhxpr</v>
    <v>XNSE:GOLDBEES</v>
    <v>1924</v>
  </rv>
  <rv s="1">
    <v>1</v>
    <v>GOLDBEES</v>
    <v>Daily</v>
    <v>44613</v>
    <v>44613</v>
    <v>0</v>
    <v>1</v>
    <v>637809984000000000,639087303891985125,0</v>
    <v>0</v>
    <v>ahhxpr</v>
    <v>XNSE:GOLDBEES</v>
    <v>2254</v>
  </rv>
  <rv s="1">
    <v>1</v>
    <v>GOLDBEES</v>
    <v>Daily</v>
    <v>45733</v>
    <v>45733</v>
    <v>0</v>
    <v>1</v>
    <v>638777664000000000,639087303897057770,0</v>
    <v>0</v>
    <v>ahhxpr</v>
    <v>XNSE:GOLDBEES</v>
    <v>2255</v>
  </rv>
  <rv s="1">
    <v>1</v>
    <v>GOLDBEES</v>
    <v>Daily</v>
    <v>45642</v>
    <v>45642</v>
    <v>0</v>
    <v>1</v>
    <v>638699040000000000,639087303897777940,0</v>
    <v>0</v>
    <v>ahhxpr</v>
    <v>XNSE:GOLDBEES</v>
    <v>2256</v>
  </rv>
  <rv s="1">
    <v>1</v>
    <v>GOLDBEES</v>
    <v>Daily</v>
    <v>44880</v>
    <v>44880</v>
    <v>0</v>
    <v>1</v>
    <v>638040672000000000,639087303899598370,0</v>
    <v>0</v>
    <v>ahhxpr</v>
    <v>XNSE:GOLDBEES</v>
    <v>2257</v>
  </rv>
  <rv s="1">
    <v>1</v>
    <v>GOLDBEES</v>
    <v>Daily</v>
    <v>45279</v>
    <v>45279</v>
    <v>0</v>
    <v>1</v>
    <v>638385408000000000,639087303896450388,0</v>
    <v>0</v>
    <v>ahhxpr</v>
    <v>XNSE:GOLDBEES</v>
    <v>2258</v>
  </rv>
  <rv s="1">
    <v>1</v>
    <v>GOLDBEES</v>
    <v>Daily</v>
    <v>44886</v>
    <v>44886</v>
    <v>0</v>
    <v>1</v>
    <v>638045856000000000,639087303896465387,0</v>
    <v>0</v>
    <v>ahhxpr</v>
    <v>XNSE:GOLDBEES</v>
    <v>1874</v>
  </rv>
  <rv s="1">
    <v>1</v>
    <v>GOLDBEES</v>
    <v>Daily</v>
    <v>44634</v>
    <v>44634</v>
    <v>0</v>
    <v>1</v>
    <v>637828128000000000,639087303896490205,0</v>
    <v>0</v>
    <v>ahhxpr</v>
    <v>XNSE:GOLDBEES</v>
    <v>1979</v>
  </rv>
  <rv s="1">
    <v>1</v>
    <v>GOLDBEES</v>
    <v>Daily</v>
    <v>44543</v>
    <v>44543</v>
    <v>0</v>
    <v>1</v>
    <v>637749504000000000,639087303897427857,0</v>
    <v>0</v>
    <v>ahhxpr</v>
    <v>XNSE:GOLDBEES</v>
    <v>2259</v>
  </rv>
  <rv s="1">
    <v>1</v>
    <v>GOLDBEES</v>
    <v>Daily</v>
    <v>44571</v>
    <v>44571</v>
    <v>0</v>
    <v>1</v>
    <v>637773696000000000,639087303898688163,0</v>
    <v>0</v>
    <v>ahhxpr</v>
    <v>XNSE:GOLDBEES</v>
    <v>2260</v>
  </rv>
  <rv s="1">
    <v>1</v>
    <v>GOLDBEES</v>
    <v>Daily</v>
    <v>45299</v>
    <v>45299</v>
    <v>0</v>
    <v>1</v>
    <v>638402688000000000,639087303900355290,0</v>
    <v>0</v>
    <v>ahhxpr</v>
    <v>XNSE:GOLDBEES</v>
    <v>2261</v>
  </rv>
  <rv s="1">
    <v>1</v>
    <v>GOLDBEES</v>
    <v>Daily</v>
    <v>44431</v>
    <v>44431</v>
    <v>0</v>
    <v>1</v>
    <v>637652736000000000,639087303901195480,0</v>
    <v>0</v>
    <v>ahhxpr</v>
    <v>XNSE:GOLDBEES</v>
    <v>2262</v>
  </rv>
  <rv s="1">
    <v>1</v>
    <v>GOLDBEES</v>
    <v>Daily</v>
    <v>45755</v>
    <v>45755</v>
    <v>0</v>
    <v>1</v>
    <v>638796672000000000,639087303898812714,0</v>
    <v>0</v>
    <v>ahhxpr</v>
    <v>XNSE:GOLDBEES</v>
    <v>2263</v>
  </rv>
  <rv s="1">
    <v>1</v>
    <v>GOLDBEES</v>
    <v>Daily</v>
    <v>45243</v>
    <v>45243</v>
    <v>0</v>
    <v>1</v>
    <v>638354304000000000,639087303898902572,0</v>
    <v>0</v>
    <v>ahhxpr</v>
    <v>XNSE:GOLDBEES</v>
    <v>2190</v>
  </rv>
  <rv s="1">
    <v>1</v>
    <v>GOLDBEES</v>
    <v>Daily</v>
    <v>44901</v>
    <v>44901</v>
    <v>0</v>
    <v>1</v>
    <v>638058816000000000,639087303899899563,0</v>
    <v>0</v>
    <v>ahhxpr</v>
    <v>XNSE:GOLDBEES</v>
    <v>2264</v>
  </rv>
  <rv s="1">
    <v>1</v>
    <v>GOLDBEES</v>
    <v>Daily</v>
    <v>45614</v>
    <v>45614</v>
    <v>0</v>
    <v>1</v>
    <v>638674848000000000,639087303901124967,0</v>
    <v>0</v>
    <v>ahhxpr</v>
    <v>XNSE:GOLDBEES</v>
    <v>2265</v>
  </rv>
  <rv s="1">
    <v>1</v>
    <v>GOLDBEES</v>
    <v>Daily</v>
    <v>44831</v>
    <v>44831</v>
    <v>0</v>
    <v>1</v>
    <v>637998336000000000,639087303901015391,0</v>
    <v>0</v>
    <v>ahhxpr</v>
    <v>XNSE:GOLDBEES</v>
    <v>2266</v>
  </rv>
  <rv s="1">
    <v>1</v>
    <v>GOLDBEES</v>
    <v>Daily</v>
    <v>44424</v>
    <v>44424</v>
    <v>0</v>
    <v>1</v>
    <v>637646688000000000,639087303901075134,0</v>
    <v>0</v>
    <v>ahhxpr</v>
    <v>XNSE:GOLDBEES</v>
    <v>2267</v>
  </rv>
  <rv s="1">
    <v>1</v>
    <v>GOLDBEES</v>
    <v>Daily</v>
    <v>44697</v>
    <v>44697</v>
    <v>0</v>
    <v>1</v>
    <v>637882560000000000,639087303901108200,0</v>
    <v>0</v>
    <v>ahhxpr</v>
    <v>XNSE:GOLDBEES</v>
    <v>2202</v>
  </rv>
  <rv s="1">
    <v>1</v>
    <v>GOLDBEES</v>
    <v>Daily</v>
    <v>44354</v>
    <v>44354</v>
    <v>0</v>
    <v>1</v>
    <v>637586208000000000,639087303903253237,0</v>
    <v>0</v>
    <v>ahhxpr</v>
    <v>XNSE:GOLDBEES</v>
    <v>2268</v>
  </rv>
  <rv s="1">
    <v>1</v>
    <v>GOLDBEES</v>
    <v>Daily</v>
    <v>45481</v>
    <v>45481</v>
    <v>0</v>
    <v>1</v>
    <v>638559936000000000,639087303903305955,0</v>
    <v>0</v>
    <v>ahhxpr</v>
    <v>XNSE:GOLDBEES</v>
    <v>2269</v>
  </rv>
  <rv s="1">
    <v>1</v>
    <v>GOLDBEES</v>
    <v>Daily</v>
    <v>44459</v>
    <v>44459</v>
    <v>0</v>
    <v>1</v>
    <v>637676928000000000,639087303906236617,0</v>
    <v>0</v>
    <v>ahhxpr</v>
    <v>XNSE:GOLDBEES</v>
    <v>2270</v>
  </rv>
  <rv s="1">
    <v>1</v>
    <v>GOLDBEES</v>
    <v>Daily</v>
    <v>44732</v>
    <v>44732</v>
    <v>0</v>
    <v>1</v>
    <v>637912800000000000,639087303904976332,0</v>
    <v>0</v>
    <v>ahhxpr</v>
    <v>XNSE:GOLDBEES</v>
    <v>2271</v>
  </rv>
  <rv s="1">
    <v>1</v>
    <v>GOLDBEES</v>
    <v>Daily</v>
    <v>44627</v>
    <v>44627</v>
    <v>0</v>
    <v>1</v>
    <v>637822080000000000,639087303905366419,0</v>
    <v>0</v>
    <v>ahhxpr</v>
    <v>XNSE:GOLDBEES</v>
    <v>2272</v>
  </rv>
  <rv s="1">
    <v>1</v>
    <v>GOLDBEES</v>
    <v>Daily</v>
    <v>45012</v>
    <v>45012</v>
    <v>0</v>
    <v>1</v>
    <v>638154720000000000,639087303904265942,0</v>
    <v>0</v>
    <v>ahhxpr</v>
    <v>XNSE:GOLDBEES</v>
    <v>2273</v>
  </rv>
  <rv s="1">
    <v>1</v>
    <v>GOLDBEES</v>
    <v>Daily</v>
    <v>44914</v>
    <v>44914</v>
    <v>0</v>
    <v>1</v>
    <v>638070048000000000,639087303905106363,0</v>
    <v>0</v>
    <v>ahhxpr</v>
    <v>XNSE:GOLDBEES</v>
    <v>2274</v>
  </rv>
  <rv s="1">
    <v>1</v>
    <v>GOLDBEES</v>
    <v>Daily</v>
    <v>45236</v>
    <v>45236</v>
    <v>0</v>
    <v>1</v>
    <v>638348256000000000,639087303907176835,0</v>
    <v>0</v>
    <v>ahhxpr</v>
    <v>XNSE:GOLDBEES</v>
    <v>2275</v>
  </rv>
  <rv s="1">
    <v>1</v>
    <v>GOLDBEES</v>
    <v>Daily</v>
    <v>44578</v>
    <v>44578</v>
    <v>0</v>
    <v>1</v>
    <v>637779744000000000,639087303908856922,0</v>
    <v>0</v>
    <v>ahhxpr</v>
    <v>XNSE:GOLDBEES</v>
    <v>2276</v>
  </rv>
  <rv s="1">
    <v>1</v>
    <v>GOLDBEES</v>
    <v>Daily</v>
    <v>45649</v>
    <v>45649</v>
    <v>0</v>
    <v>1</v>
    <v>638705088000000000,639087303909700780,0</v>
    <v>0</v>
    <v>ahhxpr</v>
    <v>XNSE:GOLDBEES</v>
    <v>2277</v>
  </rv>
  <rv s="1">
    <v>1</v>
    <v>GOLDBEES</v>
    <v>Daily</v>
    <v>45719</v>
    <v>45719</v>
    <v>0</v>
    <v>1</v>
    <v>638765568000000000,639087303909470721,0</v>
    <v>0</v>
    <v>ahhxpr</v>
    <v>XNSE:GOLDBEES</v>
    <v>2278</v>
  </rv>
  <rv s="1">
    <v>1</v>
    <v>GOLDBEES</v>
    <v>Daily</v>
    <v>44900</v>
    <v>44900</v>
    <v>0</v>
    <v>1</v>
    <v>638057952000000000,639087303908597150,0</v>
    <v>0</v>
    <v>ahhxpr</v>
    <v>XNSE:GOLDBEES</v>
    <v>2279</v>
  </rv>
  <rv s="1">
    <v>1</v>
    <v>GOLDBEES</v>
    <v>Daily</v>
    <v>44403</v>
    <v>44403</v>
    <v>0</v>
    <v>1</v>
    <v>637628544000000000,639087303909070628,0</v>
    <v>0</v>
    <v>ahhxpr</v>
    <v>XNSE:GOLDBEES</v>
    <v>2280</v>
  </rv>
  <rv s="1">
    <v>1</v>
    <v>GOLDBEES</v>
    <v>Daily</v>
    <v>44326</v>
    <v>44326</v>
    <v>0</v>
    <v>1</v>
    <v>637562016000000000,639087303909607377,0</v>
    <v>0</v>
    <v>ahhxpr</v>
    <v>XNSE:GOLDBEES</v>
    <v>2281</v>
  </rv>
  <rv s="1">
    <v>1</v>
    <v>GOLDBEES</v>
    <v>Daily</v>
    <v>45041</v>
    <v>45041</v>
    <v>0</v>
    <v>1</v>
    <v>638179776000000000,639087303910087484,0</v>
    <v>0</v>
    <v>ahhxpr</v>
    <v>XNSE:GOLDBEES</v>
    <v>2282</v>
  </rv>
  <rv s="1">
    <v>1</v>
    <v>GOLDBEES</v>
    <v>Daily</v>
    <v>45740</v>
    <v>45740</v>
    <v>0</v>
    <v>1</v>
    <v>638783712000000000,639087303911037699,0</v>
    <v>0</v>
    <v>ahhxpr</v>
    <v>XNSE:GOLDBEES</v>
    <v>2283</v>
  </rv>
  <rv s="1">
    <v>1</v>
    <v>GOLDBEES</v>
    <v>Daily</v>
    <v>44844</v>
    <v>44844</v>
    <v>0</v>
    <v>1</v>
    <v>638009568000000000,639087303907604404,0</v>
    <v>0</v>
    <v>ahhxpr</v>
    <v>XNSE:GOLDBEES</v>
    <v>2284</v>
  </rv>
  <rv s="1">
    <v>1</v>
    <v>GOLDBEES</v>
    <v>Daily</v>
    <v>44802</v>
    <v>44802</v>
    <v>0</v>
    <v>1</v>
    <v>637973280000000000,639087303907753749,0</v>
    <v>0</v>
    <v>ahhxpr</v>
    <v>XNSE:GOLDBEES</v>
    <v>2285</v>
  </rv>
  <rv s="1">
    <v>1</v>
    <v>GOLDBEES</v>
    <v>Daily</v>
    <v>45306</v>
    <v>45306</v>
    <v>0</v>
    <v>1</v>
    <v>638408736000000000,639087303912648062,0</v>
    <v>0</v>
    <v>ahhxpr</v>
    <v>XNSE:GOLDBEES</v>
    <v>2286</v>
  </rv>
  <rv s="1">
    <v>1</v>
    <v>GOLDBEES</v>
    <v>Daily</v>
    <v>45572</v>
    <v>45572</v>
    <v>0</v>
    <v>1</v>
    <v>638638560000000000,639087303909537977,0</v>
    <v>0</v>
    <v>ahhxpr</v>
    <v>XNSE:GOLDBEES</v>
    <v>2287</v>
  </rv>
  <rv s="1">
    <v>1</v>
    <v>GOLDBEES</v>
    <v>Daily</v>
    <v>45293</v>
    <v>45293</v>
    <v>0</v>
    <v>1</v>
    <v>638397504000000000,639087303910421791,0</v>
    <v>0</v>
    <v>ahhxpr</v>
    <v>XNSE:GOLDBEES</v>
    <v>2288</v>
  </rv>
  <rv s="1">
    <v>1</v>
    <v>GOLDBEES</v>
    <v>Daily</v>
    <v>45138</v>
    <v>45138</v>
    <v>0</v>
    <v>1</v>
    <v>638263584000000000,639087303910444010,0</v>
    <v>0</v>
    <v>ahhxpr</v>
    <v>XNSE:GOLDBEES</v>
    <v>2134</v>
  </rv>
  <rv s="1">
    <v>1</v>
    <v>GOLDBEES</v>
    <v>Daily</v>
    <v>45695</v>
    <v>45695</v>
    <v>0</v>
    <v>1</v>
    <v>638744832000000000,639087303911738336,0</v>
    <v>0</v>
    <v>ahhxpr</v>
    <v>XNSE:GOLDBEES</v>
    <v>2289</v>
  </rv>
  <rv s="1">
    <v>1</v>
    <v>GOLDBEES</v>
    <v>Daily</v>
    <v>44746</v>
    <v>44746</v>
    <v>0</v>
    <v>1</v>
    <v>637924896000000000,639087303913348220,0</v>
    <v>0</v>
    <v>ahhxpr</v>
    <v>XNSE:GOLDBEES</v>
    <v>2290</v>
  </rv>
  <rv s="1">
    <v>1</v>
    <v>GOLDBEES</v>
    <v>Daily</v>
    <v>45474</v>
    <v>45474</v>
    <v>0</v>
    <v>1</v>
    <v>638553888000000000,639087303916078837,0</v>
    <v>0</v>
    <v>ahhxpr</v>
    <v>XNSE:GOLDBEES</v>
    <v>1857</v>
  </rv>
  <rv s="1">
    <v>1</v>
    <v>GOLDBEES</v>
    <v>Daily</v>
    <v>45082</v>
    <v>45082</v>
    <v>0</v>
    <v>1</v>
    <v>638215200000000000,639087303914097970,0</v>
    <v>0</v>
    <v>ahhxpr</v>
    <v>XNSE:GOLDBEES</v>
    <v>2291</v>
  </rv>
  <rv s="1">
    <v>1</v>
    <v>GOLDBEES</v>
    <v>Daily</v>
    <v>45593</v>
    <v>45593</v>
    <v>0</v>
    <v>1</v>
    <v>638656704000000000,639087303914121020,0</v>
    <v>0</v>
    <v>ahhxpr</v>
    <v>XNSE:GOLDBEES</v>
    <v>2292</v>
  </rv>
  <rv s="1">
    <v>1</v>
    <v>GOLDBEES</v>
    <v>Daily</v>
    <v>44523</v>
    <v>44523</v>
    <v>0</v>
    <v>1</v>
    <v>637732224000000000,639087303914912323,0</v>
    <v>0</v>
    <v>ahhxpr</v>
    <v>XNSE:GOLDBEES</v>
    <v>2293</v>
  </rv>
  <rv s="1">
    <v>1</v>
    <v>GOLDBEES</v>
    <v>Daily</v>
    <v>45663</v>
    <v>45663</v>
    <v>0</v>
    <v>1</v>
    <v>638717184000000000,639087303915061444,0</v>
    <v>0</v>
    <v>ahhxpr</v>
    <v>XNSE:GOLDBEES</v>
    <v>2294</v>
  </rv>
  <rv s="1">
    <v>1</v>
    <v>GOLDBEES</v>
    <v>Daily</v>
    <v>45600</v>
    <v>45600</v>
    <v>0</v>
    <v>1</v>
    <v>638662752000000000,639087303914197529,0</v>
    <v>0</v>
    <v>ahhxpr</v>
    <v>XNSE:GOLDBEES</v>
    <v>2295</v>
  </rv>
  <rv s="1">
    <v>1</v>
    <v>GOLDBEES</v>
    <v>Daily</v>
    <v>44536</v>
    <v>44536</v>
    <v>0</v>
    <v>1</v>
    <v>637743456000000000,639087303914217456,0</v>
    <v>0</v>
    <v>ahhxpr</v>
    <v>XNSE:GOLDBEES</v>
    <v>2175</v>
  </rv>
  <rv s="1">
    <v>1</v>
    <v>GOLDBEES</v>
    <v>Daily</v>
    <v>44263</v>
    <v>44263</v>
    <v>0</v>
    <v>1</v>
    <v>637507584000000000,639087303915442064,0</v>
    <v>0</v>
    <v>ahhxpr</v>
    <v>XNSE:GOLDBEES</v>
    <v>2296</v>
  </rv>
  <rv s="1">
    <v>1</v>
    <v>GOLDBEES</v>
    <v>Daily</v>
    <v>45762</v>
    <v>45762</v>
    <v>0</v>
    <v>1</v>
    <v>638802720000000000,639087303915290644,0</v>
    <v>0</v>
    <v>ahhxpr</v>
    <v>XNSE:GOLDBEES</v>
    <v>2297</v>
  </rv>
  <rv s="1">
    <v>1</v>
    <v>GOLDBEES</v>
    <v>Daily</v>
    <v>45054</v>
    <v>45054</v>
    <v>0</v>
    <v>1</v>
    <v>638191008000000000,639087303915312633,0</v>
    <v>0</v>
    <v>ahhxpr</v>
    <v>XNSE:GOLDBEES</v>
    <v>1976</v>
  </rv>
  <rv s="1">
    <v>1</v>
    <v>GOLDBEES</v>
    <v>Daily</v>
    <v>44529</v>
    <v>44529</v>
    <v>0</v>
    <v>1</v>
    <v>637737408000000000,639087303915350379,0</v>
    <v>0</v>
    <v>ahhxpr</v>
    <v>XNSE:GOLDBEES</v>
    <v>2212</v>
  </rv>
  <rv s="1">
    <v>1</v>
    <v>GOLDBEES</v>
    <v>Daily</v>
    <v>44557</v>
    <v>44557</v>
    <v>0</v>
    <v>1</v>
    <v>637761600000000000,639087303915370294,0</v>
    <v>0</v>
    <v>ahhxpr</v>
    <v>XNSE:GOLDBEES</v>
    <v>2298</v>
  </rv>
  <rv s="1">
    <v>1</v>
    <v>GOLDBEES</v>
    <v>Daily</v>
    <v>44438</v>
    <v>44438</v>
    <v>0</v>
    <v>1</v>
    <v>637658784000000000,639087303916822510,0</v>
    <v>0</v>
    <v>ahhxpr</v>
    <v>XNSE:GOLDBEES</v>
    <v>2262</v>
  </rv>
  <rv s="1">
    <v>1</v>
    <v>GOLDBEES</v>
    <v>Daily</v>
    <v>44600</v>
    <v>44600</v>
    <v>0</v>
    <v>1</v>
    <v>637798752000000000,639087303917982789,0</v>
    <v>0</v>
    <v>ahhxpr</v>
    <v>XNSE:GOLDBEES</v>
    <v>2167</v>
  </rv>
  <rv s="1">
    <v>1</v>
    <v>GOLDBEES</v>
    <v>Daily</v>
    <v>45552</v>
    <v>45552</v>
    <v>0</v>
    <v>1</v>
    <v>638621280000000000,639087303916348095,0</v>
    <v>0</v>
    <v>ahhxpr</v>
    <v>XNSE:GOLDBEES</v>
    <v>2299</v>
  </rv>
  <rv s="1">
    <v>1</v>
    <v>GOLDBEES</v>
    <v>Daily</v>
    <v>44480</v>
    <v>44480</v>
    <v>0</v>
    <v>1</v>
    <v>637695072000000000,639087303918667935,0</v>
    <v>0</v>
    <v>ahhxpr</v>
    <v>XNSE:GOLDBEES</v>
    <v>2300</v>
  </rv>
  <rv s="1">
    <v>1</v>
    <v>GOLDBEES</v>
    <v>Daily</v>
    <v>45702</v>
    <v>45702</v>
    <v>0</v>
    <v>1</v>
    <v>638750880000000000,639087303918707750,0</v>
    <v>0</v>
    <v>ahhxpr</v>
    <v>XNSE:GOLDBEES</v>
    <v>2301</v>
  </rv>
  <rv s="1">
    <v>1</v>
    <v>GOLDBEES</v>
    <v>Daily</v>
    <v>44767</v>
    <v>44767</v>
    <v>0</v>
    <v>1</v>
    <v>637943040000000000,639087303921019949,0</v>
    <v>0</v>
    <v>ahhxpr</v>
    <v>XNSE:GOLDBEES</v>
    <v>2168</v>
  </rv>
  <rv s="1">
    <v>1</v>
    <v>GOLDBEES</v>
    <v>Daily</v>
    <v>44270</v>
    <v>44270</v>
    <v>0</v>
    <v>1</v>
    <v>637513632000000000,639087303921490057,0</v>
    <v>0</v>
    <v>ahhxpr</v>
    <v>XNSE:GOLDBEES</v>
    <v>2302</v>
  </rv>
  <rv s="1">
    <v>1</v>
    <v>GOLDBEES</v>
    <v>Daily</v>
    <v>44545</v>
    <v>44545</v>
    <v>0</v>
    <v>1</v>
    <v>637751232000000000,639087303921950160,0</v>
    <v>0</v>
    <v>ahhxpr</v>
    <v>XNSE:GOLDBEES</v>
    <v>2303</v>
  </rv>
  <rv s="1">
    <v>1</v>
    <v>GOLDBEES</v>
    <v>Daily</v>
    <v>44739</v>
    <v>44739</v>
    <v>0</v>
    <v>1</v>
    <v>637918848000000000,639087303919691324,0</v>
    <v>0</v>
    <v>ahhxpr</v>
    <v>XNSE:GOLDBEES</v>
    <v>2013</v>
  </rv>
  <rv s="1">
    <v>1</v>
    <v>GOLDBEES</v>
    <v>Daily</v>
    <v>44909</v>
    <v>44909</v>
    <v>0</v>
    <v>1</v>
    <v>638065728000000000,639087303919840664,0</v>
    <v>0</v>
    <v>ahhxpr</v>
    <v>XNSE:GOLDBEES</v>
    <v>2304</v>
  </rv>
  <rv s="1">
    <v>1</v>
    <v>GOLDBEES</v>
    <v>Daily</v>
    <v>44592</v>
    <v>44592</v>
    <v>0</v>
    <v>1</v>
    <v>637791840000000000,639087303920369806,0</v>
    <v>0</v>
    <v>ahhxpr</v>
    <v>XNSE:GOLDBEES</v>
    <v>2305</v>
  </rv>
  <rv s="1">
    <v>1</v>
    <v>GOLDBEES</v>
    <v>Daily</v>
    <v>45684</v>
    <v>45684</v>
    <v>0</v>
    <v>1</v>
    <v>638735328000000000,639087303921310017,0</v>
    <v>0</v>
    <v>ahhxpr</v>
    <v>XNSE:GOLDBEES</v>
    <v>2306</v>
  </rv>
  <rv s="1">
    <v>1</v>
    <v>GOLDBEES</v>
    <v>Daily</v>
    <v>44865</v>
    <v>44865</v>
    <v>0</v>
    <v>1</v>
    <v>638027712000000000,639087303922520304,0</v>
    <v>0</v>
    <v>ahhxpr</v>
    <v>XNSE:GOLDBEES</v>
    <v>2307</v>
  </rv>
  <rv s="1">
    <v>1</v>
    <v>GOLDBEES</v>
    <v>Daily</v>
    <v>45075</v>
    <v>45075</v>
    <v>0</v>
    <v>1</v>
    <v>638209152000000000,639087303920264043,0</v>
    <v>0</v>
    <v>ahhxpr</v>
    <v>XNSE:GOLDBEES</v>
    <v>2308</v>
  </rv>
  <rv s="1">
    <v>1</v>
    <v>GOLDBEES</v>
    <v>Daily</v>
    <v>44487</v>
    <v>44487</v>
    <v>0</v>
    <v>1</v>
    <v>637701120000000000,639087303920283951,0</v>
    <v>0</v>
    <v>ahhxpr</v>
    <v>XNSE:GOLDBEES</v>
    <v>2140</v>
  </rv>
  <rv s="1">
    <v>1</v>
    <v>GOLDBEES</v>
    <v>Daily</v>
    <v>44760</v>
    <v>44760</v>
    <v>0</v>
    <v>1</v>
    <v>637936992000000000,639087303920305872,0</v>
    <v>0</v>
    <v>ahhxpr</v>
    <v>XNSE:GOLDBEES</v>
    <v>2309</v>
  </rv>
  <rv s="1">
    <v>1</v>
    <v>GOLDBEES</v>
    <v>Daily</v>
    <v>44928</v>
    <v>44928</v>
    <v>0</v>
    <v>1</v>
    <v>638082144000000000,639087303920951024,0</v>
    <v>0</v>
    <v>ahhxpr</v>
    <v>XNSE:GOLDBEES</v>
    <v>2310</v>
  </rv>
  <rv s="1">
    <v>1</v>
    <v>GOLDBEES</v>
    <v>Daily</v>
    <v>44522</v>
    <v>44522</v>
    <v>0</v>
    <v>1</v>
    <v>637731360000000000,639087303920990846,0</v>
    <v>0</v>
    <v>ahhxpr</v>
    <v>XNSE:GOLDBEES</v>
    <v>2311</v>
  </rv>
  <rv s="1">
    <v>1</v>
    <v>GOLDBEES</v>
    <v>Daily</v>
    <v>45502</v>
    <v>45502</v>
    <v>0</v>
    <v>1</v>
    <v>638578080000000000,639087303921050584,0</v>
    <v>0</v>
    <v>ahhxpr</v>
    <v>XNSE:GOLDBEES</v>
    <v>2312</v>
  </rv>
  <rv s="1">
    <v>1</v>
    <v>GOLDBEES</v>
    <v>Daily</v>
    <v>44550</v>
    <v>44550</v>
    <v>0</v>
    <v>1</v>
    <v>637755552000000000,639087303920617247,0</v>
    <v>0</v>
    <v>ahhxpr</v>
    <v>XNSE:GOLDBEES</v>
    <v>2313</v>
  </rv>
  <rv s="1">
    <v>1</v>
    <v>GOLDBEES</v>
    <v>Daily</v>
    <v>45264</v>
    <v>45264</v>
    <v>0</v>
    <v>1</v>
    <v>638372448000000000,639087303920756636,0</v>
    <v>0</v>
    <v>ahhxpr</v>
    <v>XNSE:GOLDBEES</v>
    <v>2314</v>
  </rv>
  <rv s="1">
    <v>1</v>
    <v>GOLDBEES</v>
    <v>Daily</v>
    <v>45495</v>
    <v>45495</v>
    <v>0</v>
    <v>1</v>
    <v>638572032000000000,639087303922968992,0</v>
    <v>0</v>
    <v>ahhxpr</v>
    <v>XNSE:GOLDBEES</v>
    <v>2315</v>
  </rv>
  <rv s="1">
    <v>1</v>
    <v>GOLDBEES</v>
    <v>Daily</v>
    <v>44893</v>
    <v>44893</v>
    <v>0</v>
    <v>1</v>
    <v>638051904000000000,639087303923118334,0</v>
    <v>0</v>
    <v>ahhxpr</v>
    <v>XNSE:GOLDBEES</v>
    <v>2316</v>
  </rv>
  <rv s="1">
    <v>1</v>
    <v>GOLDBEES</v>
    <v>Daily</v>
    <v>45096</v>
    <v>45096</v>
    <v>0</v>
    <v>1</v>
    <v>638227296000000000,639087303927791479,0</v>
    <v>0</v>
    <v>ahhxpr</v>
    <v>XNSE:GOLDBEES</v>
    <v>2317</v>
  </rv>
  <rv s="1">
    <v>1</v>
    <v>GOLDBEES</v>
    <v>Daily</v>
    <v>44494</v>
    <v>44494</v>
    <v>0</v>
    <v>1</v>
    <v>637707168000000000,639087303972997224,0</v>
    <v>0</v>
    <v>ahhxpr</v>
    <v>XNSE:GOLDBEES</v>
    <v>2318</v>
  </rv>
  <rv s="1">
    <v>1</v>
    <v>GOLDBEES</v>
    <v>Daily</v>
    <v>45635</v>
    <v>45635</v>
    <v>0</v>
    <v>1</v>
    <v>638692992000000000,639087303975226521,0</v>
    <v>0</v>
    <v>ahhxpr</v>
    <v>XNSE:GOLDBEES</v>
    <v>2319</v>
  </rv>
  <rv s="1">
    <v>1</v>
    <v>GOLDBEES</v>
    <v>Daily</v>
    <v>45355</v>
    <v>45355</v>
    <v>0</v>
    <v>1</v>
    <v>638451072000000000,639087303975109584,0</v>
    <v>0</v>
    <v>ahhxpr</v>
    <v>XNSE:GOLDBEES</v>
    <v>2320</v>
  </rv>
  <rv s="1">
    <v>1</v>
    <v>GOLDBEES</v>
    <v>Daily</v>
    <v>44333</v>
    <v>44333</v>
    <v>0</v>
    <v>1</v>
    <v>637568064000000000,639087303976274468,0</v>
    <v>0</v>
    <v>ahhxpr</v>
    <v>XNSE:GOLDBEES</v>
    <v>2321</v>
  </rv>
  <rv s="1">
    <v>1</v>
    <v>GOLDBEES</v>
    <v>Daily</v>
    <v>45068</v>
    <v>45068</v>
    <v>0</v>
    <v>1</v>
    <v>638203104000000000,639087303976503467,0</v>
    <v>0</v>
    <v>ahhxpr</v>
    <v>XNSE:GOLDBEES</v>
    <v>2322</v>
  </rv>
  <rv s="1">
    <v>1</v>
    <v>GOLDBEES</v>
    <v>Daily</v>
    <v>44291</v>
    <v>44291</v>
    <v>0</v>
    <v>1</v>
    <v>637531776000000000,639087303976971426,0</v>
    <v>0</v>
    <v>ahhxpr</v>
    <v>XNSE:GOLDBEES</v>
    <v>2323</v>
  </rv>
  <rv s="1">
    <v>1</v>
    <v>GOLDBEES</v>
    <v>Daily</v>
    <v>44340</v>
    <v>44340</v>
    <v>0</v>
    <v>1</v>
    <v>637574112000000000,639087303975361914,0</v>
    <v>0</v>
    <v>ahhxpr</v>
    <v>XNSE:GOLDBEES</v>
    <v>2324</v>
  </rv>
  <rv s="1">
    <v>1</v>
    <v>GOLDBEES</v>
    <v>Daily</v>
    <v>45131</v>
    <v>45131</v>
    <v>0</v>
    <v>1</v>
    <v>638257536000000000,639087303975607397,0</v>
    <v>0</v>
    <v>ahhxpr</v>
    <v>XNSE:GOLDBEES</v>
    <v>2325</v>
  </rv>
  <rv s="1">
    <v>1</v>
    <v>GOLDBEES</v>
    <v>Daily</v>
    <v>45670</v>
    <v>45670</v>
    <v>0</v>
    <v>1</v>
    <v>638723232000000000,639087303976802159,0</v>
    <v>0</v>
    <v>ahhxpr</v>
    <v>XNSE:GOLDBEES</v>
    <v>2326</v>
  </rv>
  <rv s="1">
    <v>1</v>
    <v>GOLDBEES</v>
    <v>Daily</v>
    <v>44382</v>
    <v>44382</v>
    <v>0</v>
    <v>1</v>
    <v>637610400000000000,639087303976821594,0</v>
    <v>0</v>
    <v>ahhxpr</v>
    <v>XNSE:GOLDBEES</v>
    <v>2327</v>
  </rv>
  <rv s="1">
    <v>1</v>
    <v>GOLDBEES</v>
    <v>Daily</v>
    <v>45173</v>
    <v>45173</v>
    <v>0</v>
    <v>1</v>
    <v>638293824000000000,639087303978631993,0</v>
    <v>0</v>
    <v>ahhxpr</v>
    <v>XNSE:GOLDBEES</v>
    <v>2204</v>
  </rv>
  <rv s="1">
    <v>1</v>
    <v>GOLDBEES</v>
    <v>Daily</v>
    <v>44445</v>
    <v>44445</v>
    <v>0</v>
    <v>1</v>
    <v>637664832000000000,639087303976276141,0</v>
    <v>0</v>
    <v>ahhxpr</v>
    <v>XNSE:GOLDBEES</v>
    <v>2328</v>
  </rv>
  <rv s="1">
    <v>1</v>
    <v>GOLDBEES</v>
    <v>Daily</v>
    <v>44690</v>
    <v>44690</v>
    <v>0</v>
    <v>1</v>
    <v>637876512000000000,639087303976964877,0</v>
    <v>0</v>
    <v>ahhxpr</v>
    <v>XNSE:GOLDBEES</v>
    <v>2329</v>
  </rv>
  <rv s="1">
    <v>1</v>
    <v>GOLDBEES</v>
    <v>Daily</v>
    <v>44851</v>
    <v>44851</v>
    <v>0</v>
    <v>1</v>
    <v>638015616000000000,639087303977432818,0</v>
    <v>0</v>
    <v>ahhxpr</v>
    <v>XNSE:GOLDBEES</v>
    <v>2330</v>
  </rv>
  <rv s="1">
    <v>1</v>
    <v>GOLDBEES</v>
    <v>Daily</v>
    <v>44368</v>
    <v>44368</v>
    <v>0</v>
    <v>1</v>
    <v>637598304000000000,639087303977930798,0</v>
    <v>0</v>
    <v>ahhxpr</v>
    <v>XNSE:GOLDBEES</v>
    <v>2331</v>
  </rv>
  <rv s="1">
    <v>1</v>
    <v>GOLDBEES</v>
    <v>Daily</v>
    <v>44599</v>
    <v>44599</v>
    <v>0</v>
    <v>1</v>
    <v>637797888000000000,639087303978972670,0</v>
    <v>0</v>
    <v>ahhxpr</v>
    <v>XNSE:GOLDBEES</v>
    <v>2332</v>
  </rv>
  <rv s="1">
    <v>1</v>
    <v>GOLDBEES</v>
    <v>Daily</v>
    <v>44943</v>
    <v>44943</v>
    <v>0</v>
    <v>1</v>
    <v>638095104000000000,639087303979443987,0</v>
    <v>0</v>
    <v>ahhxpr</v>
    <v>XNSE:GOLDBEES</v>
    <v>1986</v>
  </rv>
  <rv s="1">
    <v>1</v>
    <v>GOLDBEES</v>
    <v>Daily</v>
    <v>45467</v>
    <v>45467</v>
    <v>0</v>
    <v>1</v>
    <v>638547840000000000,639087303980637006,0</v>
    <v>0</v>
    <v>ahhxpr</v>
    <v>XNSE:GOLDBEES</v>
    <v>1930</v>
  </rv>
  <rv s="1">
    <v>1</v>
    <v>GOLDBEES</v>
    <v>Daily</v>
    <v>44389</v>
    <v>44389</v>
    <v>0</v>
    <v>1</v>
    <v>637616448000000000,639087303978797389,0</v>
    <v>0</v>
    <v>ahhxpr</v>
    <v>XNSE:GOLDBEES</v>
    <v>2333</v>
  </rv>
  <rv s="1">
    <v>1</v>
    <v>GOLDBEES</v>
    <v>Daily</v>
    <v>44473</v>
    <v>44473</v>
    <v>0</v>
    <v>1</v>
    <v>637689024000000000,639087303980763427,0</v>
    <v>0</v>
    <v>ahhxpr</v>
    <v>XNSE:GOLDBEES</v>
    <v>2334</v>
  </rv>
  <rv s="1">
    <v>1</v>
    <v>GOLDBEES</v>
    <v>Daily</v>
    <v>44305</v>
    <v>44305</v>
    <v>0</v>
    <v>1</v>
    <v>637543872000000000,639087303978353588,0</v>
    <v>0</v>
    <v>ahhxpr</v>
    <v>XNSE:GOLDBEES</v>
    <v>2276</v>
  </rv>
  <rv s="1">
    <v>1</v>
    <v>GOLDBEES</v>
    <v>Daily</v>
    <v>45327</v>
    <v>45327</v>
    <v>0</v>
    <v>1</v>
    <v>638426880000000000,639087303978385515,0</v>
    <v>0</v>
    <v>ahhxpr</v>
    <v>XNSE:GOLDBEES</v>
    <v>2335</v>
  </rv>
  <rv s="1">
    <v>1</v>
    <v>GOLDBEES</v>
    <v>Daily</v>
    <v>44502</v>
    <v>44502</v>
    <v>0</v>
    <v>1</v>
    <v>637714080000000000,639087303978403385,0</v>
    <v>0</v>
    <v>ahhxpr</v>
    <v>XNSE:GOLDBEES</v>
    <v>2336</v>
  </rv>
  <rv s="1">
    <v>1</v>
    <v>GOLDBEES</v>
    <v>Daily</v>
    <v>44467</v>
    <v>44467</v>
    <v>0</v>
    <v>1</v>
    <v>637683840000000000,639087303978425336,0</v>
    <v>0</v>
    <v>ahhxpr</v>
    <v>XNSE:GOLDBEES</v>
    <v>2337</v>
  </rv>
  <rv s="1">
    <v>1</v>
    <v>GOLDBEES</v>
    <v>Daily</v>
    <v>44774</v>
    <v>44774</v>
    <v>0</v>
    <v>1</v>
    <v>637949088000000000,639087303982236539,0</v>
    <v>0</v>
    <v>ahhxpr</v>
    <v>XNSE:GOLDBEES</v>
    <v>2338</v>
  </rv>
  <rv s="1">
    <v>1</v>
    <v>GOLDBEES</v>
    <v>Daily</v>
    <v>45334</v>
    <v>45334</v>
    <v>0</v>
    <v>1</v>
    <v>638432928000000000,639087303982276535,0</v>
    <v>0</v>
    <v>ahhxpr</v>
    <v>XNSE:GOLDBEES</v>
    <v>2339</v>
  </rv>
  <rv s="1">
    <v>1</v>
    <v>GOLDBEES</v>
    <v>Daily</v>
    <v>44410</v>
    <v>44410</v>
    <v>0</v>
    <v>1</v>
    <v>637634592000000000,639087303982316192,0</v>
    <v>0</v>
    <v>ahhxpr</v>
    <v>XNSE:GOLDBEES</v>
    <v>2276</v>
  </rv>
  <rv s="1">
    <v>1</v>
    <v>GOLDBEES</v>
    <v>Daily</v>
    <v>45180</v>
    <v>45180</v>
    <v>0</v>
    <v>1</v>
    <v>638299872000000000,639087303982407843,0</v>
    <v>0</v>
    <v>ahhxpr</v>
    <v>XNSE:GOLDBEES</v>
    <v>2110</v>
  </rv>
  <rv s="1">
    <v>1</v>
    <v>GOLDBEES</v>
    <v>Daily</v>
    <v>45362</v>
    <v>45362</v>
    <v>0</v>
    <v>1</v>
    <v>638457120000000000,639087303982467578,0</v>
    <v>0</v>
    <v>ahhxpr</v>
    <v>XNSE:GOLDBEES</v>
    <v>2340</v>
  </rv>
  <rv s="1">
    <v>1</v>
    <v>GOLDBEES</v>
    <v>Daily</v>
    <v>45194</v>
    <v>45194</v>
    <v>0</v>
    <v>1</v>
    <v>638311968000000000,639087303983232162,0</v>
    <v>0</v>
    <v>ahhxpr</v>
    <v>XNSE:GOLDBEES</v>
    <v>2341</v>
  </rv>
  <rv s="1">
    <v>1</v>
    <v>GOLDBEES</v>
    <v>Daily</v>
    <v>45488</v>
    <v>45488</v>
    <v>0</v>
    <v>1</v>
    <v>638565984000000000,639087303983722073,0</v>
    <v>0</v>
    <v>ahhxpr</v>
    <v>XNSE:GOLDBEES</v>
    <v>2342</v>
  </rv>
  <rv s="1">
    <v>1</v>
    <v>GOLDBEES</v>
    <v>Daily</v>
    <v>44516</v>
    <v>44516</v>
    <v>0</v>
    <v>1</v>
    <v>637726176000000000,639087303984050609,0</v>
    <v>0</v>
    <v>ahhxpr</v>
    <v>XNSE:GOLDBEES</v>
    <v>2343</v>
  </rv>
  <rv s="1">
    <v>1</v>
    <v>GOLDBEES</v>
    <v>Daily</v>
    <v>44501</v>
    <v>44501</v>
    <v>0</v>
    <v>1</v>
    <v>637713216000000000,639087303984008754,0</v>
    <v>0</v>
    <v>ahhxpr</v>
    <v>XNSE:GOLDBEES</v>
    <v>2344</v>
  </rv>
  <rv s="1">
    <v>1</v>
    <v>GOLDBEES</v>
    <v>Daily</v>
    <v>45124</v>
    <v>45124</v>
    <v>0</v>
    <v>1</v>
    <v>638251488000000000,639087303984030711,0</v>
    <v>0</v>
    <v>ahhxpr</v>
    <v>XNSE:GOLDBEES</v>
    <v>2223</v>
  </rv>
  <rv s="1">
    <v>1</v>
    <v>GOLDBEES</v>
    <v>Daily</v>
    <v>44949</v>
    <v>44949</v>
    <v>0</v>
    <v>1</v>
    <v>638100288000000000,639087303984078445,0</v>
    <v>0</v>
    <v>ahhxpr</v>
    <v>XNSE:GOLDBEES</v>
    <v>2345</v>
  </rv>
  <rv s="1">
    <v>1</v>
    <v>GOLDBEES</v>
    <v>Daily</v>
    <v>44781</v>
    <v>44781</v>
    <v>0</v>
    <v>1</v>
    <v>637955136000000000,639087303984110417,0</v>
    <v>0</v>
    <v>ahhxpr</v>
    <v>XNSE:GOLDBEES</v>
    <v>1894</v>
  </rv>
  <rv s="1">
    <v>1</v>
    <v>GOLDBEES</v>
    <v>Daily</v>
    <v>45453</v>
    <v>45453</v>
    <v>0</v>
    <v>1</v>
    <v>638535744000000000,639087303983393922,0</v>
    <v>0</v>
    <v>ahhxpr</v>
    <v>XNSE:GOLDBEES</v>
    <v>2346</v>
  </rv>
  <rv s="1">
    <v>1</v>
    <v>GOLDBEES</v>
    <v>Daily</v>
    <v>44935</v>
    <v>44935</v>
    <v>0</v>
    <v>1</v>
    <v>638088192000000000,639087303983443705,0</v>
    <v>0</v>
    <v>ahhxpr</v>
    <v>XNSE:GOLDBEES</v>
    <v>2347</v>
  </rv>
  <rv s="1">
    <v>1</v>
    <v>GOLDBEES</v>
    <v>Daily</v>
    <v>45250</v>
    <v>45250</v>
    <v>0</v>
    <v>1</v>
    <v>638360352000000000,639087303983556104,0</v>
    <v>0</v>
    <v>ahhxpr</v>
    <v>XNSE:GOLDBEES</v>
    <v>2348</v>
  </rv>
  <rv s="1">
    <v>1</v>
    <v>GOLDBEES</v>
    <v>Daily</v>
    <v>44460</v>
    <v>44460</v>
    <v>0</v>
    <v>1</v>
    <v>637677792000000000,639087303985513968,0</v>
    <v>0</v>
    <v>ahhxpr</v>
    <v>XNSE:GOLDBEES</v>
    <v>2349</v>
  </rv>
  <rv s="1">
    <v>1</v>
    <v>GOLDBEES</v>
    <v>Daily</v>
    <v>44453</v>
    <v>44453</v>
    <v>0</v>
    <v>1</v>
    <v>637671744000000000,639087303983013137,0</v>
    <v>0</v>
    <v>ahhxpr</v>
    <v>XNSE:GOLDBEES</v>
    <v>2350</v>
  </rv>
  <rv s="1">
    <v>1</v>
    <v>GOLDBEES</v>
    <v>Daily</v>
    <v>44446</v>
    <v>44446</v>
    <v>0</v>
    <v>1</v>
    <v>637665696000000000,639087303983092777,0</v>
    <v>0</v>
    <v>ahhxpr</v>
    <v>XNSE:GOLDBEES</v>
    <v>2351</v>
  </rv>
  <rv s="1">
    <v>1</v>
    <v>GOLDBEES</v>
    <v>Daily</v>
    <v>44417</v>
    <v>44417</v>
    <v>0</v>
    <v>1</v>
    <v>637640640000000000,639087303984319456,0</v>
    <v>0</v>
    <v>ahhxpr</v>
    <v>XNSE:GOLDBEES</v>
    <v>2352</v>
  </rv>
  <rv s="1">
    <v>1</v>
    <v>GOLDBEES</v>
    <v>Daily</v>
    <v>45083</v>
    <v>45083</v>
    <v>0</v>
    <v>1</v>
    <v>638216064000000000,639087303985305109,0</v>
    <v>0</v>
    <v>ahhxpr</v>
    <v>XNSE:GOLDBEES</v>
    <v>2353</v>
  </rv>
  <rv s="1">
    <v>1</v>
    <v>GOLDBEES</v>
    <v>Daily</v>
    <v>44872</v>
    <v>44872</v>
    <v>0</v>
    <v>1</v>
    <v>638033760000000000,639087303985228750,0</v>
    <v>0</v>
    <v>ahhxpr</v>
    <v>XNSE:GOLDBEES</v>
    <v>2354</v>
  </rv>
  <rv s="1">
    <v>1</v>
    <v>GOLDBEES</v>
    <v>Daily</v>
    <v>44718</v>
    <v>44718</v>
    <v>0</v>
    <v>1</v>
    <v>637900704000000000,639087303986609819,0</v>
    <v>0</v>
    <v>ahhxpr</v>
    <v>XNSE:GOLDBEES</v>
    <v>2355</v>
  </rv>
  <rv s="1">
    <v>1</v>
    <v>GOLDBEES</v>
    <v>Daily</v>
    <v>44580</v>
    <v>44580</v>
    <v>0</v>
    <v>1</v>
    <v>637781472000000000,639087303986652499,0</v>
    <v>0</v>
    <v>ahhxpr</v>
    <v>XNSE:GOLDBEES</v>
    <v>2356</v>
  </rv>
  <rv s="1">
    <v>1</v>
    <v>GOLDBEES</v>
    <v>Daily</v>
    <v>44566</v>
    <v>44566</v>
    <v>0</v>
    <v>1</v>
    <v>637769376000000000,639087303986705063,0</v>
    <v>0</v>
    <v>ahhxpr</v>
    <v>XNSE:GOLDBEES</v>
    <v>2085</v>
  </rv>
  <rv s="1">
    <v>1</v>
    <v>GOLDBEES</v>
    <v>Daily</v>
    <v>45309</v>
    <v>45309</v>
    <v>0</v>
    <v>1</v>
    <v>638411328000000000,639150494097311112,0</v>
    <v>0</v>
    <v>ahhxpr</v>
    <v>XNSE:GOLDBEES</v>
    <v>2357</v>
  </rv>
  <rv s="1">
    <v>1</v>
    <v>GOLDBEES</v>
    <v>Daily</v>
    <v>44564</v>
    <v>44564</v>
    <v>0</v>
    <v>1</v>
    <v>637767648000000000,639150494216935436,0</v>
    <v>0</v>
    <v>ahhxpr</v>
    <v>XNSE:GOLDBEES</v>
    <v>2358</v>
  </rv>
  <rv s="1">
    <v>1</v>
    <v>GOLDBEES</v>
    <v>Daily</v>
    <v>45231</v>
    <v>45231</v>
    <v>0</v>
    <v>1</v>
    <v>638343936000000000,639150494237431389,0</v>
    <v>0</v>
    <v>ahhxpr</v>
    <v>XNSE:GOLDBEES</v>
    <v>2359</v>
  </rv>
  <rv s="1">
    <v>1</v>
    <v>GOLDBEES</v>
    <v>Daily</v>
    <v>45575</v>
    <v>45575</v>
    <v>0</v>
    <v>1</v>
    <v>638641152000000000,639150494295536328,0</v>
    <v>0</v>
    <v>ahhxpr</v>
    <v>XNSE:GOLDBEES</v>
    <v>2360</v>
  </rv>
  <rv s="1">
    <v>1</v>
    <v>GOLDBEES</v>
    <v>Daily</v>
    <v>45127</v>
    <v>45127</v>
    <v>0</v>
    <v>1</v>
    <v>638254080000000000,639150494304550468,0</v>
    <v>0</v>
    <v>ahhxpr</v>
    <v>XNSE:GOLDBEES</v>
    <v>2361</v>
  </rv>
  <rv s="1">
    <v>1</v>
    <v>GOLDBEES</v>
    <v>Daily</v>
    <v>44693</v>
    <v>44693</v>
    <v>0</v>
    <v>1</v>
    <v>637879104000000000,639150494308280371,0</v>
    <v>0</v>
    <v>ahhxpr</v>
    <v>XNSE:GOLDBEES</v>
    <v>1907</v>
  </rv>
  <rv s="1">
    <v>1</v>
    <v>GOLDBEES</v>
    <v>Daily</v>
    <v>45622</v>
    <v>45622</v>
    <v>0</v>
    <v>1</v>
    <v>638681760000000000,639150494327250716,0</v>
    <v>0</v>
    <v>ahhxpr</v>
    <v>XNSE:GOLDBEES</v>
    <v>2362</v>
  </rv>
  <rv s="1">
    <v>1</v>
    <v>GOLDBEES</v>
    <v>Daily</v>
    <v>45278</v>
    <v>45278</v>
    <v>0</v>
    <v>1</v>
    <v>638384544000000000,639150494309118523,0</v>
    <v>0</v>
    <v>ahhxpr</v>
    <v>XNSE:GOLDBEES</v>
    <v>2357</v>
  </rv>
  <rv s="1">
    <v>1</v>
    <v>GOLDBEES</v>
    <v>Daily</v>
    <v>45259</v>
    <v>45259</v>
    <v>0</v>
    <v>1</v>
    <v>638368128000000000,639150494310384808,0</v>
    <v>0</v>
    <v>ahhxpr</v>
    <v>XNSE:GOLDBEES</v>
    <v>1959</v>
  </rv>
  <rv s="1">
    <v>1</v>
    <v>GOLDBEES</v>
    <v>Daily</v>
    <v>45677</v>
    <v>45677</v>
    <v>0</v>
    <v>1</v>
    <v>638729280000000000,639150494342639552,0</v>
    <v>0</v>
    <v>ahhxpr</v>
    <v>XNSE:GOLDBEES</v>
    <v>1951</v>
  </rv>
  <rv s="1">
    <v>1</v>
    <v>GOLDBEES</v>
    <v>Daily</v>
    <v>44866</v>
    <v>44866</v>
    <v>0</v>
    <v>1</v>
    <v>638028576000000000,639150494347968522,0</v>
    <v>0</v>
    <v>ahhxpr</v>
    <v>XNSE:GOLDBEES</v>
    <v>2363</v>
  </rv>
  <rv s="1">
    <v>1</v>
    <v>GOLDBEES</v>
    <v>Daily</v>
    <v>45713</v>
    <v>45713</v>
    <v>0</v>
    <v>1</v>
    <v>638760384000000000,639150494368688628,0</v>
    <v>0</v>
    <v>ahhxpr</v>
    <v>XNSE:GOLDBEES</v>
    <v>2364</v>
  </rv>
  <rv s="1">
    <v>1</v>
    <v>GOLDBEES</v>
    <v>Daily</v>
    <v>44663</v>
    <v>44663</v>
    <v>0</v>
    <v>1</v>
    <v>637853184000000000,639150494393947622,0</v>
    <v>0</v>
    <v>ahhxpr</v>
    <v>XNSE:GOLDBEES</v>
    <v>2365</v>
  </rv>
  <rv s="1">
    <v>1</v>
    <v>GOLDBEES</v>
    <v>Daily</v>
    <v>45097</v>
    <v>45097</v>
    <v>0</v>
    <v>1</v>
    <v>638228160000000000,639150494387446198,0</v>
    <v>0</v>
    <v>ahhxpr</v>
    <v>XNSE:GOLDBEES</v>
    <v>2223</v>
  </rv>
  <rv s="1">
    <v>1</v>
    <v>GOLDBEES</v>
    <v>Daily</v>
    <v>44768</v>
    <v>44768</v>
    <v>0</v>
    <v>1</v>
    <v>637943904000000000,639183116157864003,0</v>
    <v>0</v>
    <v>ahhxpr</v>
    <v>XNSE:GOLDBEES</v>
    <v>1970</v>
  </rv>
  <rv s="1">
    <v>1</v>
    <v>GOLDBEES</v>
    <v>Daily</v>
    <v>45498</v>
    <v>45498</v>
    <v>0</v>
    <v>1</v>
    <v>638574624000000000,639183116178431514,0</v>
    <v>0</v>
    <v>ahhxpr</v>
    <v>XNSE:GOLDBEES</v>
    <v>2366</v>
  </rv>
  <rv s="1">
    <v>1</v>
    <v>GOLDBEES</v>
    <v>Daily</v>
    <v>44677</v>
    <v>44677</v>
    <v>0</v>
    <v>1</v>
    <v>637865280000000000,639183116254863223,0</v>
    <v>0</v>
    <v>ahhxpr</v>
    <v>XNSE:GOLDBEES</v>
    <v>1979</v>
  </rv>
  <rv s="1">
    <v>1</v>
    <v>GOLDBEES</v>
    <v>Daily</v>
    <v>45468</v>
    <v>45468</v>
    <v>0</v>
    <v>1</v>
    <v>638548704000000000,639183116441894483,0</v>
    <v>0</v>
    <v>ahhxpr</v>
    <v>XNSE:GOLDBEES</v>
    <v>2367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2</v>
      <v>1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dd/mm/yyyy"/>
    </x:dxf>
  </dxfs>
  <richProperties>
    <rPr n="NumberFormat" t="s"/>
  </richProperties>
  <richStyles>
    <rSty dxfid="0">
      <rpv i="0" xml:space="preserve">_ [$₹-en-IN] * #,##0.00_ ;_ [$₹-en-IN] * -#,##0.00_ ;_ [$₹-en-IN] * "-"??_ ;_ @_ </rpv>
    </rSty>
    <rSty dxfid="1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046CF2B-9E08-4583-BE85-389E1944D040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  <we:property name="claude.fileId" value="&quot;2d37a375-d595-421f-8744-85f59db9a5d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1E54E-3087-4FD2-9755-40D176F0A340}">
  <dimension ref="A1:B330"/>
  <sheetViews>
    <sheetView tabSelected="1" workbookViewId="0">
      <pane ySplit="1" topLeftCell="A119" activePane="bottomLeft" state="frozen"/>
      <selection pane="bottomLeft" activeCell="B145" sqref="B145"/>
    </sheetView>
  </sheetViews>
  <sheetFormatPr defaultRowHeight="15" x14ac:dyDescent="0.25"/>
  <cols>
    <col min="1" max="1" width="15" bestFit="1" customWidth="1"/>
    <col min="2" max="2" width="26.42578125" bestFit="1" customWidth="1"/>
  </cols>
  <sheetData>
    <row r="1" spans="1:2" x14ac:dyDescent="0.25">
      <c r="A1" t="s">
        <v>331</v>
      </c>
      <c r="B1" t="s">
        <v>348</v>
      </c>
    </row>
    <row r="2" spans="1:2" x14ac:dyDescent="0.25">
      <c r="A2" t="s">
        <v>116</v>
      </c>
      <c r="B2" t="s">
        <v>336</v>
      </c>
    </row>
    <row r="3" spans="1:2" x14ac:dyDescent="0.25">
      <c r="A3" t="s">
        <v>189</v>
      </c>
      <c r="B3" t="s">
        <v>336</v>
      </c>
    </row>
    <row r="4" spans="1:2" x14ac:dyDescent="0.25">
      <c r="A4" t="s">
        <v>198</v>
      </c>
      <c r="B4" t="s">
        <v>61</v>
      </c>
    </row>
    <row r="5" spans="1:2" x14ac:dyDescent="0.25">
      <c r="A5" t="s">
        <v>318</v>
      </c>
      <c r="B5" t="s">
        <v>385</v>
      </c>
    </row>
    <row r="6" spans="1:2" x14ac:dyDescent="0.25">
      <c r="A6" t="s">
        <v>269</v>
      </c>
      <c r="B6" t="s">
        <v>339</v>
      </c>
    </row>
    <row r="7" spans="1:2" x14ac:dyDescent="0.25">
      <c r="A7" t="s">
        <v>254</v>
      </c>
      <c r="B7" t="s">
        <v>371</v>
      </c>
    </row>
    <row r="8" spans="1:2" x14ac:dyDescent="0.25">
      <c r="A8" t="s">
        <v>63</v>
      </c>
      <c r="B8" t="s">
        <v>347</v>
      </c>
    </row>
    <row r="9" spans="1:2" x14ac:dyDescent="0.25">
      <c r="A9" t="s">
        <v>133</v>
      </c>
      <c r="B9" t="s">
        <v>340</v>
      </c>
    </row>
    <row r="10" spans="1:2" x14ac:dyDescent="0.25">
      <c r="A10" t="s">
        <v>147</v>
      </c>
      <c r="B10" t="s">
        <v>347</v>
      </c>
    </row>
    <row r="11" spans="1:2" x14ac:dyDescent="0.25">
      <c r="A11" t="s">
        <v>192</v>
      </c>
      <c r="B11" t="s">
        <v>334</v>
      </c>
    </row>
    <row r="12" spans="1:2" x14ac:dyDescent="0.25">
      <c r="A12" t="s">
        <v>128</v>
      </c>
      <c r="B12" t="s">
        <v>61</v>
      </c>
    </row>
    <row r="13" spans="1:2" x14ac:dyDescent="0.25">
      <c r="A13" t="s">
        <v>207</v>
      </c>
      <c r="B13" t="s">
        <v>337</v>
      </c>
    </row>
    <row r="14" spans="1:2" x14ac:dyDescent="0.25">
      <c r="A14" t="s">
        <v>152</v>
      </c>
      <c r="B14" t="s">
        <v>27</v>
      </c>
    </row>
    <row r="15" spans="1:2" x14ac:dyDescent="0.25">
      <c r="A15" t="s">
        <v>100</v>
      </c>
      <c r="B15" t="s">
        <v>365</v>
      </c>
    </row>
    <row r="16" spans="1:2" x14ac:dyDescent="0.25">
      <c r="A16" t="s">
        <v>205</v>
      </c>
      <c r="B16" t="s">
        <v>380</v>
      </c>
    </row>
    <row r="17" spans="1:2" x14ac:dyDescent="0.25">
      <c r="A17" t="s">
        <v>64</v>
      </c>
      <c r="B17" t="s">
        <v>345</v>
      </c>
    </row>
    <row r="18" spans="1:2" x14ac:dyDescent="0.25">
      <c r="A18" t="s">
        <v>107</v>
      </c>
      <c r="B18" t="s">
        <v>354</v>
      </c>
    </row>
    <row r="19" spans="1:2" x14ac:dyDescent="0.25">
      <c r="A19" t="s">
        <v>240</v>
      </c>
      <c r="B19" t="s">
        <v>113</v>
      </c>
    </row>
    <row r="20" spans="1:2" x14ac:dyDescent="0.25">
      <c r="A20" t="s">
        <v>203</v>
      </c>
      <c r="B20" t="s">
        <v>336</v>
      </c>
    </row>
    <row r="21" spans="1:2" x14ac:dyDescent="0.25">
      <c r="A21" t="s">
        <v>21</v>
      </c>
      <c r="B21" t="s">
        <v>336</v>
      </c>
    </row>
    <row r="22" spans="1:2" x14ac:dyDescent="0.25">
      <c r="A22" t="s">
        <v>151</v>
      </c>
      <c r="B22" t="s">
        <v>336</v>
      </c>
    </row>
    <row r="23" spans="1:2" x14ac:dyDescent="0.25">
      <c r="A23" t="s">
        <v>255</v>
      </c>
      <c r="B23" t="s">
        <v>336</v>
      </c>
    </row>
    <row r="24" spans="1:2" x14ac:dyDescent="0.25">
      <c r="A24" t="s">
        <v>132</v>
      </c>
      <c r="B24" t="s">
        <v>336</v>
      </c>
    </row>
    <row r="25" spans="1:2" x14ac:dyDescent="0.25">
      <c r="A25" t="s">
        <v>85</v>
      </c>
      <c r="B25" t="s">
        <v>336</v>
      </c>
    </row>
    <row r="26" spans="1:2" x14ac:dyDescent="0.25">
      <c r="A26" t="s">
        <v>80</v>
      </c>
      <c r="B26" t="s">
        <v>336</v>
      </c>
    </row>
    <row r="27" spans="1:2" x14ac:dyDescent="0.25">
      <c r="A27" t="s">
        <v>245</v>
      </c>
      <c r="B27" t="s">
        <v>336</v>
      </c>
    </row>
    <row r="28" spans="1:2" x14ac:dyDescent="0.25">
      <c r="A28" t="s">
        <v>249</v>
      </c>
      <c r="B28" t="s">
        <v>352</v>
      </c>
    </row>
    <row r="29" spans="1:2" x14ac:dyDescent="0.25">
      <c r="A29" t="s">
        <v>326</v>
      </c>
      <c r="B29" t="s">
        <v>352</v>
      </c>
    </row>
    <row r="30" spans="1:2" x14ac:dyDescent="0.25">
      <c r="A30" t="s">
        <v>230</v>
      </c>
      <c r="B30" t="s">
        <v>334</v>
      </c>
    </row>
    <row r="31" spans="1:2" x14ac:dyDescent="0.25">
      <c r="A31" t="s">
        <v>148</v>
      </c>
      <c r="B31" t="s">
        <v>353</v>
      </c>
    </row>
    <row r="32" spans="1:2" x14ac:dyDescent="0.25">
      <c r="A32" t="s">
        <v>273</v>
      </c>
      <c r="B32" t="s">
        <v>336</v>
      </c>
    </row>
    <row r="33" spans="1:2" x14ac:dyDescent="0.25">
      <c r="A33" t="s">
        <v>166</v>
      </c>
      <c r="B33" t="s">
        <v>113</v>
      </c>
    </row>
    <row r="34" spans="1:2" x14ac:dyDescent="0.25">
      <c r="A34" t="s">
        <v>90</v>
      </c>
      <c r="B34" t="s">
        <v>334</v>
      </c>
    </row>
    <row r="35" spans="1:2" x14ac:dyDescent="0.25">
      <c r="A35" t="s">
        <v>106</v>
      </c>
      <c r="B35" t="s">
        <v>337</v>
      </c>
    </row>
    <row r="36" spans="1:2" x14ac:dyDescent="0.25">
      <c r="A36" t="s">
        <v>283</v>
      </c>
      <c r="B36" t="s">
        <v>113</v>
      </c>
    </row>
    <row r="37" spans="1:2" x14ac:dyDescent="0.25">
      <c r="A37" t="s">
        <v>41</v>
      </c>
      <c r="B37" t="s">
        <v>61</v>
      </c>
    </row>
    <row r="38" spans="1:2" x14ac:dyDescent="0.25">
      <c r="A38" t="s">
        <v>115</v>
      </c>
      <c r="B38" t="s">
        <v>356</v>
      </c>
    </row>
    <row r="39" spans="1:2" x14ac:dyDescent="0.25">
      <c r="A39" t="s">
        <v>267</v>
      </c>
      <c r="B39" t="s">
        <v>334</v>
      </c>
    </row>
    <row r="40" spans="1:2" x14ac:dyDescent="0.25">
      <c r="A40" t="s">
        <v>162</v>
      </c>
      <c r="B40" t="s">
        <v>368</v>
      </c>
    </row>
    <row r="41" spans="1:2" x14ac:dyDescent="0.25">
      <c r="A41" t="s">
        <v>271</v>
      </c>
      <c r="B41" t="s">
        <v>359</v>
      </c>
    </row>
    <row r="42" spans="1:2" x14ac:dyDescent="0.25">
      <c r="A42" t="s">
        <v>301</v>
      </c>
      <c r="B42" t="s">
        <v>359</v>
      </c>
    </row>
    <row r="43" spans="1:2" x14ac:dyDescent="0.25">
      <c r="A43" t="s">
        <v>126</v>
      </c>
      <c r="B43" t="s">
        <v>359</v>
      </c>
    </row>
    <row r="44" spans="1:2" x14ac:dyDescent="0.25">
      <c r="A44" t="s">
        <v>231</v>
      </c>
      <c r="B44" t="s">
        <v>359</v>
      </c>
    </row>
    <row r="45" spans="1:2" x14ac:dyDescent="0.25">
      <c r="A45" t="s">
        <v>233</v>
      </c>
      <c r="B45" t="s">
        <v>359</v>
      </c>
    </row>
    <row r="46" spans="1:2" x14ac:dyDescent="0.25">
      <c r="A46" t="s">
        <v>66</v>
      </c>
      <c r="B46" t="s">
        <v>67</v>
      </c>
    </row>
    <row r="47" spans="1:2" x14ac:dyDescent="0.25">
      <c r="A47" t="s">
        <v>136</v>
      </c>
      <c r="B47" t="s">
        <v>136</v>
      </c>
    </row>
    <row r="48" spans="1:2" x14ac:dyDescent="0.25">
      <c r="A48" t="s">
        <v>317</v>
      </c>
      <c r="B48" t="s">
        <v>113</v>
      </c>
    </row>
    <row r="49" spans="1:2" x14ac:dyDescent="0.25">
      <c r="A49" t="s">
        <v>215</v>
      </c>
      <c r="B49" t="s">
        <v>337</v>
      </c>
    </row>
    <row r="50" spans="1:2" x14ac:dyDescent="0.25">
      <c r="A50" t="s">
        <v>288</v>
      </c>
      <c r="B50" t="s">
        <v>336</v>
      </c>
    </row>
    <row r="51" spans="1:2" x14ac:dyDescent="0.25">
      <c r="A51" t="s">
        <v>88</v>
      </c>
      <c r="B51" t="s">
        <v>352</v>
      </c>
    </row>
    <row r="52" spans="1:2" x14ac:dyDescent="0.25">
      <c r="A52" t="s">
        <v>178</v>
      </c>
      <c r="B52" t="s">
        <v>352</v>
      </c>
    </row>
    <row r="53" spans="1:2" x14ac:dyDescent="0.25">
      <c r="A53" t="s">
        <v>235</v>
      </c>
      <c r="B53" t="s">
        <v>352</v>
      </c>
    </row>
    <row r="54" spans="1:2" x14ac:dyDescent="0.25">
      <c r="A54" t="s">
        <v>261</v>
      </c>
      <c r="B54" t="s">
        <v>346</v>
      </c>
    </row>
    <row r="55" spans="1:2" x14ac:dyDescent="0.25">
      <c r="A55" t="s">
        <v>141</v>
      </c>
      <c r="B55" t="s">
        <v>334</v>
      </c>
    </row>
    <row r="56" spans="1:2" x14ac:dyDescent="0.25">
      <c r="A56" t="s">
        <v>69</v>
      </c>
      <c r="B56" t="s">
        <v>61</v>
      </c>
    </row>
    <row r="57" spans="1:2" x14ac:dyDescent="0.25">
      <c r="A57" t="s">
        <v>124</v>
      </c>
      <c r="B57" t="s">
        <v>358</v>
      </c>
    </row>
    <row r="58" spans="1:2" x14ac:dyDescent="0.25">
      <c r="A58" t="s">
        <v>229</v>
      </c>
      <c r="B58" t="s">
        <v>363</v>
      </c>
    </row>
    <row r="59" spans="1:2" x14ac:dyDescent="0.25">
      <c r="A59" t="s">
        <v>169</v>
      </c>
      <c r="B59" t="s">
        <v>389</v>
      </c>
    </row>
    <row r="60" spans="1:2" x14ac:dyDescent="0.25">
      <c r="A60" t="s">
        <v>325</v>
      </c>
      <c r="B60" t="s">
        <v>339</v>
      </c>
    </row>
    <row r="61" spans="1:2" x14ac:dyDescent="0.25">
      <c r="A61" t="s">
        <v>308</v>
      </c>
      <c r="B61" t="s">
        <v>337</v>
      </c>
    </row>
    <row r="62" spans="1:2" x14ac:dyDescent="0.25">
      <c r="A62" t="s">
        <v>295</v>
      </c>
      <c r="B62" t="s">
        <v>340</v>
      </c>
    </row>
    <row r="63" spans="1:2" x14ac:dyDescent="0.25">
      <c r="A63" t="s">
        <v>292</v>
      </c>
      <c r="B63" t="s">
        <v>337</v>
      </c>
    </row>
    <row r="64" spans="1:2" x14ac:dyDescent="0.25">
      <c r="A64" t="s">
        <v>190</v>
      </c>
      <c r="B64" t="s">
        <v>337</v>
      </c>
    </row>
    <row r="65" spans="1:2" x14ac:dyDescent="0.25">
      <c r="A65" t="s">
        <v>327</v>
      </c>
      <c r="B65" t="s">
        <v>113</v>
      </c>
    </row>
    <row r="66" spans="1:2" x14ac:dyDescent="0.25">
      <c r="A66" t="s">
        <v>239</v>
      </c>
      <c r="B66" t="s">
        <v>351</v>
      </c>
    </row>
    <row r="67" spans="1:2" x14ac:dyDescent="0.25">
      <c r="A67" t="s">
        <v>62</v>
      </c>
      <c r="B67" t="s">
        <v>27</v>
      </c>
    </row>
    <row r="68" spans="1:2" x14ac:dyDescent="0.25">
      <c r="A68" t="s">
        <v>176</v>
      </c>
      <c r="B68" t="s">
        <v>361</v>
      </c>
    </row>
    <row r="69" spans="1:2" x14ac:dyDescent="0.25">
      <c r="A69" t="s">
        <v>130</v>
      </c>
      <c r="B69" t="s">
        <v>361</v>
      </c>
    </row>
    <row r="70" spans="1:2" x14ac:dyDescent="0.25">
      <c r="A70" t="s">
        <v>108</v>
      </c>
      <c r="B70" t="s">
        <v>353</v>
      </c>
    </row>
    <row r="71" spans="1:2" x14ac:dyDescent="0.25">
      <c r="A71" t="s">
        <v>234</v>
      </c>
      <c r="B71" t="s">
        <v>363</v>
      </c>
    </row>
    <row r="72" spans="1:2" x14ac:dyDescent="0.25">
      <c r="A72" t="s">
        <v>262</v>
      </c>
      <c r="B72" t="s">
        <v>382</v>
      </c>
    </row>
    <row r="73" spans="1:2" x14ac:dyDescent="0.25">
      <c r="A73" t="s">
        <v>77</v>
      </c>
      <c r="B73" t="s">
        <v>350</v>
      </c>
    </row>
    <row r="74" spans="1:2" x14ac:dyDescent="0.25">
      <c r="A74" t="s">
        <v>329</v>
      </c>
      <c r="B74" t="s">
        <v>348</v>
      </c>
    </row>
    <row r="75" spans="1:2" x14ac:dyDescent="0.25">
      <c r="A75" t="s">
        <v>320</v>
      </c>
      <c r="B75" t="s">
        <v>348</v>
      </c>
    </row>
    <row r="76" spans="1:2" x14ac:dyDescent="0.25">
      <c r="A76" t="s">
        <v>161</v>
      </c>
      <c r="B76" t="s">
        <v>348</v>
      </c>
    </row>
    <row r="77" spans="1:2" x14ac:dyDescent="0.25">
      <c r="A77" t="s">
        <v>53</v>
      </c>
      <c r="B77" t="s">
        <v>334</v>
      </c>
    </row>
    <row r="78" spans="1:2" x14ac:dyDescent="0.25">
      <c r="A78" t="s">
        <v>202</v>
      </c>
      <c r="B78" t="s">
        <v>334</v>
      </c>
    </row>
    <row r="79" spans="1:2" x14ac:dyDescent="0.25">
      <c r="A79" t="s">
        <v>71</v>
      </c>
      <c r="B79" t="s">
        <v>334</v>
      </c>
    </row>
    <row r="80" spans="1:2" x14ac:dyDescent="0.25">
      <c r="A80" t="s">
        <v>42</v>
      </c>
      <c r="B80" t="s">
        <v>334</v>
      </c>
    </row>
    <row r="81" spans="1:2" x14ac:dyDescent="0.25">
      <c r="A81" t="s">
        <v>1</v>
      </c>
      <c r="B81" t="s">
        <v>334</v>
      </c>
    </row>
    <row r="82" spans="1:2" x14ac:dyDescent="0.25">
      <c r="A82" t="s">
        <v>70</v>
      </c>
      <c r="B82" t="s">
        <v>334</v>
      </c>
    </row>
    <row r="83" spans="1:2" x14ac:dyDescent="0.25">
      <c r="A83" t="s">
        <v>204</v>
      </c>
      <c r="B83" t="s">
        <v>334</v>
      </c>
    </row>
    <row r="84" spans="1:2" x14ac:dyDescent="0.25">
      <c r="A84" t="s">
        <v>29</v>
      </c>
      <c r="B84" t="s">
        <v>334</v>
      </c>
    </row>
    <row r="85" spans="1:2" x14ac:dyDescent="0.25">
      <c r="A85" t="s">
        <v>45</v>
      </c>
      <c r="B85" t="s">
        <v>334</v>
      </c>
    </row>
    <row r="86" spans="1:2" x14ac:dyDescent="0.25">
      <c r="A86" t="s">
        <v>20</v>
      </c>
      <c r="B86" t="s">
        <v>334</v>
      </c>
    </row>
    <row r="87" spans="1:2" x14ac:dyDescent="0.25">
      <c r="A87" t="s">
        <v>183</v>
      </c>
      <c r="B87" t="s">
        <v>346</v>
      </c>
    </row>
    <row r="88" spans="1:2" x14ac:dyDescent="0.25">
      <c r="A88" t="s">
        <v>244</v>
      </c>
      <c r="B88" t="s">
        <v>356</v>
      </c>
    </row>
    <row r="89" spans="1:2" x14ac:dyDescent="0.25">
      <c r="A89" t="s">
        <v>122</v>
      </c>
      <c r="B89" t="s">
        <v>136</v>
      </c>
    </row>
    <row r="90" spans="1:2" x14ac:dyDescent="0.25">
      <c r="A90" t="s">
        <v>157</v>
      </c>
      <c r="B90" t="s">
        <v>370</v>
      </c>
    </row>
    <row r="91" spans="1:2" x14ac:dyDescent="0.25">
      <c r="A91" t="s">
        <v>93</v>
      </c>
      <c r="B91" t="s">
        <v>334</v>
      </c>
    </row>
    <row r="92" spans="1:2" x14ac:dyDescent="0.25">
      <c r="A92" t="s">
        <v>127</v>
      </c>
      <c r="B92" t="s">
        <v>360</v>
      </c>
    </row>
    <row r="93" spans="1:2" x14ac:dyDescent="0.25">
      <c r="A93" t="s">
        <v>98</v>
      </c>
      <c r="B93" t="s">
        <v>61</v>
      </c>
    </row>
    <row r="94" spans="1:2" x14ac:dyDescent="0.25">
      <c r="A94" t="s">
        <v>268</v>
      </c>
      <c r="B94" t="s">
        <v>338</v>
      </c>
    </row>
    <row r="95" spans="1:2" x14ac:dyDescent="0.25">
      <c r="A95" t="s">
        <v>305</v>
      </c>
      <c r="B95" t="s">
        <v>159</v>
      </c>
    </row>
    <row r="96" spans="1:2" x14ac:dyDescent="0.25">
      <c r="A96" t="s">
        <v>170</v>
      </c>
      <c r="B96" t="s">
        <v>343</v>
      </c>
    </row>
    <row r="97" spans="1:2" x14ac:dyDescent="0.25">
      <c r="A97" t="s">
        <v>167</v>
      </c>
      <c r="B97" t="s">
        <v>338</v>
      </c>
    </row>
    <row r="98" spans="1:2" x14ac:dyDescent="0.25">
      <c r="A98" t="s">
        <v>290</v>
      </c>
      <c r="B98" t="s">
        <v>340</v>
      </c>
    </row>
    <row r="99" spans="1:2" x14ac:dyDescent="0.25">
      <c r="A99" t="s">
        <v>225</v>
      </c>
      <c r="B99" t="s">
        <v>392</v>
      </c>
    </row>
    <row r="100" spans="1:2" x14ac:dyDescent="0.25">
      <c r="A100" t="s">
        <v>144</v>
      </c>
      <c r="B100" t="s">
        <v>337</v>
      </c>
    </row>
    <row r="101" spans="1:2" x14ac:dyDescent="0.25">
      <c r="A101" t="s">
        <v>277</v>
      </c>
      <c r="B101" t="s">
        <v>392</v>
      </c>
    </row>
    <row r="102" spans="1:2" x14ac:dyDescent="0.25">
      <c r="A102" t="s">
        <v>111</v>
      </c>
      <c r="B102" t="s">
        <v>355</v>
      </c>
    </row>
    <row r="103" spans="1:2" x14ac:dyDescent="0.25">
      <c r="A103" t="s">
        <v>297</v>
      </c>
      <c r="B103" t="s">
        <v>383</v>
      </c>
    </row>
    <row r="104" spans="1:2" x14ac:dyDescent="0.25">
      <c r="A104" t="s">
        <v>222</v>
      </c>
      <c r="B104" t="s">
        <v>336</v>
      </c>
    </row>
    <row r="105" spans="1:2" x14ac:dyDescent="0.25">
      <c r="A105" t="s">
        <v>134</v>
      </c>
      <c r="B105" t="s">
        <v>362</v>
      </c>
    </row>
    <row r="106" spans="1:2" x14ac:dyDescent="0.25">
      <c r="A106" t="s">
        <v>196</v>
      </c>
      <c r="B106" t="s">
        <v>344</v>
      </c>
    </row>
    <row r="107" spans="1:2" x14ac:dyDescent="0.25">
      <c r="A107" t="s">
        <v>210</v>
      </c>
      <c r="B107" t="s">
        <v>47</v>
      </c>
    </row>
    <row r="108" spans="1:2" x14ac:dyDescent="0.25">
      <c r="A108" t="s">
        <v>83</v>
      </c>
      <c r="B108" t="s">
        <v>27</v>
      </c>
    </row>
    <row r="109" spans="1:2" x14ac:dyDescent="0.25">
      <c r="A109" t="s">
        <v>332</v>
      </c>
      <c r="B109" t="s">
        <v>348</v>
      </c>
    </row>
    <row r="110" spans="1:2" x14ac:dyDescent="0.25">
      <c r="A110" t="s">
        <v>333</v>
      </c>
      <c r="B110" t="s">
        <v>348</v>
      </c>
    </row>
    <row r="111" spans="1:2" x14ac:dyDescent="0.25">
      <c r="A111" t="s">
        <v>328</v>
      </c>
      <c r="B111" t="s">
        <v>348</v>
      </c>
    </row>
    <row r="112" spans="1:2" x14ac:dyDescent="0.25">
      <c r="A112" t="s">
        <v>281</v>
      </c>
      <c r="B112" t="s">
        <v>348</v>
      </c>
    </row>
    <row r="113" spans="1:2" x14ac:dyDescent="0.25">
      <c r="A113" t="s">
        <v>135</v>
      </c>
      <c r="B113" t="s">
        <v>113</v>
      </c>
    </row>
    <row r="114" spans="1:2" x14ac:dyDescent="0.25">
      <c r="A114" t="s">
        <v>22</v>
      </c>
      <c r="B114" t="s">
        <v>334</v>
      </c>
    </row>
    <row r="115" spans="1:2" x14ac:dyDescent="0.25">
      <c r="A115" t="s">
        <v>156</v>
      </c>
      <c r="B115" t="s">
        <v>373</v>
      </c>
    </row>
    <row r="116" spans="1:2" x14ac:dyDescent="0.25">
      <c r="A116" t="s">
        <v>46</v>
      </c>
      <c r="B116" t="s">
        <v>61</v>
      </c>
    </row>
    <row r="117" spans="1:2" x14ac:dyDescent="0.25">
      <c r="A117" t="s">
        <v>313</v>
      </c>
      <c r="B117" t="s">
        <v>351</v>
      </c>
    </row>
    <row r="118" spans="1:2" x14ac:dyDescent="0.25">
      <c r="A118" t="s">
        <v>114</v>
      </c>
      <c r="B118" t="s">
        <v>159</v>
      </c>
    </row>
    <row r="119" spans="1:2" x14ac:dyDescent="0.25">
      <c r="A119" t="s">
        <v>168</v>
      </c>
      <c r="B119" t="s">
        <v>340</v>
      </c>
    </row>
    <row r="120" spans="1:2" x14ac:dyDescent="0.25">
      <c r="A120" t="s">
        <v>110</v>
      </c>
      <c r="B120" t="s">
        <v>339</v>
      </c>
    </row>
    <row r="121" spans="1:2" x14ac:dyDescent="0.25">
      <c r="A121" t="s">
        <v>197</v>
      </c>
      <c r="B121" t="s">
        <v>351</v>
      </c>
    </row>
    <row r="122" spans="1:2" x14ac:dyDescent="0.25">
      <c r="A122" t="s">
        <v>137</v>
      </c>
      <c r="B122" t="s">
        <v>336</v>
      </c>
    </row>
    <row r="123" spans="1:2" x14ac:dyDescent="0.25">
      <c r="A123" t="s">
        <v>150</v>
      </c>
      <c r="B123" t="s">
        <v>335</v>
      </c>
    </row>
    <row r="124" spans="1:2" x14ac:dyDescent="0.25">
      <c r="A124" t="s">
        <v>120</v>
      </c>
      <c r="B124" t="s">
        <v>337</v>
      </c>
    </row>
    <row r="125" spans="1:2" x14ac:dyDescent="0.25">
      <c r="A125" t="s">
        <v>125</v>
      </c>
      <c r="B125" t="s">
        <v>357</v>
      </c>
    </row>
    <row r="126" spans="1:2" x14ac:dyDescent="0.25">
      <c r="A126" t="s">
        <v>99</v>
      </c>
      <c r="B126" t="s">
        <v>336</v>
      </c>
    </row>
    <row r="127" spans="1:2" x14ac:dyDescent="0.25">
      <c r="A127" t="s">
        <v>243</v>
      </c>
      <c r="B127" t="s">
        <v>351</v>
      </c>
    </row>
    <row r="128" spans="1:2" x14ac:dyDescent="0.25">
      <c r="A128" t="s">
        <v>142</v>
      </c>
      <c r="B128" t="s">
        <v>113</v>
      </c>
    </row>
    <row r="129" spans="1:2" x14ac:dyDescent="0.25">
      <c r="A129" t="s">
        <v>17</v>
      </c>
      <c r="B129" t="s">
        <v>27</v>
      </c>
    </row>
    <row r="130" spans="1:2" x14ac:dyDescent="0.25">
      <c r="A130" t="s">
        <v>3</v>
      </c>
      <c r="B130" t="s">
        <v>47</v>
      </c>
    </row>
    <row r="131" spans="1:2" x14ac:dyDescent="0.25">
      <c r="A131" t="s">
        <v>280</v>
      </c>
      <c r="B131" t="s">
        <v>337</v>
      </c>
    </row>
    <row r="132" spans="1:2" x14ac:dyDescent="0.25">
      <c r="A132" t="s">
        <v>256</v>
      </c>
      <c r="B132" t="s">
        <v>246</v>
      </c>
    </row>
    <row r="133" spans="1:2" x14ac:dyDescent="0.25">
      <c r="A133" t="s">
        <v>259</v>
      </c>
      <c r="B133" t="s">
        <v>246</v>
      </c>
    </row>
    <row r="134" spans="1:2" x14ac:dyDescent="0.25">
      <c r="A134" t="s">
        <v>246</v>
      </c>
      <c r="B134" t="s">
        <v>246</v>
      </c>
    </row>
    <row r="135" spans="1:2" x14ac:dyDescent="0.25">
      <c r="A135" t="s">
        <v>72</v>
      </c>
      <c r="B135" t="s">
        <v>246</v>
      </c>
    </row>
    <row r="136" spans="1:2" x14ac:dyDescent="0.25">
      <c r="A136" t="s">
        <v>171</v>
      </c>
      <c r="B136" t="s">
        <v>246</v>
      </c>
    </row>
    <row r="137" spans="1:2" x14ac:dyDescent="0.25">
      <c r="A137" t="s">
        <v>68</v>
      </c>
      <c r="B137" t="s">
        <v>387</v>
      </c>
    </row>
    <row r="138" spans="1:2" x14ac:dyDescent="0.25">
      <c r="A138" t="s">
        <v>257</v>
      </c>
      <c r="B138" t="s">
        <v>334</v>
      </c>
    </row>
    <row r="139" spans="1:2" x14ac:dyDescent="0.25">
      <c r="A139" t="s">
        <v>79</v>
      </c>
      <c r="B139" t="s">
        <v>113</v>
      </c>
    </row>
    <row r="140" spans="1:2" x14ac:dyDescent="0.25">
      <c r="A140" t="s">
        <v>287</v>
      </c>
      <c r="B140" t="s">
        <v>337</v>
      </c>
    </row>
    <row r="141" spans="1:2" x14ac:dyDescent="0.25">
      <c r="A141" t="s">
        <v>286</v>
      </c>
      <c r="B141" t="s">
        <v>286</v>
      </c>
    </row>
    <row r="142" spans="1:2" x14ac:dyDescent="0.25">
      <c r="A142" t="s">
        <v>146</v>
      </c>
      <c r="B142" t="s">
        <v>286</v>
      </c>
    </row>
    <row r="143" spans="1:2" x14ac:dyDescent="0.25">
      <c r="A143" t="s">
        <v>191</v>
      </c>
      <c r="B143" t="s">
        <v>286</v>
      </c>
    </row>
    <row r="144" spans="1:2" x14ac:dyDescent="0.25">
      <c r="A144" t="s">
        <v>242</v>
      </c>
      <c r="B144" t="s">
        <v>392</v>
      </c>
    </row>
    <row r="145" spans="1:2" x14ac:dyDescent="0.25">
      <c r="A145" t="s">
        <v>91</v>
      </c>
      <c r="B145" t="s">
        <v>335</v>
      </c>
    </row>
    <row r="146" spans="1:2" x14ac:dyDescent="0.25">
      <c r="A146" t="s">
        <v>193</v>
      </c>
      <c r="B146" t="s">
        <v>335</v>
      </c>
    </row>
    <row r="147" spans="1:2" x14ac:dyDescent="0.25">
      <c r="A147" t="s">
        <v>213</v>
      </c>
      <c r="B147" t="s">
        <v>335</v>
      </c>
    </row>
    <row r="148" spans="1:2" x14ac:dyDescent="0.25">
      <c r="A148" t="s">
        <v>16</v>
      </c>
      <c r="B148" t="s">
        <v>335</v>
      </c>
    </row>
    <row r="149" spans="1:2" x14ac:dyDescent="0.25">
      <c r="A149" t="s">
        <v>16</v>
      </c>
      <c r="B149" t="s">
        <v>335</v>
      </c>
    </row>
    <row r="150" spans="1:2" x14ac:dyDescent="0.25">
      <c r="A150" t="s">
        <v>227</v>
      </c>
      <c r="B150" t="s">
        <v>335</v>
      </c>
    </row>
    <row r="151" spans="1:2" x14ac:dyDescent="0.25">
      <c r="A151" t="s">
        <v>95</v>
      </c>
      <c r="B151" t="s">
        <v>335</v>
      </c>
    </row>
    <row r="152" spans="1:2" x14ac:dyDescent="0.25">
      <c r="A152" t="s">
        <v>74</v>
      </c>
      <c r="B152" t="s">
        <v>335</v>
      </c>
    </row>
    <row r="153" spans="1:2" x14ac:dyDescent="0.25">
      <c r="A153" t="s">
        <v>221</v>
      </c>
      <c r="B153" t="s">
        <v>334</v>
      </c>
    </row>
    <row r="154" spans="1:2" x14ac:dyDescent="0.25">
      <c r="A154" t="s">
        <v>266</v>
      </c>
      <c r="B154" t="s">
        <v>337</v>
      </c>
    </row>
    <row r="155" spans="1:2" x14ac:dyDescent="0.25">
      <c r="A155" t="s">
        <v>2</v>
      </c>
      <c r="B155" t="s">
        <v>339</v>
      </c>
    </row>
    <row r="156" spans="1:2" x14ac:dyDescent="0.25">
      <c r="A156" t="s">
        <v>73</v>
      </c>
      <c r="B156" t="s">
        <v>334</v>
      </c>
    </row>
    <row r="157" spans="1:2" x14ac:dyDescent="0.25">
      <c r="A157" t="s">
        <v>296</v>
      </c>
      <c r="B157" t="s">
        <v>386</v>
      </c>
    </row>
    <row r="158" spans="1:2" x14ac:dyDescent="0.25">
      <c r="A158" t="s">
        <v>270</v>
      </c>
      <c r="B158" t="s">
        <v>337</v>
      </c>
    </row>
    <row r="159" spans="1:2" x14ac:dyDescent="0.25">
      <c r="A159" t="s">
        <v>323</v>
      </c>
      <c r="B159" t="s">
        <v>113</v>
      </c>
    </row>
    <row r="160" spans="1:2" x14ac:dyDescent="0.25">
      <c r="A160" t="s">
        <v>312</v>
      </c>
      <c r="B160" t="s">
        <v>351</v>
      </c>
    </row>
    <row r="161" spans="1:2" x14ac:dyDescent="0.25">
      <c r="A161" t="s">
        <v>316</v>
      </c>
      <c r="B161" t="s">
        <v>159</v>
      </c>
    </row>
    <row r="162" spans="1:2" x14ac:dyDescent="0.25">
      <c r="A162" t="s">
        <v>43</v>
      </c>
      <c r="B162" t="s">
        <v>61</v>
      </c>
    </row>
    <row r="163" spans="1:2" x14ac:dyDescent="0.25">
      <c r="A163" t="s">
        <v>61</v>
      </c>
      <c r="B163" t="s">
        <v>61</v>
      </c>
    </row>
    <row r="164" spans="1:2" x14ac:dyDescent="0.25">
      <c r="A164" t="s">
        <v>26</v>
      </c>
      <c r="B164" t="s">
        <v>61</v>
      </c>
    </row>
    <row r="165" spans="1:2" x14ac:dyDescent="0.25">
      <c r="A165" t="s">
        <v>24</v>
      </c>
      <c r="B165" t="s">
        <v>61</v>
      </c>
    </row>
    <row r="166" spans="1:2" x14ac:dyDescent="0.25">
      <c r="A166" t="s">
        <v>12</v>
      </c>
      <c r="B166" t="s">
        <v>61</v>
      </c>
    </row>
    <row r="167" spans="1:2" x14ac:dyDescent="0.25">
      <c r="A167" t="s">
        <v>50</v>
      </c>
      <c r="B167" t="s">
        <v>61</v>
      </c>
    </row>
    <row r="168" spans="1:2" x14ac:dyDescent="0.25">
      <c r="A168" t="s">
        <v>13</v>
      </c>
      <c r="B168" t="s">
        <v>61</v>
      </c>
    </row>
    <row r="169" spans="1:2" x14ac:dyDescent="0.25">
      <c r="A169" t="s">
        <v>56</v>
      </c>
      <c r="B169" t="s">
        <v>61</v>
      </c>
    </row>
    <row r="170" spans="1:2" x14ac:dyDescent="0.25">
      <c r="A170" t="s">
        <v>33</v>
      </c>
      <c r="B170" t="s">
        <v>61</v>
      </c>
    </row>
    <row r="171" spans="1:2" x14ac:dyDescent="0.25">
      <c r="A171" t="s">
        <v>59</v>
      </c>
      <c r="B171" t="s">
        <v>61</v>
      </c>
    </row>
    <row r="172" spans="1:2" x14ac:dyDescent="0.25">
      <c r="A172" t="s">
        <v>250</v>
      </c>
      <c r="B172" t="s">
        <v>61</v>
      </c>
    </row>
    <row r="173" spans="1:2" x14ac:dyDescent="0.25">
      <c r="A173" t="s">
        <v>163</v>
      </c>
      <c r="B173" t="s">
        <v>61</v>
      </c>
    </row>
    <row r="174" spans="1:2" x14ac:dyDescent="0.25">
      <c r="A174" t="s">
        <v>311</v>
      </c>
      <c r="B174" t="s">
        <v>351</v>
      </c>
    </row>
    <row r="175" spans="1:2" x14ac:dyDescent="0.25">
      <c r="A175" t="s">
        <v>82</v>
      </c>
      <c r="B175" t="s">
        <v>351</v>
      </c>
    </row>
    <row r="176" spans="1:2" x14ac:dyDescent="0.25">
      <c r="A176" t="s">
        <v>96</v>
      </c>
      <c r="B176" t="s">
        <v>351</v>
      </c>
    </row>
    <row r="177" spans="1:2" x14ac:dyDescent="0.25">
      <c r="A177" t="s">
        <v>81</v>
      </c>
      <c r="B177" t="s">
        <v>348</v>
      </c>
    </row>
    <row r="178" spans="1:2" x14ac:dyDescent="0.25">
      <c r="A178" t="s">
        <v>154</v>
      </c>
      <c r="B178" t="s">
        <v>348</v>
      </c>
    </row>
    <row r="179" spans="1:2" x14ac:dyDescent="0.25">
      <c r="A179" t="s">
        <v>52</v>
      </c>
      <c r="B179" t="s">
        <v>376</v>
      </c>
    </row>
    <row r="180" spans="1:2" x14ac:dyDescent="0.25">
      <c r="A180" t="s">
        <v>186</v>
      </c>
      <c r="B180" t="s">
        <v>364</v>
      </c>
    </row>
    <row r="181" spans="1:2" x14ac:dyDescent="0.25">
      <c r="A181" t="s">
        <v>303</v>
      </c>
      <c r="B181" t="s">
        <v>364</v>
      </c>
    </row>
    <row r="182" spans="1:2" x14ac:dyDescent="0.25">
      <c r="A182" t="s">
        <v>92</v>
      </c>
      <c r="B182" t="s">
        <v>343</v>
      </c>
    </row>
    <row r="183" spans="1:2" x14ac:dyDescent="0.25">
      <c r="A183" t="s">
        <v>57</v>
      </c>
      <c r="B183" t="s">
        <v>343</v>
      </c>
    </row>
    <row r="184" spans="1:2" x14ac:dyDescent="0.25">
      <c r="A184" t="s">
        <v>187</v>
      </c>
      <c r="B184" t="s">
        <v>159</v>
      </c>
    </row>
    <row r="185" spans="1:2" x14ac:dyDescent="0.25">
      <c r="A185" t="s">
        <v>37</v>
      </c>
      <c r="B185" t="s">
        <v>159</v>
      </c>
    </row>
    <row r="186" spans="1:2" x14ac:dyDescent="0.25">
      <c r="A186" t="s">
        <v>129</v>
      </c>
      <c r="B186" t="s">
        <v>159</v>
      </c>
    </row>
    <row r="187" spans="1:2" x14ac:dyDescent="0.25">
      <c r="A187" t="s">
        <v>159</v>
      </c>
      <c r="B187" t="s">
        <v>159</v>
      </c>
    </row>
    <row r="188" spans="1:2" x14ac:dyDescent="0.25">
      <c r="A188" t="s">
        <v>324</v>
      </c>
      <c r="B188" t="s">
        <v>159</v>
      </c>
    </row>
    <row r="189" spans="1:2" x14ac:dyDescent="0.25">
      <c r="A189" t="s">
        <v>264</v>
      </c>
      <c r="B189" t="s">
        <v>159</v>
      </c>
    </row>
    <row r="190" spans="1:2" x14ac:dyDescent="0.25">
      <c r="A190" t="s">
        <v>4</v>
      </c>
      <c r="B190" t="s">
        <v>159</v>
      </c>
    </row>
    <row r="191" spans="1:2" x14ac:dyDescent="0.25">
      <c r="A191" t="s">
        <v>89</v>
      </c>
      <c r="B191" t="s">
        <v>159</v>
      </c>
    </row>
    <row r="192" spans="1:2" x14ac:dyDescent="0.25">
      <c r="A192" t="s">
        <v>260</v>
      </c>
      <c r="B192" t="s">
        <v>159</v>
      </c>
    </row>
    <row r="193" spans="1:2" x14ac:dyDescent="0.25">
      <c r="A193" t="s">
        <v>194</v>
      </c>
      <c r="B193" t="s">
        <v>159</v>
      </c>
    </row>
    <row r="194" spans="1:2" x14ac:dyDescent="0.25">
      <c r="A194" t="s">
        <v>131</v>
      </c>
      <c r="B194" t="s">
        <v>131</v>
      </c>
    </row>
    <row r="195" spans="1:2" x14ac:dyDescent="0.25">
      <c r="A195" t="s">
        <v>238</v>
      </c>
      <c r="B195" t="s">
        <v>377</v>
      </c>
    </row>
    <row r="196" spans="1:2" x14ac:dyDescent="0.25">
      <c r="A196" t="s">
        <v>209</v>
      </c>
      <c r="B196" t="s">
        <v>337</v>
      </c>
    </row>
    <row r="197" spans="1:2" x14ac:dyDescent="0.25">
      <c r="A197" t="s">
        <v>247</v>
      </c>
      <c r="B197" t="s">
        <v>357</v>
      </c>
    </row>
    <row r="198" spans="1:2" x14ac:dyDescent="0.25">
      <c r="A198" t="s">
        <v>65</v>
      </c>
      <c r="B198" t="s">
        <v>346</v>
      </c>
    </row>
    <row r="199" spans="1:2" x14ac:dyDescent="0.25">
      <c r="A199" t="s">
        <v>51</v>
      </c>
      <c r="B199" t="s">
        <v>342</v>
      </c>
    </row>
    <row r="200" spans="1:2" x14ac:dyDescent="0.25">
      <c r="A200" t="s">
        <v>160</v>
      </c>
      <c r="B200" t="s">
        <v>384</v>
      </c>
    </row>
    <row r="201" spans="1:2" x14ac:dyDescent="0.25">
      <c r="A201" t="s">
        <v>195</v>
      </c>
      <c r="B201" t="s">
        <v>334</v>
      </c>
    </row>
    <row r="202" spans="1:2" x14ac:dyDescent="0.25">
      <c r="A202" t="s">
        <v>322</v>
      </c>
      <c r="B202" t="s">
        <v>348</v>
      </c>
    </row>
    <row r="203" spans="1:2" x14ac:dyDescent="0.25">
      <c r="A203" t="s">
        <v>181</v>
      </c>
      <c r="B203" t="s">
        <v>246</v>
      </c>
    </row>
    <row r="204" spans="1:2" x14ac:dyDescent="0.25">
      <c r="A204" t="s">
        <v>314</v>
      </c>
      <c r="B204" t="s">
        <v>286</v>
      </c>
    </row>
    <row r="205" spans="1:2" x14ac:dyDescent="0.25">
      <c r="A205" t="s">
        <v>315</v>
      </c>
      <c r="B205" t="s">
        <v>372</v>
      </c>
    </row>
    <row r="206" spans="1:2" x14ac:dyDescent="0.25">
      <c r="A206" t="s">
        <v>279</v>
      </c>
      <c r="B206" t="s">
        <v>159</v>
      </c>
    </row>
    <row r="207" spans="1:2" x14ac:dyDescent="0.25">
      <c r="A207" t="s">
        <v>97</v>
      </c>
      <c r="B207" t="s">
        <v>159</v>
      </c>
    </row>
    <row r="208" spans="1:2" x14ac:dyDescent="0.25">
      <c r="A208" t="s">
        <v>18</v>
      </c>
      <c r="B208" t="s">
        <v>340</v>
      </c>
    </row>
    <row r="209" spans="1:2" x14ac:dyDescent="0.25">
      <c r="A209" t="s">
        <v>224</v>
      </c>
      <c r="B209" t="s">
        <v>337</v>
      </c>
    </row>
    <row r="210" spans="1:2" x14ac:dyDescent="0.25">
      <c r="A210" t="s">
        <v>208</v>
      </c>
      <c r="B210" t="s">
        <v>340</v>
      </c>
    </row>
    <row r="211" spans="1:2" x14ac:dyDescent="0.25">
      <c r="A211" t="s">
        <v>188</v>
      </c>
      <c r="B211" t="s">
        <v>340</v>
      </c>
    </row>
    <row r="212" spans="1:2" x14ac:dyDescent="0.25">
      <c r="A212" t="s">
        <v>78</v>
      </c>
      <c r="B212" t="s">
        <v>338</v>
      </c>
    </row>
    <row r="213" spans="1:2" x14ac:dyDescent="0.25">
      <c r="A213" t="s">
        <v>321</v>
      </c>
      <c r="B213" t="s">
        <v>364</v>
      </c>
    </row>
    <row r="214" spans="1:2" x14ac:dyDescent="0.25">
      <c r="A214" t="s">
        <v>153</v>
      </c>
      <c r="B214" t="s">
        <v>159</v>
      </c>
    </row>
    <row r="215" spans="1:2" x14ac:dyDescent="0.25">
      <c r="A215" t="s">
        <v>330</v>
      </c>
      <c r="B215" t="s">
        <v>238</v>
      </c>
    </row>
    <row r="216" spans="1:2" x14ac:dyDescent="0.25">
      <c r="A216" t="s">
        <v>201</v>
      </c>
      <c r="B216" t="s">
        <v>340</v>
      </c>
    </row>
    <row r="217" spans="1:2" x14ac:dyDescent="0.25">
      <c r="A217" t="s">
        <v>39</v>
      </c>
      <c r="B217" t="s">
        <v>390</v>
      </c>
    </row>
    <row r="218" spans="1:2" x14ac:dyDescent="0.25">
      <c r="A218" t="s">
        <v>282</v>
      </c>
      <c r="B218" t="s">
        <v>337</v>
      </c>
    </row>
    <row r="219" spans="1:2" x14ac:dyDescent="0.25">
      <c r="A219" t="s">
        <v>299</v>
      </c>
      <c r="B219" t="s">
        <v>339</v>
      </c>
    </row>
    <row r="220" spans="1:2" x14ac:dyDescent="0.25">
      <c r="A220" t="s">
        <v>211</v>
      </c>
      <c r="B220" t="s">
        <v>351</v>
      </c>
    </row>
    <row r="221" spans="1:2" x14ac:dyDescent="0.25">
      <c r="A221" t="s">
        <v>84</v>
      </c>
      <c r="B221" t="s">
        <v>338</v>
      </c>
    </row>
    <row r="222" spans="1:2" x14ac:dyDescent="0.25">
      <c r="A222" t="s">
        <v>185</v>
      </c>
      <c r="B222" t="s">
        <v>375</v>
      </c>
    </row>
    <row r="223" spans="1:2" x14ac:dyDescent="0.25">
      <c r="A223" t="s">
        <v>310</v>
      </c>
      <c r="B223" t="s">
        <v>371</v>
      </c>
    </row>
    <row r="224" spans="1:2" x14ac:dyDescent="0.25">
      <c r="A224" t="s">
        <v>248</v>
      </c>
      <c r="B224" t="s">
        <v>367</v>
      </c>
    </row>
    <row r="225" spans="1:2" x14ac:dyDescent="0.25">
      <c r="A225" t="s">
        <v>60</v>
      </c>
      <c r="B225" t="s">
        <v>344</v>
      </c>
    </row>
    <row r="226" spans="1:2" x14ac:dyDescent="0.25">
      <c r="A226" t="s">
        <v>289</v>
      </c>
      <c r="B226" t="s">
        <v>366</v>
      </c>
    </row>
    <row r="227" spans="1:2" x14ac:dyDescent="0.25">
      <c r="A227" t="s">
        <v>87</v>
      </c>
      <c r="B227" t="s">
        <v>27</v>
      </c>
    </row>
    <row r="228" spans="1:2" x14ac:dyDescent="0.25">
      <c r="A228" t="s">
        <v>75</v>
      </c>
      <c r="B228" t="s">
        <v>47</v>
      </c>
    </row>
    <row r="229" spans="1:2" x14ac:dyDescent="0.25">
      <c r="A229" t="s">
        <v>228</v>
      </c>
      <c r="B229" t="s">
        <v>369</v>
      </c>
    </row>
    <row r="230" spans="1:2" x14ac:dyDescent="0.25">
      <c r="A230" t="s">
        <v>109</v>
      </c>
      <c r="B230" t="s">
        <v>367</v>
      </c>
    </row>
    <row r="231" spans="1:2" x14ac:dyDescent="0.25">
      <c r="A231" t="s">
        <v>307</v>
      </c>
      <c r="B231" t="s">
        <v>385</v>
      </c>
    </row>
    <row r="232" spans="1:2" x14ac:dyDescent="0.25">
      <c r="A232" t="s">
        <v>300</v>
      </c>
      <c r="B232" t="s">
        <v>385</v>
      </c>
    </row>
    <row r="233" spans="1:2" x14ac:dyDescent="0.25">
      <c r="A233" t="s">
        <v>241</v>
      </c>
      <c r="B233" t="s">
        <v>385</v>
      </c>
    </row>
    <row r="234" spans="1:2" x14ac:dyDescent="0.25">
      <c r="A234" t="s">
        <v>180</v>
      </c>
      <c r="B234" t="s">
        <v>363</v>
      </c>
    </row>
    <row r="235" spans="1:2" x14ac:dyDescent="0.25">
      <c r="A235" t="s">
        <v>275</v>
      </c>
      <c r="B235" t="s">
        <v>337</v>
      </c>
    </row>
    <row r="236" spans="1:2" x14ac:dyDescent="0.25">
      <c r="A236" t="s">
        <v>309</v>
      </c>
      <c r="B236" t="s">
        <v>339</v>
      </c>
    </row>
    <row r="237" spans="1:2" x14ac:dyDescent="0.25">
      <c r="A237" t="s">
        <v>140</v>
      </c>
      <c r="B237" t="s">
        <v>339</v>
      </c>
    </row>
    <row r="238" spans="1:2" x14ac:dyDescent="0.25">
      <c r="A238" t="s">
        <v>319</v>
      </c>
      <c r="B238" t="s">
        <v>339</v>
      </c>
    </row>
    <row r="239" spans="1:2" x14ac:dyDescent="0.25">
      <c r="A239" t="s">
        <v>117</v>
      </c>
      <c r="B239" t="s">
        <v>339</v>
      </c>
    </row>
    <row r="240" spans="1:2" x14ac:dyDescent="0.25">
      <c r="A240" t="s">
        <v>291</v>
      </c>
      <c r="B240" t="s">
        <v>339</v>
      </c>
    </row>
    <row r="241" spans="1:2" x14ac:dyDescent="0.25">
      <c r="A241" t="s">
        <v>34</v>
      </c>
      <c r="B241" t="s">
        <v>339</v>
      </c>
    </row>
    <row r="242" spans="1:2" x14ac:dyDescent="0.25">
      <c r="A242" t="s">
        <v>123</v>
      </c>
      <c r="B242" t="s">
        <v>351</v>
      </c>
    </row>
    <row r="243" spans="1:2" x14ac:dyDescent="0.25">
      <c r="A243" t="s">
        <v>220</v>
      </c>
      <c r="B243" t="s">
        <v>351</v>
      </c>
    </row>
    <row r="244" spans="1:2" x14ac:dyDescent="0.25">
      <c r="A244" t="s">
        <v>86</v>
      </c>
      <c r="B244" t="s">
        <v>337</v>
      </c>
    </row>
    <row r="245" spans="1:2" x14ac:dyDescent="0.25">
      <c r="A245" t="s">
        <v>258</v>
      </c>
      <c r="B245" t="s">
        <v>351</v>
      </c>
    </row>
    <row r="246" spans="1:2" x14ac:dyDescent="0.25">
      <c r="A246" t="s">
        <v>105</v>
      </c>
      <c r="B246" t="s">
        <v>337</v>
      </c>
    </row>
    <row r="247" spans="1:2" x14ac:dyDescent="0.25">
      <c r="A247" t="s">
        <v>214</v>
      </c>
      <c r="B247" t="s">
        <v>337</v>
      </c>
    </row>
    <row r="248" spans="1:2" x14ac:dyDescent="0.25">
      <c r="A248" t="s">
        <v>5</v>
      </c>
      <c r="B248" t="s">
        <v>337</v>
      </c>
    </row>
    <row r="249" spans="1:2" x14ac:dyDescent="0.25">
      <c r="A249" t="s">
        <v>173</v>
      </c>
      <c r="B249" t="s">
        <v>337</v>
      </c>
    </row>
    <row r="250" spans="1:2" x14ac:dyDescent="0.25">
      <c r="A250" t="s">
        <v>263</v>
      </c>
      <c r="B250" t="s">
        <v>337</v>
      </c>
    </row>
    <row r="251" spans="1:2" x14ac:dyDescent="0.25">
      <c r="A251" t="s">
        <v>155</v>
      </c>
      <c r="B251" t="s">
        <v>337</v>
      </c>
    </row>
    <row r="252" spans="1:2" x14ac:dyDescent="0.25">
      <c r="A252" t="s">
        <v>28</v>
      </c>
      <c r="B252" t="s">
        <v>337</v>
      </c>
    </row>
    <row r="253" spans="1:2" x14ac:dyDescent="0.25">
      <c r="A253" t="s">
        <v>30</v>
      </c>
      <c r="B253" t="s">
        <v>337</v>
      </c>
    </row>
    <row r="254" spans="1:2" x14ac:dyDescent="0.25">
      <c r="A254" t="s">
        <v>219</v>
      </c>
      <c r="B254" t="s">
        <v>340</v>
      </c>
    </row>
    <row r="255" spans="1:2" x14ac:dyDescent="0.25">
      <c r="A255" t="s">
        <v>294</v>
      </c>
      <c r="B255" t="s">
        <v>381</v>
      </c>
    </row>
    <row r="256" spans="1:2" x14ac:dyDescent="0.25">
      <c r="A256" t="s">
        <v>218</v>
      </c>
      <c r="B256" t="s">
        <v>337</v>
      </c>
    </row>
    <row r="257" spans="1:2" x14ac:dyDescent="0.25">
      <c r="A257" t="s">
        <v>212</v>
      </c>
      <c r="B257" t="s">
        <v>337</v>
      </c>
    </row>
    <row r="258" spans="1:2" x14ac:dyDescent="0.25">
      <c r="A258" t="s">
        <v>182</v>
      </c>
      <c r="B258" t="s">
        <v>337</v>
      </c>
    </row>
    <row r="259" spans="1:2" x14ac:dyDescent="0.25">
      <c r="A259" t="s">
        <v>76</v>
      </c>
      <c r="B259" t="s">
        <v>349</v>
      </c>
    </row>
    <row r="260" spans="1:2" x14ac:dyDescent="0.25">
      <c r="A260" t="s">
        <v>36</v>
      </c>
      <c r="B260" t="s">
        <v>341</v>
      </c>
    </row>
    <row r="261" spans="1:2" x14ac:dyDescent="0.25">
      <c r="A261" t="s">
        <v>149</v>
      </c>
      <c r="B261" t="s">
        <v>388</v>
      </c>
    </row>
    <row r="262" spans="1:2" x14ac:dyDescent="0.25">
      <c r="A262" t="s">
        <v>143</v>
      </c>
      <c r="B262" t="s">
        <v>357</v>
      </c>
    </row>
    <row r="263" spans="1:2" x14ac:dyDescent="0.25">
      <c r="A263" t="s">
        <v>55</v>
      </c>
      <c r="B263" t="s">
        <v>336</v>
      </c>
    </row>
    <row r="264" spans="1:2" x14ac:dyDescent="0.25">
      <c r="A264" t="s">
        <v>139</v>
      </c>
      <c r="B264" t="s">
        <v>357</v>
      </c>
    </row>
    <row r="265" spans="1:2" x14ac:dyDescent="0.25">
      <c r="A265" t="s">
        <v>49</v>
      </c>
      <c r="B265" t="s">
        <v>336</v>
      </c>
    </row>
    <row r="266" spans="1:2" x14ac:dyDescent="0.25">
      <c r="A266" t="s">
        <v>23</v>
      </c>
      <c r="B266" t="s">
        <v>336</v>
      </c>
    </row>
    <row r="267" spans="1:2" x14ac:dyDescent="0.25">
      <c r="A267" t="s">
        <v>226</v>
      </c>
      <c r="B267" t="s">
        <v>336</v>
      </c>
    </row>
    <row r="268" spans="1:2" x14ac:dyDescent="0.25">
      <c r="A268" t="s">
        <v>102</v>
      </c>
      <c r="B268" t="s">
        <v>334</v>
      </c>
    </row>
    <row r="269" spans="1:2" x14ac:dyDescent="0.25">
      <c r="A269" t="s">
        <v>272</v>
      </c>
      <c r="B269" t="s">
        <v>337</v>
      </c>
    </row>
    <row r="270" spans="1:2" x14ac:dyDescent="0.25">
      <c r="A270" t="s">
        <v>236</v>
      </c>
      <c r="B270" t="s">
        <v>340</v>
      </c>
    </row>
    <row r="271" spans="1:2" x14ac:dyDescent="0.25">
      <c r="A271" t="s">
        <v>265</v>
      </c>
      <c r="B271" t="s">
        <v>340</v>
      </c>
    </row>
    <row r="272" spans="1:2" x14ac:dyDescent="0.25">
      <c r="A272" t="s">
        <v>216</v>
      </c>
      <c r="B272" t="s">
        <v>336</v>
      </c>
    </row>
    <row r="273" spans="1:2" x14ac:dyDescent="0.25">
      <c r="A273" t="s">
        <v>293</v>
      </c>
      <c r="B273" t="s">
        <v>359</v>
      </c>
    </row>
    <row r="274" spans="1:2" x14ac:dyDescent="0.25">
      <c r="A274" t="s">
        <v>179</v>
      </c>
      <c r="B274" t="s">
        <v>335</v>
      </c>
    </row>
    <row r="275" spans="1:2" x14ac:dyDescent="0.25">
      <c r="A275" t="s">
        <v>121</v>
      </c>
      <c r="B275" t="s">
        <v>357</v>
      </c>
    </row>
    <row r="276" spans="1:2" x14ac:dyDescent="0.25">
      <c r="A276" t="s">
        <v>274</v>
      </c>
      <c r="B276" t="s">
        <v>340</v>
      </c>
    </row>
    <row r="277" spans="1:2" x14ac:dyDescent="0.25">
      <c r="A277" t="s">
        <v>94</v>
      </c>
      <c r="B277" t="s">
        <v>61</v>
      </c>
    </row>
    <row r="278" spans="1:2" x14ac:dyDescent="0.25">
      <c r="A278" t="s">
        <v>174</v>
      </c>
      <c r="B278" t="s">
        <v>159</v>
      </c>
    </row>
    <row r="279" spans="1:2" x14ac:dyDescent="0.25">
      <c r="A279" t="s">
        <v>285</v>
      </c>
      <c r="B279" t="s">
        <v>337</v>
      </c>
    </row>
    <row r="280" spans="1:2" x14ac:dyDescent="0.25">
      <c r="A280" t="s">
        <v>237</v>
      </c>
      <c r="B280" t="s">
        <v>159</v>
      </c>
    </row>
    <row r="281" spans="1:2" x14ac:dyDescent="0.25">
      <c r="A281" t="s">
        <v>35</v>
      </c>
      <c r="B281" t="s">
        <v>27</v>
      </c>
    </row>
    <row r="282" spans="1:2" x14ac:dyDescent="0.25">
      <c r="A282" t="s">
        <v>278</v>
      </c>
      <c r="B282" t="s">
        <v>47</v>
      </c>
    </row>
    <row r="283" spans="1:2" x14ac:dyDescent="0.25">
      <c r="A283" t="s">
        <v>304</v>
      </c>
      <c r="B283" t="s">
        <v>340</v>
      </c>
    </row>
    <row r="284" spans="1:2" x14ac:dyDescent="0.25">
      <c r="A284" t="s">
        <v>158</v>
      </c>
      <c r="B284" t="s">
        <v>113</v>
      </c>
    </row>
    <row r="285" spans="1:2" x14ac:dyDescent="0.25">
      <c r="A285" t="s">
        <v>284</v>
      </c>
      <c r="B285" t="s">
        <v>113</v>
      </c>
    </row>
    <row r="286" spans="1:2" x14ac:dyDescent="0.25">
      <c r="A286" t="s">
        <v>298</v>
      </c>
      <c r="B286" t="s">
        <v>113</v>
      </c>
    </row>
    <row r="287" spans="1:2" x14ac:dyDescent="0.25">
      <c r="A287" t="s">
        <v>138</v>
      </c>
      <c r="B287" t="s">
        <v>113</v>
      </c>
    </row>
    <row r="288" spans="1:2" x14ac:dyDescent="0.25">
      <c r="A288" t="s">
        <v>164</v>
      </c>
      <c r="B288" t="s">
        <v>367</v>
      </c>
    </row>
    <row r="289" spans="1:2" x14ac:dyDescent="0.25">
      <c r="A289" t="s">
        <v>112</v>
      </c>
      <c r="B289" t="s">
        <v>113</v>
      </c>
    </row>
    <row r="290" spans="1:2" x14ac:dyDescent="0.25">
      <c r="A290" t="s">
        <v>251</v>
      </c>
      <c r="B290" t="s">
        <v>348</v>
      </c>
    </row>
    <row r="291" spans="1:2" x14ac:dyDescent="0.25">
      <c r="A291" t="s">
        <v>25</v>
      </c>
      <c r="B291" t="s">
        <v>334</v>
      </c>
    </row>
    <row r="292" spans="1:2" x14ac:dyDescent="0.25">
      <c r="A292" t="s">
        <v>31</v>
      </c>
      <c r="B292" t="s">
        <v>337</v>
      </c>
    </row>
    <row r="293" spans="1:2" x14ac:dyDescent="0.25">
      <c r="A293" t="s">
        <v>101</v>
      </c>
      <c r="B293" t="s">
        <v>336</v>
      </c>
    </row>
    <row r="294" spans="1:2" x14ac:dyDescent="0.25">
      <c r="A294" t="s">
        <v>119</v>
      </c>
      <c r="B294" t="s">
        <v>339</v>
      </c>
    </row>
    <row r="295" spans="1:2" x14ac:dyDescent="0.25">
      <c r="A295" t="s">
        <v>199</v>
      </c>
      <c r="B295" t="s">
        <v>391</v>
      </c>
    </row>
    <row r="296" spans="1:2" x14ac:dyDescent="0.25">
      <c r="A296" t="s">
        <v>27</v>
      </c>
      <c r="B296" t="s">
        <v>27</v>
      </c>
    </row>
    <row r="297" spans="1:2" x14ac:dyDescent="0.25">
      <c r="A297" t="s">
        <v>54</v>
      </c>
      <c r="B297" t="s">
        <v>27</v>
      </c>
    </row>
    <row r="298" spans="1:2" x14ac:dyDescent="0.25">
      <c r="A298" t="s">
        <v>200</v>
      </c>
      <c r="B298" t="s">
        <v>27</v>
      </c>
    </row>
    <row r="299" spans="1:2" x14ac:dyDescent="0.25">
      <c r="A299" t="s">
        <v>40</v>
      </c>
      <c r="B299" t="s">
        <v>27</v>
      </c>
    </row>
    <row r="300" spans="1:2" x14ac:dyDescent="0.25">
      <c r="A300" t="s">
        <v>44</v>
      </c>
      <c r="B300" t="s">
        <v>27</v>
      </c>
    </row>
    <row r="301" spans="1:2" x14ac:dyDescent="0.25">
      <c r="A301" t="s">
        <v>58</v>
      </c>
      <c r="B301" t="s">
        <v>27</v>
      </c>
    </row>
    <row r="302" spans="1:2" x14ac:dyDescent="0.25">
      <c r="A302" t="s">
        <v>11</v>
      </c>
      <c r="B302" t="s">
        <v>27</v>
      </c>
    </row>
    <row r="303" spans="1:2" x14ac:dyDescent="0.25">
      <c r="A303" t="s">
        <v>38</v>
      </c>
      <c r="B303" t="s">
        <v>27</v>
      </c>
    </row>
    <row r="304" spans="1:2" x14ac:dyDescent="0.25">
      <c r="A304" t="s">
        <v>118</v>
      </c>
      <c r="B304" t="s">
        <v>27</v>
      </c>
    </row>
    <row r="305" spans="1:2" x14ac:dyDescent="0.25">
      <c r="A305" t="s">
        <v>32</v>
      </c>
      <c r="B305" t="s">
        <v>27</v>
      </c>
    </row>
    <row r="306" spans="1:2" x14ac:dyDescent="0.25">
      <c r="A306" t="s">
        <v>14</v>
      </c>
      <c r="B306" t="s">
        <v>27</v>
      </c>
    </row>
    <row r="307" spans="1:2" x14ac:dyDescent="0.25">
      <c r="A307" t="s">
        <v>145</v>
      </c>
      <c r="B307" t="s">
        <v>47</v>
      </c>
    </row>
    <row r="308" spans="1:2" x14ac:dyDescent="0.25">
      <c r="A308" t="s">
        <v>302</v>
      </c>
      <c r="B308" t="s">
        <v>47</v>
      </c>
    </row>
    <row r="309" spans="1:2" x14ac:dyDescent="0.25">
      <c r="A309" t="s">
        <v>47</v>
      </c>
      <c r="B309" t="s">
        <v>47</v>
      </c>
    </row>
    <row r="310" spans="1:2" x14ac:dyDescent="0.25">
      <c r="A310" t="s">
        <v>276</v>
      </c>
      <c r="B310" t="s">
        <v>47</v>
      </c>
    </row>
    <row r="311" spans="1:2" x14ac:dyDescent="0.25">
      <c r="A311" t="s">
        <v>206</v>
      </c>
      <c r="B311" t="s">
        <v>47</v>
      </c>
    </row>
    <row r="312" spans="1:2" x14ac:dyDescent="0.25">
      <c r="A312" t="s">
        <v>104</v>
      </c>
      <c r="B312" t="s">
        <v>47</v>
      </c>
    </row>
    <row r="313" spans="1:2" x14ac:dyDescent="0.25">
      <c r="A313" t="s">
        <v>306</v>
      </c>
      <c r="B313" t="s">
        <v>339</v>
      </c>
    </row>
    <row r="314" spans="1:2" x14ac:dyDescent="0.25">
      <c r="A314" t="s">
        <v>253</v>
      </c>
      <c r="B314" t="s">
        <v>339</v>
      </c>
    </row>
    <row r="315" spans="1:2" x14ac:dyDescent="0.25">
      <c r="A315" t="s">
        <v>10</v>
      </c>
      <c r="B315" t="s">
        <v>378</v>
      </c>
    </row>
    <row r="316" spans="1:2" x14ac:dyDescent="0.25">
      <c r="A316" t="s">
        <v>19</v>
      </c>
      <c r="B316" t="s">
        <v>334</v>
      </c>
    </row>
    <row r="317" spans="1:2" x14ac:dyDescent="0.25">
      <c r="A317" t="s">
        <v>15</v>
      </c>
      <c r="B317" t="s">
        <v>27</v>
      </c>
    </row>
    <row r="318" spans="1:2" x14ac:dyDescent="0.25">
      <c r="A318" t="s">
        <v>172</v>
      </c>
      <c r="B318" t="s">
        <v>335</v>
      </c>
    </row>
    <row r="319" spans="1:2" x14ac:dyDescent="0.25">
      <c r="A319" t="s">
        <v>175</v>
      </c>
      <c r="B319" t="s">
        <v>374</v>
      </c>
    </row>
    <row r="320" spans="1:2" x14ac:dyDescent="0.25">
      <c r="A320" t="s">
        <v>165</v>
      </c>
      <c r="B320" t="s">
        <v>351</v>
      </c>
    </row>
    <row r="321" spans="1:2" x14ac:dyDescent="0.25">
      <c r="A321" t="s">
        <v>103</v>
      </c>
      <c r="B321" t="s">
        <v>337</v>
      </c>
    </row>
    <row r="322" spans="1:2" x14ac:dyDescent="0.25">
      <c r="A322" t="s">
        <v>217</v>
      </c>
      <c r="B322" t="s">
        <v>337</v>
      </c>
    </row>
    <row r="323" spans="1:2" x14ac:dyDescent="0.25">
      <c r="A323" t="s">
        <v>252</v>
      </c>
      <c r="B323" t="s">
        <v>379</v>
      </c>
    </row>
    <row r="324" spans="1:2" x14ac:dyDescent="0.25">
      <c r="A324" t="s">
        <v>232</v>
      </c>
      <c r="B324" t="s">
        <v>334</v>
      </c>
    </row>
    <row r="325" spans="1:2" x14ac:dyDescent="0.25">
      <c r="A325" t="s">
        <v>48</v>
      </c>
      <c r="B325" t="s">
        <v>334</v>
      </c>
    </row>
    <row r="326" spans="1:2" x14ac:dyDescent="0.25">
      <c r="A326" t="s">
        <v>184</v>
      </c>
      <c r="B326" t="s">
        <v>340</v>
      </c>
    </row>
    <row r="327" spans="1:2" x14ac:dyDescent="0.25">
      <c r="A327" t="s">
        <v>223</v>
      </c>
      <c r="B327" t="s">
        <v>363</v>
      </c>
    </row>
    <row r="328" spans="1:2" x14ac:dyDescent="0.25">
      <c r="A328" t="s">
        <v>177</v>
      </c>
      <c r="B328" t="s">
        <v>363</v>
      </c>
    </row>
    <row r="329" spans="1:2" x14ac:dyDescent="0.25">
      <c r="B329" t="s">
        <v>393</v>
      </c>
    </row>
    <row r="330" spans="1:2" x14ac:dyDescent="0.25">
      <c r="B330" t="s">
        <v>393</v>
      </c>
    </row>
  </sheetData>
  <sortState xmlns:xlrd2="http://schemas.microsoft.com/office/spreadsheetml/2017/richdata2" ref="A1:B330">
    <sortCondition ref="A1:A33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E0B01-DB94-4D0B-B5C3-BFCD891CADFE}">
  <sheetPr codeName="Sheet5"/>
  <dimension ref="A1:N840"/>
  <sheetViews>
    <sheetView workbookViewId="0">
      <pane ySplit="1" topLeftCell="A2" activePane="bottomLeft" state="frozen"/>
      <selection pane="bottomLeft" activeCell="N2" sqref="N2"/>
    </sheetView>
  </sheetViews>
  <sheetFormatPr defaultRowHeight="12.75" x14ac:dyDescent="0.2"/>
  <cols>
    <col min="1" max="1" width="15.7109375" style="1" customWidth="1"/>
    <col min="2" max="7" width="15.7109375" style="2" customWidth="1"/>
    <col min="8" max="8" width="9.140625" style="2"/>
    <col min="9" max="10" width="12.7109375" style="2" customWidth="1"/>
    <col min="11" max="11" width="12.7109375" style="4" customWidth="1"/>
    <col min="12" max="12" width="12.7109375" style="10" customWidth="1"/>
    <col min="13" max="13" width="9.140625" style="2"/>
    <col min="14" max="14" width="6.7109375" style="2" bestFit="1" customWidth="1"/>
    <col min="15" max="16384" width="9.140625" style="2"/>
  </cols>
  <sheetData>
    <row r="1" spans="1:14" x14ac:dyDescent="0.2">
      <c r="A1" s="6" t="s">
        <v>7</v>
      </c>
      <c r="B1" s="6" t="s">
        <v>8</v>
      </c>
      <c r="C1" s="7" t="s">
        <v>2</v>
      </c>
      <c r="D1" s="7" t="s">
        <v>1</v>
      </c>
      <c r="E1" s="7" t="s">
        <v>5</v>
      </c>
      <c r="F1" s="7" t="s">
        <v>4</v>
      </c>
      <c r="G1" s="7" t="s">
        <v>3</v>
      </c>
      <c r="I1" s="8" t="s">
        <v>6</v>
      </c>
      <c r="J1" s="8" t="s">
        <v>9</v>
      </c>
      <c r="K1" s="13"/>
      <c r="L1" s="9" t="s">
        <v>0</v>
      </c>
    </row>
    <row r="2" spans="1:14" x14ac:dyDescent="0.2">
      <c r="A2" s="5">
        <v>45792</v>
      </c>
      <c r="B2" s="3" t="str">
        <f ca="1">INDEX($C$1:$G$1, 1, MATCH(MAX(C2:G2), C2:G2, 0))</f>
        <v>MIDCAPETF</v>
      </c>
      <c r="C2" s="3">
        <f t="shared" ref="C2:G11" ca="1" si="0">IFERROR(INDEX(_xlfn.STOCKHISTORY(C$1,$A2),2,2),0)/IFERROR(INDEX(_xlfn.STOCKHISTORY(C$1,EDATE($A2,-1)),2,2),0)-1</f>
        <v>4.5357232500110811E-2</v>
      </c>
      <c r="D2" s="3">
        <f t="shared" ca="1" si="0"/>
        <v>-7.9835178985319111E-3</v>
      </c>
      <c r="E2" s="3">
        <f t="shared" ca="1" si="0"/>
        <v>7.3983210027983359E-2</v>
      </c>
      <c r="F2" s="3">
        <f t="shared" ca="1" si="0"/>
        <v>8.3076923076923048E-2</v>
      </c>
      <c r="G2" s="3">
        <f t="shared" ca="1" si="0"/>
        <v>6.027558283811163E-2</v>
      </c>
      <c r="I2" s="2" vm="1">
        <f t="shared" ref="I2:I65" ca="1" si="1">IF(B2&lt;&gt;B3,INDEX(_xlfn.STOCKHISTORY(B2,A2),2,2),I3)</f>
        <v>21.12</v>
      </c>
      <c r="J2" s="2" vm="2">
        <f t="shared" ref="J2:J65" ca="1" si="2">IF(B2&lt;&gt;B3,INDEX(_xlfn.STOCKHISTORY(B3,A2),2,2),"")</f>
        <v>77.040000000000006</v>
      </c>
      <c r="K2" s="4">
        <f t="shared" ref="K2:K65" ca="1" si="3">IF(ISNUMBER(J2),J2/I3-1,"")</f>
        <v>-4.310023599552848E-2</v>
      </c>
      <c r="L2" s="10">
        <f t="shared" ref="L2:L65" ca="1" si="4">IF(K2&lt;&gt;"",L3*(1+K2),L3)</f>
        <v>205.89073076354683</v>
      </c>
      <c r="N2" s="4">
        <f ca="1">COUNTIF(K:K,"&gt;0")/COUNT(K:K)</f>
        <v>0.55882352941176472</v>
      </c>
    </row>
    <row r="3" spans="1:14" x14ac:dyDescent="0.2">
      <c r="A3" s="5">
        <f>A2-7</f>
        <v>45785</v>
      </c>
      <c r="B3" s="3" t="str">
        <f t="shared" ref="B3" ca="1" si="5">INDEX($C$1:$G$1, 1, MATCH(MAX(C3:G3), C3:G3, 0))</f>
        <v>GOLDBEES</v>
      </c>
      <c r="C3" s="3">
        <f t="shared" ca="1" si="0"/>
        <v>3.2376476370394203E-2</v>
      </c>
      <c r="D3" s="3">
        <f t="shared" ca="1" si="0"/>
        <v>9.8534201954397327E-2</v>
      </c>
      <c r="E3" s="3">
        <f t="shared" ca="1" si="0"/>
        <v>7.2491294713517007E-2</v>
      </c>
      <c r="F3" s="3">
        <f t="shared" ca="1" si="0"/>
        <v>6.2633832976445536E-2</v>
      </c>
      <c r="G3" s="3">
        <f t="shared" ca="1" si="0"/>
        <v>4.42781629710991E-2</v>
      </c>
      <c r="I3" s="2" vm="3">
        <f t="shared" ca="1" si="1"/>
        <v>80.510000000000005</v>
      </c>
      <c r="J3" s="2" t="str">
        <f t="shared" ca="1" si="2"/>
        <v/>
      </c>
      <c r="K3" s="4" t="str">
        <f t="shared" ca="1" si="3"/>
        <v/>
      </c>
      <c r="L3" s="10">
        <f t="shared" ca="1" si="4"/>
        <v>215.16436570318217</v>
      </c>
    </row>
    <row r="4" spans="1:14" x14ac:dyDescent="0.2">
      <c r="A4" s="5">
        <f>A3-14</f>
        <v>45771</v>
      </c>
      <c r="B4" s="3" t="str">
        <f t="shared" ref="B4:B35" ca="1" si="6">INDEX($C$1:$G$1, 1, MATCH(MAX(C4:G4), C4:G4, 0))</f>
        <v>GOLDBEES</v>
      </c>
      <c r="C4" s="3">
        <f t="shared" ca="1" si="0"/>
        <v>3.2855295638885673E-2</v>
      </c>
      <c r="D4" s="3">
        <f t="shared" ca="1" si="0"/>
        <v>0.10287671232876727</v>
      </c>
      <c r="E4" s="3">
        <f t="shared" ca="1" si="0"/>
        <v>2.2838807097017799E-2</v>
      </c>
      <c r="F4" s="3">
        <f t="shared" ca="1" si="0"/>
        <v>3.7993920972644313E-2</v>
      </c>
      <c r="G4" s="3">
        <f t="shared" ca="1" si="0"/>
        <v>2.8373836608066361E-2</v>
      </c>
      <c r="I4" s="2" vm="3">
        <f t="shared" ca="1" si="1"/>
        <v>80.510000000000005</v>
      </c>
      <c r="J4" s="2" vm="4">
        <f t="shared" ca="1" si="2"/>
        <v>159.11000000000001</v>
      </c>
      <c r="K4" s="4">
        <f t="shared" ca="1" si="3"/>
        <v>3.7358195331855582E-2</v>
      </c>
      <c r="L4" s="10">
        <f t="shared" ca="1" si="4"/>
        <v>215.16436570318217</v>
      </c>
    </row>
    <row r="5" spans="1:14" x14ac:dyDescent="0.2">
      <c r="A5" s="5">
        <f>A4-7</f>
        <v>45764</v>
      </c>
      <c r="B5" s="3" t="str">
        <f t="shared" ca="1" si="6"/>
        <v>HDFCSML250</v>
      </c>
      <c r="C5" s="3">
        <f t="shared" ca="1" si="0"/>
        <v>7.8751927494729035E-2</v>
      </c>
      <c r="D5" s="3">
        <f t="shared" ca="1" si="0"/>
        <v>8.1599347205222328E-2</v>
      </c>
      <c r="E5" s="3">
        <f t="shared" ca="1" si="0"/>
        <v>5.6943453089063345E-2</v>
      </c>
      <c r="F5" s="3">
        <f t="shared" ca="1" si="0"/>
        <v>8.1643835616438176E-2</v>
      </c>
      <c r="G5" s="3">
        <f t="shared" ca="1" si="0"/>
        <v>9.0679038380430343E-2</v>
      </c>
      <c r="I5" s="2" vm="5">
        <f t="shared" ca="1" si="1"/>
        <v>153.38</v>
      </c>
      <c r="J5" s="2" t="str">
        <f t="shared" ca="1" si="2"/>
        <v/>
      </c>
      <c r="K5" s="4" t="str">
        <f t="shared" ca="1" si="3"/>
        <v/>
      </c>
      <c r="L5" s="10">
        <f t="shared" ca="1" si="4"/>
        <v>207.41568984698685</v>
      </c>
    </row>
    <row r="6" spans="1:14" x14ac:dyDescent="0.2">
      <c r="A6" s="5">
        <f>A5-14</f>
        <v>45750</v>
      </c>
      <c r="B6" s="3" t="str">
        <f t="shared" ca="1" si="6"/>
        <v>HDFCSML250</v>
      </c>
      <c r="C6" s="3">
        <f t="shared" ca="1" si="0"/>
        <v>9.6417212955150378E-2</v>
      </c>
      <c r="D6" s="3">
        <f t="shared" ca="1" si="0"/>
        <v>6.2920403587443774E-2</v>
      </c>
      <c r="E6" s="3">
        <f t="shared" ca="1" si="0"/>
        <v>5.0030235839548354E-2</v>
      </c>
      <c r="F6" s="3">
        <f t="shared" ca="1" si="0"/>
        <v>8.2594235033259578E-2</v>
      </c>
      <c r="G6" s="3">
        <f t="shared" ca="1" si="0"/>
        <v>0.10791678705576424</v>
      </c>
      <c r="I6" s="2" vm="5">
        <f t="shared" ca="1" si="1"/>
        <v>153.38</v>
      </c>
      <c r="J6" s="2" vm="6">
        <f t="shared" ca="1" si="2"/>
        <v>675.7</v>
      </c>
      <c r="K6" s="4">
        <f t="shared" ca="1" si="3"/>
        <v>-8.1330868761542163E-4</v>
      </c>
      <c r="L6" s="10">
        <f t="shared" ca="1" si="4"/>
        <v>207.41568984698685</v>
      </c>
    </row>
    <row r="7" spans="1:14" x14ac:dyDescent="0.2">
      <c r="A7" s="5">
        <f t="shared" ref="A7:A38" si="7">A6-7</f>
        <v>45743</v>
      </c>
      <c r="B7" s="3" t="str">
        <f t="shared" ca="1" si="6"/>
        <v>JUNIORBEES</v>
      </c>
      <c r="C7" s="3">
        <f t="shared" ca="1" si="0"/>
        <v>7.4931252086280598E-2</v>
      </c>
      <c r="D7" s="3">
        <f t="shared" ca="1" si="0"/>
        <v>2.6711185308848195E-2</v>
      </c>
      <c r="E7" s="3">
        <f t="shared" ca="1" si="0"/>
        <v>4.4227114349065566E-2</v>
      </c>
      <c r="F7" s="3">
        <f t="shared" ca="1" si="0"/>
        <v>5.1462621885157045E-2</v>
      </c>
      <c r="G7" s="3">
        <f t="shared" ca="1" si="0"/>
        <v>6.7573251086499475E-2</v>
      </c>
      <c r="I7" s="2" vm="7">
        <f t="shared" ca="1" si="1"/>
        <v>676.25</v>
      </c>
      <c r="J7" s="2" vm="8">
        <f t="shared" ca="1" si="2"/>
        <v>73.8</v>
      </c>
      <c r="K7" s="4">
        <f t="shared" ca="1" si="3"/>
        <v>0.12844036697247696</v>
      </c>
      <c r="L7" s="10">
        <f t="shared" ca="1" si="4"/>
        <v>207.5845201406317</v>
      </c>
    </row>
    <row r="8" spans="1:14" x14ac:dyDescent="0.2">
      <c r="A8" s="5">
        <f t="shared" si="7"/>
        <v>45736</v>
      </c>
      <c r="B8" s="3" t="str">
        <f t="shared" ca="1" si="6"/>
        <v>GOLDBEES</v>
      </c>
      <c r="C8" s="3">
        <f t="shared" ca="1" si="0"/>
        <v>2.1034261045283387E-2</v>
      </c>
      <c r="D8" s="3">
        <f t="shared" ca="1" si="0"/>
        <v>2.7590012415505516E-2</v>
      </c>
      <c r="E8" s="3">
        <f t="shared" ca="1" si="0"/>
        <v>9.6165076893126589E-3</v>
      </c>
      <c r="F8" s="3">
        <f t="shared" ca="1" si="0"/>
        <v>3.6496350364962904E-3</v>
      </c>
      <c r="G8" s="3">
        <f t="shared" ca="1" si="0"/>
        <v>7.6669581007466903E-3</v>
      </c>
      <c r="I8" s="2" vm="9">
        <f t="shared" ca="1" si="1"/>
        <v>65.400000000000006</v>
      </c>
      <c r="J8" s="2" t="str">
        <f t="shared" ca="1" si="2"/>
        <v/>
      </c>
      <c r="K8" s="4" t="str">
        <f t="shared" ca="1" si="3"/>
        <v/>
      </c>
      <c r="L8" s="10">
        <f t="shared" ca="1" si="4"/>
        <v>183.95701378316144</v>
      </c>
    </row>
    <row r="9" spans="1:14" x14ac:dyDescent="0.2">
      <c r="A9" s="5">
        <f t="shared" si="7"/>
        <v>45729</v>
      </c>
      <c r="B9" s="3" t="str">
        <f t="shared" ca="1" si="6"/>
        <v>GOLDBEES</v>
      </c>
      <c r="C9" s="3">
        <f t="shared" ca="1" si="0"/>
        <v>-3.1996809522348735E-2</v>
      </c>
      <c r="D9" s="3">
        <f t="shared" ca="1" si="0"/>
        <v>1.3218310839014702E-2</v>
      </c>
      <c r="E9" s="3">
        <f t="shared" ca="1" si="0"/>
        <v>-2.7539993027849929E-2</v>
      </c>
      <c r="F9" s="3">
        <f t="shared" ca="1" si="0"/>
        <v>-4.9712192569335345E-2</v>
      </c>
      <c r="G9" s="3">
        <f t="shared" ca="1" si="0"/>
        <v>-6.0214626391096981E-2</v>
      </c>
      <c r="I9" s="2" vm="9">
        <f t="shared" ca="1" si="1"/>
        <v>65.400000000000006</v>
      </c>
      <c r="J9" s="2" t="str">
        <f t="shared" ca="1" si="2"/>
        <v/>
      </c>
      <c r="K9" s="4" t="str">
        <f t="shared" ca="1" si="3"/>
        <v/>
      </c>
      <c r="L9" s="10">
        <f t="shared" ca="1" si="4"/>
        <v>183.95701378316144</v>
      </c>
    </row>
    <row r="10" spans="1:14" x14ac:dyDescent="0.2">
      <c r="A10" s="5">
        <f t="shared" si="7"/>
        <v>45722</v>
      </c>
      <c r="B10" s="3" t="str">
        <f t="shared" ca="1" si="6"/>
        <v>GOLDBEES</v>
      </c>
      <c r="C10" s="3">
        <f t="shared" ca="1" si="0"/>
        <v>-5.2165209455680039E-2</v>
      </c>
      <c r="D10" s="3">
        <f t="shared" ca="1" si="0"/>
        <v>6.4398712025759419E-3</v>
      </c>
      <c r="E10" s="3">
        <f t="shared" ca="1" si="0"/>
        <v>-4.3953549948935189E-2</v>
      </c>
      <c r="F10" s="3">
        <f t="shared" ca="1" si="0"/>
        <v>-7.1713147410358502E-2</v>
      </c>
      <c r="G10" s="3">
        <f t="shared" ca="1" si="0"/>
        <v>-9.7541388682975017E-2</v>
      </c>
      <c r="I10" s="2" vm="9">
        <f t="shared" ca="1" si="1"/>
        <v>65.400000000000006</v>
      </c>
      <c r="J10" s="2" t="str">
        <f t="shared" ca="1" si="2"/>
        <v/>
      </c>
      <c r="K10" s="4" t="str">
        <f t="shared" ca="1" si="3"/>
        <v/>
      </c>
      <c r="L10" s="10">
        <f t="shared" ca="1" si="4"/>
        <v>183.95701378316144</v>
      </c>
    </row>
    <row r="11" spans="1:14" x14ac:dyDescent="0.2">
      <c r="A11" s="5">
        <f t="shared" si="7"/>
        <v>45715</v>
      </c>
      <c r="B11" s="3" t="str">
        <f t="shared" ca="1" si="6"/>
        <v>GOLDBEES</v>
      </c>
      <c r="C11" s="3">
        <f t="shared" ca="1" si="0"/>
        <v>-3.1721356892199681E-2</v>
      </c>
      <c r="D11" s="3">
        <f t="shared" ca="1" si="0"/>
        <v>6.1899837494459931E-2</v>
      </c>
      <c r="E11" s="3">
        <f t="shared" ca="1" si="0"/>
        <v>-1.2241386053424064E-2</v>
      </c>
      <c r="F11" s="3">
        <f t="shared" ca="1" si="0"/>
        <v>-5.0899742930591185E-2</v>
      </c>
      <c r="G11" s="3">
        <f t="shared" ca="1" si="0"/>
        <v>-8.032490974729245E-2</v>
      </c>
      <c r="I11" s="2" vm="9">
        <f t="shared" ca="1" si="1"/>
        <v>65.400000000000006</v>
      </c>
      <c r="J11" s="2" t="str">
        <f t="shared" ca="1" si="2"/>
        <v/>
      </c>
      <c r="K11" s="4" t="str">
        <f t="shared" ca="1" si="3"/>
        <v/>
      </c>
      <c r="L11" s="10">
        <f t="shared" ca="1" si="4"/>
        <v>183.95701378316144</v>
      </c>
    </row>
    <row r="12" spans="1:14" x14ac:dyDescent="0.2">
      <c r="A12" s="5">
        <f t="shared" si="7"/>
        <v>45708</v>
      </c>
      <c r="B12" s="3" t="str">
        <f t="shared" ca="1" si="6"/>
        <v>GOLDBEES</v>
      </c>
      <c r="C12" s="3">
        <f t="shared" ref="C12:G26" ca="1" si="8">IFERROR(INDEX(_xlfn.STOCKHISTORY(C$1,$A12),2,2),0)/IFERROR(INDEX(_xlfn.STOCKHISTORY(C$1,EDATE($A12,-1)),2,2),0)-1</f>
        <v>-6.2233515655282345E-2</v>
      </c>
      <c r="D12" s="3">
        <f t="shared" ca="1" si="8"/>
        <v>8.8601892176002339E-2</v>
      </c>
      <c r="E12" s="3">
        <f t="shared" ca="1" si="8"/>
        <v>-1.6992613571127801E-2</v>
      </c>
      <c r="F12" s="3">
        <f t="shared" ca="1" si="8"/>
        <v>-7.118644067796609E-2</v>
      </c>
      <c r="G12" s="3">
        <f t="shared" ca="1" si="8"/>
        <v>-0.1226175724316988</v>
      </c>
      <c r="I12" s="2" vm="9">
        <f t="shared" ca="1" si="1"/>
        <v>65.400000000000006</v>
      </c>
      <c r="J12" s="2" t="str">
        <f t="shared" ca="1" si="2"/>
        <v/>
      </c>
      <c r="K12" s="4" t="str">
        <f t="shared" ca="1" si="3"/>
        <v/>
      </c>
      <c r="L12" s="10">
        <f t="shared" ca="1" si="4"/>
        <v>183.95701378316144</v>
      </c>
    </row>
    <row r="13" spans="1:14" x14ac:dyDescent="0.2">
      <c r="A13" s="5">
        <f t="shared" si="7"/>
        <v>45701</v>
      </c>
      <c r="B13" s="3" t="str">
        <f t="shared" ca="1" si="6"/>
        <v>GOLDBEES</v>
      </c>
      <c r="C13" s="3">
        <f t="shared" ca="1" si="8"/>
        <v>-1.3572195911697338E-2</v>
      </c>
      <c r="D13" s="3">
        <f t="shared" ca="1" si="8"/>
        <v>8.48301886792453E-2</v>
      </c>
      <c r="E13" s="3">
        <f t="shared" ca="1" si="8"/>
        <v>-8.9009287925678748E-4</v>
      </c>
      <c r="F13" s="3">
        <f t="shared" ca="1" si="8"/>
        <v>-3.2405063291139236E-2</v>
      </c>
      <c r="G13" s="3">
        <f t="shared" ca="1" si="8"/>
        <v>-7.4262586619243232E-2</v>
      </c>
      <c r="I13" s="2" vm="9">
        <f t="shared" ca="1" si="1"/>
        <v>65.400000000000006</v>
      </c>
      <c r="J13" s="2" t="str">
        <f t="shared" ca="1" si="2"/>
        <v/>
      </c>
      <c r="K13" s="4" t="str">
        <f t="shared" ca="1" si="3"/>
        <v/>
      </c>
      <c r="L13" s="10">
        <f t="shared" ca="1" si="4"/>
        <v>183.95701378316144</v>
      </c>
    </row>
    <row r="14" spans="1:14" x14ac:dyDescent="0.2">
      <c r="A14" s="5">
        <f t="shared" si="7"/>
        <v>45694</v>
      </c>
      <c r="B14" s="3" t="str">
        <f t="shared" ca="1" si="6"/>
        <v>GOLDBEES</v>
      </c>
      <c r="C14" s="3">
        <f t="shared" ca="1" si="8"/>
        <v>-5.2680015617156517E-2</v>
      </c>
      <c r="D14" s="3">
        <f t="shared" ca="1" si="8"/>
        <v>0.10555641541557037</v>
      </c>
      <c r="E14" s="3">
        <f t="shared" ca="1" si="8"/>
        <v>-4.1591046581979096E-4</v>
      </c>
      <c r="F14" s="3">
        <f t="shared" ca="1" si="8"/>
        <v>-5.3276756247053414E-2</v>
      </c>
      <c r="G14" s="3">
        <f t="shared" ca="1" si="8"/>
        <v>-7.8132118451025079E-2</v>
      </c>
      <c r="I14" s="2" vm="9">
        <f t="shared" ca="1" si="1"/>
        <v>65.400000000000006</v>
      </c>
      <c r="J14" s="2" t="str">
        <f t="shared" ca="1" si="2"/>
        <v/>
      </c>
      <c r="K14" s="4" t="str">
        <f t="shared" ca="1" si="3"/>
        <v/>
      </c>
      <c r="L14" s="10">
        <f t="shared" ca="1" si="4"/>
        <v>183.95701378316144</v>
      </c>
    </row>
    <row r="15" spans="1:14" x14ac:dyDescent="0.2">
      <c r="A15" s="5">
        <f t="shared" si="7"/>
        <v>45687</v>
      </c>
      <c r="B15" s="3" t="str">
        <f t="shared" ca="1" si="6"/>
        <v>GOLDBEES</v>
      </c>
      <c r="C15" s="3">
        <f t="shared" ca="1" si="8"/>
        <v>-8.5924398625429554E-2</v>
      </c>
      <c r="D15" s="3">
        <f t="shared" ca="1" si="8"/>
        <v>6.3906250000000053E-2</v>
      </c>
      <c r="E15" s="3">
        <f t="shared" ca="1" si="8"/>
        <v>-1.5697696410333917E-2</v>
      </c>
      <c r="F15" s="3">
        <f t="shared" ca="1" si="8"/>
        <v>-7.3900841908325465E-2</v>
      </c>
      <c r="G15" s="3">
        <f t="shared" ca="1" si="8"/>
        <v>-0.11550169109357389</v>
      </c>
      <c r="I15" s="2" vm="9">
        <f t="shared" ca="1" si="1"/>
        <v>65.400000000000006</v>
      </c>
      <c r="J15" s="2" t="str">
        <f t="shared" ca="1" si="2"/>
        <v/>
      </c>
      <c r="K15" s="4" t="str">
        <f t="shared" ca="1" si="3"/>
        <v/>
      </c>
      <c r="L15" s="10">
        <f t="shared" ca="1" si="4"/>
        <v>183.95701378316144</v>
      </c>
    </row>
    <row r="16" spans="1:14" x14ac:dyDescent="0.2">
      <c r="A16" s="5">
        <f t="shared" si="7"/>
        <v>45680</v>
      </c>
      <c r="B16" s="3" t="str">
        <f t="shared" ca="1" si="6"/>
        <v>GOLDBEES</v>
      </c>
      <c r="C16" s="3">
        <f t="shared" ca="1" si="8"/>
        <v>-7.7157263818856459E-2</v>
      </c>
      <c r="D16" s="3">
        <f t="shared" ca="1" si="8"/>
        <v>5.4087853681413334E-2</v>
      </c>
      <c r="E16" s="3">
        <f t="shared" ca="1" si="8"/>
        <v>-2.3149890837913301E-2</v>
      </c>
      <c r="F16" s="3">
        <f t="shared" ca="1" si="8"/>
        <v>-4.9486461251167291E-2</v>
      </c>
      <c r="G16" s="3">
        <f t="shared" ca="1" si="8"/>
        <v>-7.6254935138183932E-2</v>
      </c>
      <c r="I16" s="2" vm="9">
        <f t="shared" ca="1" si="1"/>
        <v>65.400000000000006</v>
      </c>
      <c r="J16" s="2" t="str">
        <f t="shared" ca="1" si="2"/>
        <v/>
      </c>
      <c r="K16" s="4" t="str">
        <f t="shared" ca="1" si="3"/>
        <v/>
      </c>
      <c r="L16" s="10">
        <f t="shared" ca="1" si="4"/>
        <v>183.95701378316144</v>
      </c>
    </row>
    <row r="17" spans="1:12" x14ac:dyDescent="0.2">
      <c r="A17" s="5">
        <f t="shared" si="7"/>
        <v>45673</v>
      </c>
      <c r="B17" s="3" t="str">
        <f t="shared" ca="1" si="6"/>
        <v>GOLDBEES</v>
      </c>
      <c r="C17" s="3">
        <f t="shared" ca="1" si="8"/>
        <v>-0.11770428015564194</v>
      </c>
      <c r="D17" s="3">
        <f t="shared" ca="1" si="8"/>
        <v>3.272332506203468E-2</v>
      </c>
      <c r="E17" s="3">
        <f t="shared" ca="1" si="8"/>
        <v>-5.3579207201974732E-2</v>
      </c>
      <c r="F17" s="3">
        <f t="shared" ca="1" si="8"/>
        <v>-7.4909747292418727E-2</v>
      </c>
      <c r="G17" s="3">
        <f t="shared" ca="1" si="8"/>
        <v>-8.7849555603728646E-2</v>
      </c>
      <c r="I17" s="2" vm="9">
        <f t="shared" ca="1" si="1"/>
        <v>65.400000000000006</v>
      </c>
      <c r="J17" s="2" t="str">
        <f t="shared" ca="1" si="2"/>
        <v/>
      </c>
      <c r="K17" s="4" t="str">
        <f t="shared" ca="1" si="3"/>
        <v/>
      </c>
      <c r="L17" s="10">
        <f t="shared" ca="1" si="4"/>
        <v>183.95701378316144</v>
      </c>
    </row>
    <row r="18" spans="1:12" x14ac:dyDescent="0.2">
      <c r="A18" s="5">
        <f t="shared" si="7"/>
        <v>45666</v>
      </c>
      <c r="B18" s="3" t="str">
        <f t="shared" ca="1" si="6"/>
        <v>GOLDBEES</v>
      </c>
      <c r="C18" s="3">
        <f t="shared" ca="1" si="8"/>
        <v>-9.7269800386348915E-2</v>
      </c>
      <c r="D18" s="3">
        <f t="shared" ca="1" si="8"/>
        <v>1.7265515632291173E-2</v>
      </c>
      <c r="E18" s="3">
        <f t="shared" ca="1" si="8"/>
        <v>-4.3577814930580883E-2</v>
      </c>
      <c r="F18" s="3">
        <f t="shared" ca="1" si="8"/>
        <v>-4.8094373865698703E-2</v>
      </c>
      <c r="G18" s="3">
        <f t="shared" ca="1" si="8"/>
        <v>-6.1557585256444947E-2</v>
      </c>
      <c r="I18" s="2" vm="9">
        <f t="shared" ca="1" si="1"/>
        <v>65.400000000000006</v>
      </c>
      <c r="J18" s="2" vm="10">
        <f t="shared" ca="1" si="2"/>
        <v>20.98</v>
      </c>
      <c r="K18" s="4">
        <f t="shared" ca="1" si="3"/>
        <v>-1.8249883013570445E-2</v>
      </c>
      <c r="L18" s="10">
        <f t="shared" ca="1" si="4"/>
        <v>183.95701378316144</v>
      </c>
    </row>
    <row r="19" spans="1:12" x14ac:dyDescent="0.2">
      <c r="A19" s="5">
        <f t="shared" si="7"/>
        <v>45659</v>
      </c>
      <c r="B19" s="3" t="str">
        <f t="shared" ca="1" si="6"/>
        <v>MIDCAPETF</v>
      </c>
      <c r="C19" s="3">
        <f t="shared" ca="1" si="8"/>
        <v>-2.7909730903348917E-2</v>
      </c>
      <c r="D19" s="3">
        <f t="shared" ca="1" si="8"/>
        <v>1.3174404015056318E-2</v>
      </c>
      <c r="E19" s="3">
        <f t="shared" ca="1" si="8"/>
        <v>-5.4904561868965862E-3</v>
      </c>
      <c r="F19" s="3">
        <f t="shared" ca="1" si="8"/>
        <v>1.9185774450163784E-2</v>
      </c>
      <c r="G19" s="3">
        <f t="shared" ca="1" si="8"/>
        <v>1.161167866912316E-2</v>
      </c>
      <c r="I19" s="2" vm="11">
        <f t="shared" ca="1" si="1"/>
        <v>21.37</v>
      </c>
      <c r="J19" s="2" t="str">
        <f t="shared" ca="1" si="2"/>
        <v/>
      </c>
      <c r="K19" s="4" t="str">
        <f t="shared" ca="1" si="3"/>
        <v/>
      </c>
      <c r="L19" s="10">
        <f t="shared" ca="1" si="4"/>
        <v>187.37661508799619</v>
      </c>
    </row>
    <row r="20" spans="1:12" x14ac:dyDescent="0.2">
      <c r="A20" s="5">
        <f t="shared" si="7"/>
        <v>45652</v>
      </c>
      <c r="B20" s="3" t="str">
        <f t="shared" ca="1" si="6"/>
        <v>MIDCAPETF</v>
      </c>
      <c r="C20" s="3">
        <f t="shared" ca="1" si="8"/>
        <v>-5.7910898022948132E-3</v>
      </c>
      <c r="D20" s="3">
        <f t="shared" ca="1" si="8"/>
        <v>9.6229689225428849E-3</v>
      </c>
      <c r="E20" s="3">
        <f t="shared" ca="1" si="8"/>
        <v>-1.8001034967102814E-2</v>
      </c>
      <c r="F20" s="3">
        <f t="shared" ca="1" si="8"/>
        <v>1.7134697762970053E-2</v>
      </c>
      <c r="G20" s="3">
        <f t="shared" ca="1" si="8"/>
        <v>1.5102110863222773E-2</v>
      </c>
      <c r="I20" s="2" vm="11">
        <f t="shared" ca="1" si="1"/>
        <v>21.37</v>
      </c>
      <c r="J20" s="2" vm="12">
        <f t="shared" ca="1" si="2"/>
        <v>177.45</v>
      </c>
      <c r="K20" s="4">
        <f t="shared" ca="1" si="3"/>
        <v>-2.2637144745538684E-2</v>
      </c>
      <c r="L20" s="10">
        <f t="shared" ca="1" si="4"/>
        <v>187.37661508799619</v>
      </c>
    </row>
    <row r="21" spans="1:12" x14ac:dyDescent="0.2">
      <c r="A21" s="5">
        <f t="shared" si="7"/>
        <v>45645</v>
      </c>
      <c r="B21" s="3" t="str">
        <f t="shared" ca="1" si="6"/>
        <v>HDFCSML250</v>
      </c>
      <c r="C21" s="3">
        <f t="shared" ca="1" si="8"/>
        <v>4.2304130906477555E-2</v>
      </c>
      <c r="D21" s="3">
        <f t="shared" ca="1" si="8"/>
        <v>9.4161958568750315E-4</v>
      </c>
      <c r="E21" s="3">
        <f t="shared" ca="1" si="8"/>
        <v>2.0222754399969567E-2</v>
      </c>
      <c r="F21" s="3">
        <f t="shared" ca="1" si="8"/>
        <v>6.2773722627737172E-2</v>
      </c>
      <c r="G21" s="3">
        <f t="shared" ca="1" si="8"/>
        <v>7.2542533081285443E-2</v>
      </c>
      <c r="I21" s="2" vm="13">
        <f t="shared" ca="1" si="1"/>
        <v>181.56</v>
      </c>
      <c r="J21" s="2" vm="14">
        <f t="shared" ca="1" si="2"/>
        <v>754.18</v>
      </c>
      <c r="K21" s="4">
        <f t="shared" ca="1" si="3"/>
        <v>-2.4939558095336656E-2</v>
      </c>
      <c r="L21" s="10">
        <f t="shared" ca="1" si="4"/>
        <v>191.71652992604444</v>
      </c>
    </row>
    <row r="22" spans="1:12" x14ac:dyDescent="0.2">
      <c r="A22" s="5">
        <f t="shared" si="7"/>
        <v>45638</v>
      </c>
      <c r="B22" s="3" t="str">
        <f t="shared" ca="1" si="6"/>
        <v>JUNIORBEES</v>
      </c>
      <c r="C22" s="3">
        <f t="shared" ca="1" si="8"/>
        <v>6.7578846548539406E-2</v>
      </c>
      <c r="D22" s="3">
        <f t="shared" ca="1" si="8"/>
        <v>4.2170591979630689E-2</v>
      </c>
      <c r="E22" s="3">
        <f t="shared" ca="1" si="8"/>
        <v>2.5900142226214617E-2</v>
      </c>
      <c r="F22" s="3">
        <f t="shared" ca="1" si="8"/>
        <v>6.0999039385206455E-2</v>
      </c>
      <c r="G22" s="3">
        <f t="shared" ca="1" si="8"/>
        <v>5.7183825638084329E-2</v>
      </c>
      <c r="I22" s="2" vm="15">
        <f t="shared" ca="1" si="1"/>
        <v>773.47</v>
      </c>
      <c r="J22" s="2" t="str">
        <f t="shared" ca="1" si="2"/>
        <v/>
      </c>
      <c r="K22" s="4" t="str">
        <f t="shared" ca="1" si="3"/>
        <v/>
      </c>
      <c r="L22" s="10">
        <f t="shared" ca="1" si="4"/>
        <v>196.62014956893262</v>
      </c>
    </row>
    <row r="23" spans="1:12" x14ac:dyDescent="0.2">
      <c r="A23" s="5">
        <f t="shared" si="7"/>
        <v>45631</v>
      </c>
      <c r="B23" s="3" t="str">
        <f t="shared" ca="1" si="6"/>
        <v>JUNIORBEES</v>
      </c>
      <c r="C23" s="3">
        <f t="shared" ca="1" si="8"/>
        <v>3.8270511168384758E-2</v>
      </c>
      <c r="D23" s="3">
        <f t="shared" ca="1" si="8"/>
        <v>-2.8510767364270495E-2</v>
      </c>
      <c r="E23" s="3">
        <f t="shared" ca="1" si="8"/>
        <v>1.8944569592673322E-2</v>
      </c>
      <c r="F23" s="3">
        <f t="shared" ca="1" si="8"/>
        <v>3.696682464454959E-2</v>
      </c>
      <c r="G23" s="3">
        <f t="shared" ca="1" si="8"/>
        <v>2.7729343607626911E-2</v>
      </c>
      <c r="I23" s="2" vm="15">
        <f t="shared" ca="1" si="1"/>
        <v>773.47</v>
      </c>
      <c r="J23" s="2" vm="16">
        <f t="shared" ca="1" si="2"/>
        <v>182.72</v>
      </c>
      <c r="K23" s="4">
        <f t="shared" ca="1" si="3"/>
        <v>3.8063856379956684E-2</v>
      </c>
      <c r="L23" s="10">
        <f t="shared" ca="1" si="4"/>
        <v>196.62014956893262</v>
      </c>
    </row>
    <row r="24" spans="1:12" x14ac:dyDescent="0.2">
      <c r="A24" s="5">
        <f t="shared" si="7"/>
        <v>45624</v>
      </c>
      <c r="B24" s="3" t="str">
        <f t="shared" ca="1" si="6"/>
        <v>HDFCSML250</v>
      </c>
      <c r="C24" s="3">
        <f t="shared" ca="1" si="8"/>
        <v>3.2498361708102053E-3</v>
      </c>
      <c r="D24" s="3">
        <f t="shared" ca="1" si="8"/>
        <v>-2.6451809060504594E-2</v>
      </c>
      <c r="E24" s="3">
        <f t="shared" ca="1" si="8"/>
        <v>-1.5773798580725917E-2</v>
      </c>
      <c r="F24" s="3">
        <f t="shared" ca="1" si="8"/>
        <v>7.1564885496182562E-3</v>
      </c>
      <c r="G24" s="3">
        <f t="shared" ca="1" si="8"/>
        <v>2.0287502898214793E-2</v>
      </c>
      <c r="I24" s="2" vm="17">
        <f t="shared" ca="1" si="1"/>
        <v>176.02</v>
      </c>
      <c r="J24" s="2" vm="18">
        <f t="shared" ca="1" si="2"/>
        <v>64.040000000000006</v>
      </c>
      <c r="K24" s="4">
        <f t="shared" ca="1" si="3"/>
        <v>3.6413659168150314E-2</v>
      </c>
      <c r="L24" s="10">
        <f t="shared" ca="1" si="4"/>
        <v>189.41045713180563</v>
      </c>
    </row>
    <row r="25" spans="1:12" x14ac:dyDescent="0.2">
      <c r="A25" s="5">
        <f t="shared" si="7"/>
        <v>45617</v>
      </c>
      <c r="B25" s="3" t="str">
        <f t="shared" ca="1" si="6"/>
        <v>GOLDBEES</v>
      </c>
      <c r="C25" s="3">
        <f t="shared" ca="1" si="8"/>
        <v>-8.7903937390503728E-2</v>
      </c>
      <c r="D25" s="3">
        <f t="shared" ca="1" si="8"/>
        <v>-1.8543851649187038E-2</v>
      </c>
      <c r="E25" s="3">
        <f t="shared" ca="1" si="8"/>
        <v>-5.4906499801063435E-2</v>
      </c>
      <c r="F25" s="3">
        <f t="shared" ca="1" si="8"/>
        <v>-5.8959005066789527E-2</v>
      </c>
      <c r="G25" s="3">
        <f t="shared" ca="1" si="8"/>
        <v>-6.713898267559637E-2</v>
      </c>
      <c r="I25" s="2" vm="19">
        <f t="shared" ca="1" si="1"/>
        <v>61.79</v>
      </c>
      <c r="J25" s="2" t="str">
        <f t="shared" ca="1" si="2"/>
        <v/>
      </c>
      <c r="K25" s="4" t="str">
        <f t="shared" ca="1" si="3"/>
        <v/>
      </c>
      <c r="L25" s="10">
        <f t="shared" ca="1" si="4"/>
        <v>182.75565499959819</v>
      </c>
    </row>
    <row r="26" spans="1:12" x14ac:dyDescent="0.2">
      <c r="A26" s="5">
        <f t="shared" si="7"/>
        <v>45610</v>
      </c>
      <c r="B26" s="3" t="str">
        <f t="shared" ca="1" si="6"/>
        <v>GOLDBEES</v>
      </c>
      <c r="C26" s="3">
        <f t="shared" ca="1" si="8"/>
        <v>-0.10733448160493675</v>
      </c>
      <c r="D26" s="3">
        <f t="shared" ca="1" si="8"/>
        <v>-3.4229446702094379E-2</v>
      </c>
      <c r="E26" s="3">
        <f t="shared" ca="1" si="8"/>
        <v>-6.1226670465878374E-2</v>
      </c>
      <c r="F26" s="3">
        <f t="shared" ca="1" si="8"/>
        <v>-8.7483176312247668E-2</v>
      </c>
      <c r="G26" s="3">
        <f t="shared" ca="1" si="8"/>
        <v>-7.9054826591168803E-2</v>
      </c>
      <c r="I26" s="2" vm="19">
        <f t="shared" ca="1" si="1"/>
        <v>61.79</v>
      </c>
      <c r="J26" s="2" vm="20">
        <f t="shared" ca="1" si="2"/>
        <v>169.15</v>
      </c>
      <c r="K26" s="4">
        <f t="shared" ca="1" si="3"/>
        <v>-6.0695246557085802E-2</v>
      </c>
      <c r="L26" s="10">
        <f t="shared" ca="1" si="4"/>
        <v>182.75565499959819</v>
      </c>
    </row>
    <row r="27" spans="1:12" x14ac:dyDescent="0.2">
      <c r="A27" s="5">
        <f t="shared" si="7"/>
        <v>45603</v>
      </c>
      <c r="B27" s="3" t="str">
        <f t="shared" ca="1" si="6"/>
        <v>HDFCSML250</v>
      </c>
      <c r="C27" s="3">
        <f t="shared" ref="C27:F37" ca="1" si="9">IFERROR(INDEX(_xlfn.STOCKHISTORY(C$1,$A27),2,2),0)/IFERROR(INDEX(_xlfn.STOCKHISTORY(C$1,EDATE($A27,-1)),2,2),0)-1</f>
        <v>-3.958113048906331E-2</v>
      </c>
      <c r="D27" s="3">
        <f t="shared" ca="1" si="9"/>
        <v>8.1491929164707599E-3</v>
      </c>
      <c r="E27" s="3">
        <f t="shared" ca="1" si="9"/>
        <v>-2.6294018200784142E-2</v>
      </c>
      <c r="F27" s="3">
        <f t="shared" ca="1" si="9"/>
        <v>-6.4995357474466608E-3</v>
      </c>
      <c r="G27" s="3">
        <f t="shared" ref="G27:G90" ca="1" si="10">IFERROR(INDEX(_xlfn.STOCKHISTORY(G$1,$A27),2,2),0)/IFERROR(INDEX(_xlfn.STOCKHISTORY(G$1,EDATE($A27,-1)),2,2),0)-1</f>
        <v>1.2481727201169468E-2</v>
      </c>
      <c r="I27" s="2" vm="21">
        <f t="shared" ca="1" si="1"/>
        <v>180.08</v>
      </c>
      <c r="J27" s="2" vm="22">
        <f t="shared" ca="1" si="2"/>
        <v>64.33</v>
      </c>
      <c r="K27" s="4">
        <f t="shared" ca="1" si="3"/>
        <v>8.7815587266739659E-3</v>
      </c>
      <c r="L27" s="10">
        <f t="shared" ca="1" si="4"/>
        <v>194.56481437970822</v>
      </c>
    </row>
    <row r="28" spans="1:12" x14ac:dyDescent="0.2">
      <c r="A28" s="5">
        <f t="shared" si="7"/>
        <v>45596</v>
      </c>
      <c r="B28" s="3" t="str">
        <f t="shared" ca="1" si="6"/>
        <v>GOLDBEES</v>
      </c>
      <c r="C28" s="3">
        <f t="shared" ca="1" si="9"/>
        <v>-9.1297468354430311E-2</v>
      </c>
      <c r="D28" s="3">
        <f t="shared" ca="1" si="9"/>
        <v>5.3029110936270829E-2</v>
      </c>
      <c r="E28" s="3">
        <f t="shared" ca="1" si="9"/>
        <v>-6.1516055204937969E-2</v>
      </c>
      <c r="F28" s="3">
        <f t="shared" ca="1" si="9"/>
        <v>-6.3302346170872048E-2</v>
      </c>
      <c r="G28" s="3">
        <f t="shared" ca="1" si="10"/>
        <v>-3.5397272136826086E-2</v>
      </c>
      <c r="I28" s="2" vm="23">
        <f t="shared" ca="1" si="1"/>
        <v>63.77</v>
      </c>
      <c r="J28" s="2" t="str">
        <f t="shared" ca="1" si="2"/>
        <v/>
      </c>
      <c r="K28" s="4" t="str">
        <f t="shared" ca="1" si="3"/>
        <v/>
      </c>
      <c r="L28" s="10">
        <f t="shared" ca="1" si="4"/>
        <v>192.87110544060303</v>
      </c>
    </row>
    <row r="29" spans="1:12" x14ac:dyDescent="0.2">
      <c r="A29" s="5">
        <f t="shared" si="7"/>
        <v>45589</v>
      </c>
      <c r="B29" s="3" t="str">
        <f t="shared" ca="1" si="6"/>
        <v>GOLDBEES</v>
      </c>
      <c r="C29" s="3">
        <f t="shared" ca="1" si="9"/>
        <v>-7.7831342991386054E-2</v>
      </c>
      <c r="D29" s="3">
        <f t="shared" ca="1" si="9"/>
        <v>4.3816478806159687E-2</v>
      </c>
      <c r="E29" s="3">
        <f t="shared" ca="1" si="9"/>
        <v>-5.938472174213616E-2</v>
      </c>
      <c r="F29" s="3">
        <f t="shared" ca="1" si="9"/>
        <v>-7.0237050043898241E-2</v>
      </c>
      <c r="G29" s="3">
        <f t="shared" ca="1" si="10"/>
        <v>-6.3714729346254773E-2</v>
      </c>
      <c r="I29" s="2" vm="23">
        <f t="shared" ca="1" si="1"/>
        <v>63.77</v>
      </c>
      <c r="J29" s="2" t="str">
        <f t="shared" ca="1" si="2"/>
        <v/>
      </c>
      <c r="K29" s="4" t="str">
        <f t="shared" ca="1" si="3"/>
        <v/>
      </c>
      <c r="L29" s="10">
        <f t="shared" ca="1" si="4"/>
        <v>192.87110544060303</v>
      </c>
    </row>
    <row r="30" spans="1:12" x14ac:dyDescent="0.2">
      <c r="A30" s="5">
        <f t="shared" si="7"/>
        <v>45582</v>
      </c>
      <c r="B30" s="3" t="str">
        <f t="shared" ca="1" si="6"/>
        <v>GOLDBEES</v>
      </c>
      <c r="C30" s="3">
        <f t="shared" ca="1" si="9"/>
        <v>-1.6472844086958705E-2</v>
      </c>
      <c r="D30" s="3">
        <f t="shared" ca="1" si="9"/>
        <v>4.3224866440019438E-2</v>
      </c>
      <c r="E30" s="3">
        <f t="shared" ca="1" si="9"/>
        <v>-2.5361935961111692E-2</v>
      </c>
      <c r="F30" s="3">
        <f t="shared" ca="1" si="9"/>
        <v>-2.395740905057675E-2</v>
      </c>
      <c r="G30" s="3">
        <f t="shared" ca="1" si="10"/>
        <v>-1.6447015964855871E-2</v>
      </c>
      <c r="I30" s="2" vm="23">
        <f t="shared" ca="1" si="1"/>
        <v>63.77</v>
      </c>
      <c r="J30" s="2" t="str">
        <f t="shared" ca="1" si="2"/>
        <v/>
      </c>
      <c r="K30" s="4" t="str">
        <f t="shared" ca="1" si="3"/>
        <v/>
      </c>
      <c r="L30" s="10">
        <f t="shared" ca="1" si="4"/>
        <v>192.87110544060303</v>
      </c>
    </row>
    <row r="31" spans="1:12" x14ac:dyDescent="0.2">
      <c r="A31" s="5">
        <f t="shared" si="7"/>
        <v>45575</v>
      </c>
      <c r="B31" s="3" t="str">
        <f t="shared" ca="1" si="6"/>
        <v>GOLDBEES</v>
      </c>
      <c r="C31" s="3">
        <f t="shared" ca="1" si="9"/>
        <v>6.5154742513469088E-3</v>
      </c>
      <c r="D31" s="3">
        <f t="shared" ca="1" si="9"/>
        <v>4.3903247183565197E-2</v>
      </c>
      <c r="E31" s="3">
        <f t="shared" ca="1" si="9"/>
        <v>3.5816618911188591E-4</v>
      </c>
      <c r="F31" s="3">
        <f t="shared" ca="1" si="9"/>
        <v>-4.5105999097883043E-4</v>
      </c>
      <c r="G31" s="3">
        <f t="shared" ca="1" si="10"/>
        <v>-1.4055573575521674E-2</v>
      </c>
      <c r="I31" s="2" vm="23">
        <f t="shared" ca="1" si="1"/>
        <v>63.77</v>
      </c>
      <c r="J31" s="2" t="str">
        <f t="shared" ca="1" si="2"/>
        <v/>
      </c>
      <c r="K31" s="4" t="str">
        <f t="shared" ca="1" si="3"/>
        <v/>
      </c>
      <c r="L31" s="10">
        <f t="shared" ca="1" si="4"/>
        <v>192.87110544060303</v>
      </c>
    </row>
    <row r="32" spans="1:12" x14ac:dyDescent="0.2">
      <c r="A32" s="5">
        <f t="shared" si="7"/>
        <v>45568</v>
      </c>
      <c r="B32" s="3" t="str">
        <f t="shared" ca="1" si="6"/>
        <v>GOLDBEES</v>
      </c>
      <c r="C32" s="3">
        <f t="shared" ca="1" si="9"/>
        <v>5.0399462405734674E-3</v>
      </c>
      <c r="D32" s="3">
        <f t="shared" ca="1" si="9"/>
        <v>5.5168986083498961E-2</v>
      </c>
      <c r="E32" s="3">
        <f t="shared" ca="1" si="9"/>
        <v>3.4431350276868944E-3</v>
      </c>
      <c r="F32" s="3">
        <f t="shared" ca="1" si="9"/>
        <v>1.3519603424965165E-3</v>
      </c>
      <c r="G32" s="3">
        <f t="shared" ca="1" si="10"/>
        <v>1.8495348963714076E-3</v>
      </c>
      <c r="I32" s="2" vm="23">
        <f t="shared" ca="1" si="1"/>
        <v>63.77</v>
      </c>
      <c r="J32" s="2" t="str">
        <f t="shared" ca="1" si="2"/>
        <v/>
      </c>
      <c r="K32" s="4" t="str">
        <f t="shared" ca="1" si="3"/>
        <v/>
      </c>
      <c r="L32" s="10">
        <f t="shared" ca="1" si="4"/>
        <v>192.87110544060303</v>
      </c>
    </row>
    <row r="33" spans="1:14" x14ac:dyDescent="0.2">
      <c r="A33" s="5">
        <f t="shared" si="7"/>
        <v>45561</v>
      </c>
      <c r="B33" s="3" t="str">
        <f t="shared" ca="1" si="6"/>
        <v>GOLDBEES</v>
      </c>
      <c r="C33" s="3">
        <f t="shared" ca="1" si="9"/>
        <v>2.7210543459196712E-2</v>
      </c>
      <c r="D33" s="3">
        <f t="shared" ca="1" si="9"/>
        <v>4.8331415420023172E-2</v>
      </c>
      <c r="E33" s="3">
        <f t="shared" ca="1" si="9"/>
        <v>4.5581695596040861E-2</v>
      </c>
      <c r="F33" s="3">
        <f t="shared" ca="1" si="9"/>
        <v>2.9945553539020064E-2</v>
      </c>
      <c r="G33" s="3">
        <f t="shared" ca="1" si="10"/>
        <v>2.2309132973449497E-2</v>
      </c>
      <c r="I33" s="2" vm="23">
        <f t="shared" ca="1" si="1"/>
        <v>63.77</v>
      </c>
      <c r="J33" s="2" vm="24">
        <f t="shared" ca="1" si="2"/>
        <v>185.59</v>
      </c>
      <c r="K33" s="4">
        <f t="shared" ca="1" si="3"/>
        <v>-2.0969996773846367E-3</v>
      </c>
      <c r="L33" s="10">
        <f t="shared" ca="1" si="4"/>
        <v>192.87110544060303</v>
      </c>
    </row>
    <row r="34" spans="1:14" x14ac:dyDescent="0.2">
      <c r="A34" s="5">
        <f t="shared" si="7"/>
        <v>45554</v>
      </c>
      <c r="B34" s="3" t="str">
        <f t="shared" ca="1" si="6"/>
        <v>HDFCSML250</v>
      </c>
      <c r="C34" s="3">
        <f t="shared" ca="1" si="9"/>
        <v>1.7148487989659733E-2</v>
      </c>
      <c r="D34" s="3">
        <f t="shared" ca="1" si="9"/>
        <v>3.0659595624792813E-2</v>
      </c>
      <c r="E34" s="3">
        <f t="shared" ca="1" si="9"/>
        <v>3.4580767408810997E-2</v>
      </c>
      <c r="F34" s="3">
        <f t="shared" ca="1" si="9"/>
        <v>3.0541416011105937E-2</v>
      </c>
      <c r="G34" s="3">
        <f t="shared" ca="1" si="10"/>
        <v>3.8120517309538693E-2</v>
      </c>
      <c r="I34" s="2" vm="25">
        <f t="shared" ca="1" si="1"/>
        <v>185.98</v>
      </c>
      <c r="J34" s="2" t="str">
        <f t="shared" ca="1" si="2"/>
        <v/>
      </c>
      <c r="K34" s="4" t="str">
        <f t="shared" ca="1" si="3"/>
        <v/>
      </c>
      <c r="L34" s="10">
        <f t="shared" ca="1" si="4"/>
        <v>193.27640600163451</v>
      </c>
    </row>
    <row r="35" spans="1:14" x14ac:dyDescent="0.2">
      <c r="A35" s="5">
        <f t="shared" si="7"/>
        <v>45547</v>
      </c>
      <c r="B35" s="3" t="str">
        <f t="shared" ca="1" si="6"/>
        <v>HDFCSML250</v>
      </c>
      <c r="C35" s="3">
        <f t="shared" ca="1" si="9"/>
        <v>4.027445142080377E-2</v>
      </c>
      <c r="D35" s="3">
        <f t="shared" ca="1" si="9"/>
        <v>2.6940020332090642E-2</v>
      </c>
      <c r="E35" s="3">
        <f t="shared" ca="1" si="9"/>
        <v>4.1519304450338801E-2</v>
      </c>
      <c r="F35" s="3">
        <f t="shared" ca="1" si="9"/>
        <v>4.013065795613624E-2</v>
      </c>
      <c r="G35" s="3">
        <f t="shared" ca="1" si="10"/>
        <v>5.7544903329138641E-2</v>
      </c>
      <c r="I35" s="2" vm="25">
        <f t="shared" ca="1" si="1"/>
        <v>185.98</v>
      </c>
      <c r="J35" s="2" t="str">
        <f t="shared" ca="1" si="2"/>
        <v/>
      </c>
      <c r="K35" s="4" t="str">
        <f t="shared" ca="1" si="3"/>
        <v/>
      </c>
      <c r="L35" s="10">
        <f t="shared" ca="1" si="4"/>
        <v>193.27640600163451</v>
      </c>
    </row>
    <row r="36" spans="1:14" x14ac:dyDescent="0.2">
      <c r="A36" s="5">
        <f t="shared" si="7"/>
        <v>45540</v>
      </c>
      <c r="B36" s="3" t="str">
        <f t="shared" ref="B36:B53" ca="1" si="11">INDEX($C$1:$G$1, 1, MATCH(MAX(C36:G36), C36:G36, 0))</f>
        <v>HDFCSML250</v>
      </c>
      <c r="C36" s="3">
        <f t="shared" ca="1" si="9"/>
        <v>4.6528293528254494E-2</v>
      </c>
      <c r="D36" s="3">
        <f t="shared" ca="1" si="9"/>
        <v>3.0813755532856479E-2</v>
      </c>
      <c r="E36" s="3">
        <f t="shared" ca="1" si="9"/>
        <v>4.0633813270001484E-2</v>
      </c>
      <c r="F36" s="3">
        <f t="shared" ca="1" si="9"/>
        <v>5.9552167698904146E-2</v>
      </c>
      <c r="G36" s="3">
        <f t="shared" ca="1" si="10"/>
        <v>6.8912006437151341E-2</v>
      </c>
      <c r="I36" s="2" vm="25">
        <f t="shared" ca="1" si="1"/>
        <v>185.98</v>
      </c>
      <c r="J36" s="2" vm="26">
        <f t="shared" ca="1" si="2"/>
        <v>60.55</v>
      </c>
      <c r="K36" s="4">
        <f t="shared" ca="1" si="3"/>
        <v>-3.3019646689780302E-4</v>
      </c>
      <c r="L36" s="10">
        <f t="shared" ca="1" si="4"/>
        <v>193.27640600163451</v>
      </c>
    </row>
    <row r="37" spans="1:14" x14ac:dyDescent="0.2">
      <c r="A37" s="5">
        <f t="shared" si="7"/>
        <v>45533</v>
      </c>
      <c r="B37" s="3" t="str">
        <f t="shared" ca="1" si="11"/>
        <v>GOLDBEES</v>
      </c>
      <c r="C37" s="3">
        <f t="shared" ca="1" si="9"/>
        <v>1.1263969220254966E-2</v>
      </c>
      <c r="D37" s="3">
        <f t="shared" ca="1" si="9"/>
        <v>3.0452534875808013E-2</v>
      </c>
      <c r="E37" s="3">
        <f t="shared" ca="1" si="9"/>
        <v>1.2360850079514263E-2</v>
      </c>
      <c r="F37" s="3">
        <f t="shared" ca="1" si="9"/>
        <v>6.3985374771480252E-3</v>
      </c>
      <c r="G37" s="3">
        <f t="shared" ca="1" si="10"/>
        <v>1.7607602012297496E-2</v>
      </c>
      <c r="I37" s="2" vm="27">
        <f t="shared" ca="1" si="1"/>
        <v>60.57</v>
      </c>
      <c r="J37" s="2" vm="28">
        <f t="shared" ca="1" si="2"/>
        <v>182.05</v>
      </c>
      <c r="K37" s="4">
        <f t="shared" ca="1" si="3"/>
        <v>4.3029734649968621E-3</v>
      </c>
      <c r="L37" s="10">
        <f t="shared" ca="1" si="4"/>
        <v>193.34024626786132</v>
      </c>
    </row>
    <row r="38" spans="1:14" x14ac:dyDescent="0.2">
      <c r="A38" s="5">
        <f t="shared" si="7"/>
        <v>45526</v>
      </c>
      <c r="B38" s="3" t="str">
        <f t="shared" ca="1" si="11"/>
        <v>HDFCSML250</v>
      </c>
      <c r="C38" s="3">
        <f t="shared" ref="C38:E53" ca="1" si="12">IFERROR(INDEX(_xlfn.STOCKHISTORY(C$1,$A38),2,2),0)/IFERROR(INDEX(_xlfn.STOCKHISTORY(C$1,EDATE($A38,-1)),2,2),0)-1</f>
        <v>3.4602300760861127E-2</v>
      </c>
      <c r="D38" s="3">
        <f t="shared" ca="1" si="12"/>
        <v>-2.6256443298969034E-2</v>
      </c>
      <c r="E38" s="3">
        <f t="shared" ca="1" si="12"/>
        <v>1.4791704899981717E-2</v>
      </c>
      <c r="F38" s="3">
        <f t="shared" ref="F38:G91" ca="1" si="13">IFERROR(INDEX(_xlfn.STOCKHISTORY(F$1,$A38),2,2),0)/IFERROR(INDEX(_xlfn.STOCKHISTORY(F$1,EDATE($A38,-1)),2,2),0)-1</f>
        <v>3.6201222378937414E-2</v>
      </c>
      <c r="G38" s="3">
        <f t="shared" ca="1" si="10"/>
        <v>4.1003847699994322E-2</v>
      </c>
      <c r="I38" s="2" vm="29">
        <f t="shared" ca="1" si="1"/>
        <v>181.27</v>
      </c>
      <c r="J38" s="2" vm="30">
        <f t="shared" ca="1" si="2"/>
        <v>276.48</v>
      </c>
      <c r="K38" s="4">
        <f t="shared" ca="1" si="3"/>
        <v>3.5207433486987849E-3</v>
      </c>
      <c r="L38" s="10">
        <f t="shared" ca="1" si="4"/>
        <v>192.51187278755961</v>
      </c>
    </row>
    <row r="39" spans="1:14" x14ac:dyDescent="0.2">
      <c r="A39" s="5">
        <f>A38-14</f>
        <v>45512</v>
      </c>
      <c r="B39" s="3" t="str">
        <f t="shared" ca="1" si="11"/>
        <v>NIFTYBEES</v>
      </c>
      <c r="C39" s="3">
        <f t="shared" ca="1" si="12"/>
        <v>-2.1583835085212777E-2</v>
      </c>
      <c r="D39" s="3">
        <f t="shared" ca="1" si="12"/>
        <v>-5.6521032970602514E-2</v>
      </c>
      <c r="E39" s="3">
        <f t="shared" ca="1" si="12"/>
        <v>-2.6292401125760367E-3</v>
      </c>
      <c r="F39" s="3">
        <f t="shared" ca="1" si="13"/>
        <v>-1.346332404828221E-2</v>
      </c>
      <c r="G39" s="3">
        <f t="shared" ca="1" si="10"/>
        <v>-2.6525347689546841E-2</v>
      </c>
      <c r="I39" s="2" vm="31">
        <f t="shared" ca="1" si="1"/>
        <v>275.51</v>
      </c>
      <c r="J39" s="2" t="str">
        <f t="shared" ca="1" si="2"/>
        <v/>
      </c>
      <c r="K39" s="4" t="str">
        <f t="shared" ca="1" si="3"/>
        <v/>
      </c>
      <c r="L39" s="10">
        <f t="shared" ca="1" si="4"/>
        <v>191.83646582646321</v>
      </c>
    </row>
    <row r="40" spans="1:14" x14ac:dyDescent="0.2">
      <c r="A40" s="5">
        <f t="shared" ref="A40:A45" si="14">A39-7</f>
        <v>45505</v>
      </c>
      <c r="B40" s="3" t="str">
        <f t="shared" ca="1" si="11"/>
        <v>NIFTYBEES</v>
      </c>
      <c r="C40" s="3">
        <f t="shared" ca="1" si="12"/>
        <v>3.0773438212197357E-2</v>
      </c>
      <c r="D40" s="3">
        <f t="shared" ca="1" si="12"/>
        <v>-2.4112303881089869E-2</v>
      </c>
      <c r="E40" s="3">
        <f t="shared" ca="1" si="12"/>
        <v>3.7383525903838866E-2</v>
      </c>
      <c r="F40" s="3">
        <f t="shared" ca="1" si="13"/>
        <v>3.2925682031984982E-2</v>
      </c>
      <c r="G40" s="3">
        <f t="shared" ca="1" si="10"/>
        <v>2.5320806599449908E-2</v>
      </c>
      <c r="I40" s="2" vm="31">
        <f t="shared" ca="1" si="1"/>
        <v>275.51</v>
      </c>
      <c r="J40" s="2" t="str">
        <f t="shared" ca="1" si="2"/>
        <v/>
      </c>
      <c r="K40" s="4" t="str">
        <f t="shared" ca="1" si="3"/>
        <v/>
      </c>
      <c r="L40" s="10">
        <f t="shared" ca="1" si="4"/>
        <v>191.83646582646321</v>
      </c>
    </row>
    <row r="41" spans="1:14" x14ac:dyDescent="0.2">
      <c r="A41" s="5">
        <f t="shared" si="14"/>
        <v>45498</v>
      </c>
      <c r="B41" s="3" t="str">
        <f t="shared" ca="1" si="11"/>
        <v>NIFTYBEES</v>
      </c>
      <c r="C41" s="3">
        <f t="shared" ca="1" si="12"/>
        <v>1.1543118879646208E-2</v>
      </c>
      <c r="D41" s="3">
        <f t="shared" ca="1" si="12"/>
        <v>-2.2716049382716097E-2</v>
      </c>
      <c r="E41" s="3">
        <f t="shared" ca="1" si="12"/>
        <v>3.1602109336469786E-2</v>
      </c>
      <c r="F41" s="3">
        <f t="shared" ca="1" si="13"/>
        <v>1.716738197424883E-2</v>
      </c>
      <c r="G41" s="3">
        <f t="shared" ca="1" si="10"/>
        <v>2.601796756504493E-2</v>
      </c>
      <c r="I41" s="2" vm="31">
        <f t="shared" ca="1" si="1"/>
        <v>275.51</v>
      </c>
      <c r="J41" s="2" t="str">
        <f t="shared" ca="1" si="2"/>
        <v/>
      </c>
      <c r="K41" s="4" t="str">
        <f t="shared" ca="1" si="3"/>
        <v/>
      </c>
      <c r="L41" s="10">
        <f t="shared" ca="1" si="4"/>
        <v>191.83646582646321</v>
      </c>
    </row>
    <row r="42" spans="1:14" x14ac:dyDescent="0.2">
      <c r="A42" s="5">
        <f t="shared" si="14"/>
        <v>45491</v>
      </c>
      <c r="B42" s="3" t="str">
        <f t="shared" ca="1" si="11"/>
        <v>NIFTYBEES</v>
      </c>
      <c r="C42" s="3">
        <f t="shared" ca="1" si="12"/>
        <v>1.3786107245509882E-2</v>
      </c>
      <c r="D42" s="3">
        <f t="shared" ca="1" si="12"/>
        <v>4.2764793635007514E-2</v>
      </c>
      <c r="E42" s="3">
        <f t="shared" ca="1" si="12"/>
        <v>5.3333843095274558E-2</v>
      </c>
      <c r="F42" s="3">
        <f t="shared" ca="1" si="13"/>
        <v>2.2349025202092143E-2</v>
      </c>
      <c r="G42" s="3">
        <f t="shared" ca="1" si="10"/>
        <v>3.5461407923225385E-2</v>
      </c>
      <c r="I42" s="2" vm="31">
        <f t="shared" ca="1" si="1"/>
        <v>275.51</v>
      </c>
      <c r="J42" s="2" vm="32">
        <f t="shared" ca="1" si="2"/>
        <v>176.95</v>
      </c>
      <c r="K42" s="4">
        <f t="shared" ca="1" si="3"/>
        <v>-1.0162027889121239E-3</v>
      </c>
      <c r="L42" s="10">
        <f t="shared" ca="1" si="4"/>
        <v>191.83646582646321</v>
      </c>
      <c r="M42" s="2">
        <f ca="1">COUNT(J39:J177)</f>
        <v>53</v>
      </c>
      <c r="N42" s="2">
        <f ca="1">COUNTIF(K39:K177,"&gt;0")</f>
        <v>31</v>
      </c>
    </row>
    <row r="43" spans="1:14" x14ac:dyDescent="0.2">
      <c r="A43" s="5">
        <f t="shared" si="14"/>
        <v>45484</v>
      </c>
      <c r="B43" s="3" t="str">
        <f t="shared" ca="1" si="11"/>
        <v>HDFCSML250</v>
      </c>
      <c r="C43" s="3">
        <f t="shared" ca="1" si="12"/>
        <v>6.3310069790628143E-2</v>
      </c>
      <c r="D43" s="3">
        <f t="shared" ca="1" si="12"/>
        <v>2.0854021847070525E-2</v>
      </c>
      <c r="E43" s="3">
        <f t="shared" ca="1" si="12"/>
        <v>4.6174652241112835E-2</v>
      </c>
      <c r="F43" s="3">
        <f t="shared" ca="1" si="13"/>
        <v>6.0501721593703817E-2</v>
      </c>
      <c r="G43" s="3">
        <f t="shared" ca="1" si="10"/>
        <v>7.3320002423801656E-2</v>
      </c>
      <c r="I43" s="2" vm="33">
        <f t="shared" ca="1" si="1"/>
        <v>177.13</v>
      </c>
      <c r="J43" s="2" vm="34">
        <f t="shared" ca="1" si="2"/>
        <v>21.56</v>
      </c>
      <c r="K43" s="4">
        <f t="shared" ca="1" si="3"/>
        <v>6.0662622491833851E-3</v>
      </c>
      <c r="L43" s="10">
        <f t="shared" ca="1" si="4"/>
        <v>192.03160888296938</v>
      </c>
    </row>
    <row r="44" spans="1:14" x14ac:dyDescent="0.2">
      <c r="A44" s="5">
        <f t="shared" si="14"/>
        <v>45477</v>
      </c>
      <c r="B44" s="3" t="str">
        <f t="shared" ca="1" si="11"/>
        <v>MIDCAPETF</v>
      </c>
      <c r="C44" s="3">
        <f t="shared" ca="1" si="12"/>
        <v>4.9523140518196174E-2</v>
      </c>
      <c r="D44" s="3">
        <f t="shared" ca="1" si="12"/>
        <v>1.2054161162483368E-2</v>
      </c>
      <c r="E44" s="3">
        <f t="shared" ca="1" si="12"/>
        <v>8.00463110827212E-2</v>
      </c>
      <c r="F44" s="3">
        <f t="shared" ca="1" si="13"/>
        <v>0.14415376401494928</v>
      </c>
      <c r="G44" s="3">
        <f t="shared" ca="1" si="10"/>
        <v>0.12338612224130263</v>
      </c>
      <c r="I44" s="2" vm="35">
        <f t="shared" ca="1" si="1"/>
        <v>21.43</v>
      </c>
      <c r="J44" s="2" vm="36">
        <f t="shared" ca="1" si="2"/>
        <v>176.63</v>
      </c>
      <c r="K44" s="4">
        <f t="shared" ca="1" si="3"/>
        <v>3.8511288805268107E-2</v>
      </c>
      <c r="L44" s="10">
        <f t="shared" ca="1" si="4"/>
        <v>190.87371884796076</v>
      </c>
    </row>
    <row r="45" spans="1:14" x14ac:dyDescent="0.2">
      <c r="A45" s="5">
        <f t="shared" si="14"/>
        <v>45470</v>
      </c>
      <c r="B45" s="3" t="str">
        <f t="shared" ca="1" si="11"/>
        <v>HDFCSML250</v>
      </c>
      <c r="C45" s="3">
        <f t="shared" ca="1" si="12"/>
        <v>3.1106100327361164E-2</v>
      </c>
      <c r="D45" s="3">
        <f t="shared" ca="1" si="12"/>
        <v>-1.1147540983606596E-2</v>
      </c>
      <c r="E45" s="3">
        <f t="shared" ca="1" si="12"/>
        <v>4.801350502512558E-2</v>
      </c>
      <c r="F45" s="3">
        <f t="shared" ca="1" si="13"/>
        <v>5.2790346907994001E-2</v>
      </c>
      <c r="G45" s="3">
        <f t="shared" ca="1" si="10"/>
        <v>6.8463949843260208E-2</v>
      </c>
      <c r="I45" s="2" vm="37">
        <f t="shared" ca="1" si="1"/>
        <v>170.08</v>
      </c>
      <c r="J45" s="2" t="str">
        <f t="shared" ca="1" si="2"/>
        <v/>
      </c>
      <c r="K45" s="4" t="str">
        <f t="shared" ca="1" si="3"/>
        <v/>
      </c>
      <c r="L45" s="10">
        <f t="shared" ca="1" si="4"/>
        <v>183.79551662606107</v>
      </c>
    </row>
    <row r="46" spans="1:14" x14ac:dyDescent="0.2">
      <c r="A46" s="5">
        <f>A45-14</f>
        <v>45456</v>
      </c>
      <c r="B46" s="3" t="str">
        <f t="shared" ca="1" si="11"/>
        <v>HDFCSML250</v>
      </c>
      <c r="C46" s="3">
        <f t="shared" ca="1" si="12"/>
        <v>9.9744693267196816E-2</v>
      </c>
      <c r="D46" s="3">
        <f t="shared" ca="1" si="12"/>
        <v>-9.1578086672117198E-3</v>
      </c>
      <c r="E46" s="3">
        <f t="shared" ca="1" si="12"/>
        <v>6.1755588187306421E-2</v>
      </c>
      <c r="F46" s="3">
        <f t="shared" ca="1" si="13"/>
        <v>0.10765934654525955</v>
      </c>
      <c r="G46" s="3">
        <f t="shared" ca="1" si="10"/>
        <v>0.12471895251950804</v>
      </c>
      <c r="I46" s="2" vm="37">
        <f t="shared" ca="1" si="1"/>
        <v>170.08</v>
      </c>
      <c r="J46" s="2" vm="38">
        <f t="shared" ca="1" si="2"/>
        <v>753.82</v>
      </c>
      <c r="K46" s="4">
        <f t="shared" ca="1" si="3"/>
        <v>0.11624118936208028</v>
      </c>
      <c r="L46" s="10">
        <f t="shared" ca="1" si="4"/>
        <v>183.79551662606107</v>
      </c>
    </row>
    <row r="47" spans="1:14" x14ac:dyDescent="0.2">
      <c r="A47" s="5">
        <f t="shared" ref="A47:A52" si="15">A46-7</f>
        <v>45449</v>
      </c>
      <c r="B47" s="3" t="str">
        <f t="shared" ca="1" si="11"/>
        <v>JUNIORBEES</v>
      </c>
      <c r="C47" s="3">
        <f t="shared" ca="1" si="12"/>
        <v>5.1194884851290423E-2</v>
      </c>
      <c r="D47" s="3">
        <f t="shared" ca="1" si="12"/>
        <v>1.2022397891963132E-2</v>
      </c>
      <c r="E47" s="3">
        <f t="shared" ca="1" si="12"/>
        <v>1.8561017836292493E-2</v>
      </c>
      <c r="F47" s="3">
        <f t="shared" ca="1" si="13"/>
        <v>4.3203371970495175E-2</v>
      </c>
      <c r="G47" s="3">
        <f t="shared" ca="1" si="10"/>
        <v>7.467926214336007E-3</v>
      </c>
      <c r="I47" s="2" vm="39">
        <f t="shared" ca="1" si="1"/>
        <v>675.32</v>
      </c>
      <c r="J47" s="2" t="str">
        <f t="shared" ca="1" si="2"/>
        <v/>
      </c>
      <c r="K47" s="4" t="str">
        <f t="shared" ca="1" si="3"/>
        <v/>
      </c>
      <c r="L47" s="10">
        <f t="shared" ca="1" si="4"/>
        <v>164.65573782588888</v>
      </c>
    </row>
    <row r="48" spans="1:14" x14ac:dyDescent="0.2">
      <c r="A48" s="5">
        <f t="shared" si="15"/>
        <v>45442</v>
      </c>
      <c r="B48" s="3" t="str">
        <f t="shared" ca="1" si="11"/>
        <v>JUNIORBEES</v>
      </c>
      <c r="C48" s="3">
        <f t="shared" ca="1" si="12"/>
        <v>4.2313096634942537E-2</v>
      </c>
      <c r="D48" s="3">
        <f t="shared" ca="1" si="12"/>
        <v>-2.2996057818659432E-3</v>
      </c>
      <c r="E48" s="3">
        <f t="shared" ca="1" si="12"/>
        <v>1.1597216668000065E-3</v>
      </c>
      <c r="F48" s="3">
        <f t="shared" ca="1" si="13"/>
        <v>1.6762702985856581E-2</v>
      </c>
      <c r="G48" s="3">
        <f t="shared" ca="1" si="10"/>
        <v>-1.5218211545717564E-2</v>
      </c>
      <c r="I48" s="2" vm="39">
        <f t="shared" ca="1" si="1"/>
        <v>675.32</v>
      </c>
      <c r="J48" s="2" t="str">
        <f t="shared" ca="1" si="2"/>
        <v/>
      </c>
      <c r="K48" s="4" t="str">
        <f t="shared" ca="1" si="3"/>
        <v/>
      </c>
      <c r="L48" s="10">
        <f t="shared" ca="1" si="4"/>
        <v>164.65573782588888</v>
      </c>
    </row>
    <row r="49" spans="1:12" x14ac:dyDescent="0.2">
      <c r="A49" s="5">
        <f t="shared" si="15"/>
        <v>45435</v>
      </c>
      <c r="B49" s="3" t="str">
        <f t="shared" ca="1" si="11"/>
        <v>JUNIORBEES</v>
      </c>
      <c r="C49" s="3">
        <f t="shared" ca="1" si="12"/>
        <v>9.4412389010134712E-2</v>
      </c>
      <c r="D49" s="3">
        <f t="shared" ca="1" si="12"/>
        <v>2.273858921161831E-2</v>
      </c>
      <c r="E49" s="3">
        <f t="shared" ca="1" si="12"/>
        <v>2.6107658784601639E-2</v>
      </c>
      <c r="F49" s="3">
        <f t="shared" ca="1" si="13"/>
        <v>6.2432723358449849E-2</v>
      </c>
      <c r="G49" s="3">
        <f t="shared" ca="1" si="10"/>
        <v>2.6127346622798697E-2</v>
      </c>
      <c r="I49" s="2" vm="39">
        <f t="shared" ca="1" si="1"/>
        <v>675.32</v>
      </c>
      <c r="J49" s="2" t="str">
        <f t="shared" ca="1" si="2"/>
        <v/>
      </c>
      <c r="K49" s="4" t="str">
        <f t="shared" ca="1" si="3"/>
        <v/>
      </c>
      <c r="L49" s="10">
        <f t="shared" ca="1" si="4"/>
        <v>164.65573782588888</v>
      </c>
    </row>
    <row r="50" spans="1:12" x14ac:dyDescent="0.2">
      <c r="A50" s="5">
        <f t="shared" si="15"/>
        <v>45428</v>
      </c>
      <c r="B50" s="3" t="str">
        <f t="shared" ca="1" si="11"/>
        <v>JUNIORBEES</v>
      </c>
      <c r="C50" s="3">
        <f t="shared" ca="1" si="12"/>
        <v>6.5286792852495834E-2</v>
      </c>
      <c r="D50" s="3">
        <f t="shared" ca="1" si="12"/>
        <v>1.7773469058006697E-3</v>
      </c>
      <c r="E50" s="3">
        <f t="shared" ca="1" si="12"/>
        <v>1.0834147930922189E-2</v>
      </c>
      <c r="F50" s="3">
        <f t="shared" ca="1" si="13"/>
        <v>4.008667388949072E-2</v>
      </c>
      <c r="G50" s="3">
        <f t="shared" ca="1" si="10"/>
        <v>2.3617398149970548E-2</v>
      </c>
      <c r="I50" s="2" vm="39">
        <f t="shared" ca="1" si="1"/>
        <v>675.32</v>
      </c>
      <c r="J50" s="2" t="str">
        <f t="shared" ca="1" si="2"/>
        <v/>
      </c>
      <c r="K50" s="4" t="str">
        <f t="shared" ca="1" si="3"/>
        <v/>
      </c>
      <c r="L50" s="10">
        <f t="shared" ca="1" si="4"/>
        <v>164.65573782588888</v>
      </c>
    </row>
    <row r="51" spans="1:12" x14ac:dyDescent="0.2">
      <c r="A51" s="5">
        <f t="shared" si="15"/>
        <v>45421</v>
      </c>
      <c r="B51" s="3" t="str">
        <f t="shared" ca="1" si="11"/>
        <v>JUNIORBEES</v>
      </c>
      <c r="C51" s="3">
        <f t="shared" ca="1" si="12"/>
        <v>1.0217056350880327E-2</v>
      </c>
      <c r="D51" s="3">
        <f t="shared" ca="1" si="12"/>
        <v>-2.1469859620147913E-3</v>
      </c>
      <c r="E51" s="3">
        <f t="shared" ca="1" si="12"/>
        <v>-2.8914413336523892E-2</v>
      </c>
      <c r="F51" s="3">
        <f t="shared" ca="1" si="13"/>
        <v>-1.1796246648793529E-2</v>
      </c>
      <c r="G51" s="3">
        <f t="shared" ca="1" si="10"/>
        <v>-1.2280357959370325E-2</v>
      </c>
      <c r="I51" s="2" vm="39">
        <f t="shared" ca="1" si="1"/>
        <v>675.32</v>
      </c>
      <c r="J51" s="2" vm="40">
        <f t="shared" ca="1" si="2"/>
        <v>151.21</v>
      </c>
      <c r="K51" s="4">
        <f t="shared" ca="1" si="3"/>
        <v>-4.9770627788600419E-2</v>
      </c>
      <c r="L51" s="10">
        <f t="shared" ca="1" si="4"/>
        <v>164.65573782588888</v>
      </c>
    </row>
    <row r="52" spans="1:12" x14ac:dyDescent="0.2">
      <c r="A52" s="5">
        <f t="shared" si="15"/>
        <v>45414</v>
      </c>
      <c r="B52" s="3" t="str">
        <f t="shared" ca="1" si="11"/>
        <v>HDFCSML250</v>
      </c>
      <c r="C52" s="3">
        <f t="shared" ca="1" si="12"/>
        <v>5.7113109608884605E-2</v>
      </c>
      <c r="D52" s="3">
        <f t="shared" ca="1" si="12"/>
        <v>3.768758526603011E-2</v>
      </c>
      <c r="E52" s="3">
        <f t="shared" ca="1" si="12"/>
        <v>8.8075608284736706E-3</v>
      </c>
      <c r="F52" s="3">
        <f t="shared" ca="1" si="13"/>
        <v>3.9566395663956699E-2</v>
      </c>
      <c r="G52" s="3">
        <f t="shared" ca="1" si="10"/>
        <v>6.6269096756901513E-2</v>
      </c>
      <c r="I52" s="2" vm="41">
        <f t="shared" ca="1" si="1"/>
        <v>159.13</v>
      </c>
      <c r="J52" s="2" vm="42">
        <f t="shared" ca="1" si="2"/>
        <v>60.85</v>
      </c>
      <c r="K52" s="4">
        <f t="shared" ca="1" si="3"/>
        <v>8.9720630372492893E-2</v>
      </c>
      <c r="L52" s="10">
        <f t="shared" ca="1" si="4"/>
        <v>173.27999180102967</v>
      </c>
    </row>
    <row r="53" spans="1:12" x14ac:dyDescent="0.2">
      <c r="A53" s="5">
        <f>A52-14</f>
        <v>45400</v>
      </c>
      <c r="B53" s="3" t="str">
        <f t="shared" ca="1" si="11"/>
        <v>GOLDBEES</v>
      </c>
      <c r="C53" s="3">
        <f t="shared" ca="1" si="12"/>
        <v>6.0967176468696316E-2</v>
      </c>
      <c r="D53" s="3">
        <f t="shared" ca="1" si="12"/>
        <v>0.11639639639639632</v>
      </c>
      <c r="E53" s="3">
        <f t="shared" ca="1" si="12"/>
        <v>-1.6394786457907262E-4</v>
      </c>
      <c r="F53" s="3">
        <f t="shared" ca="1" si="13"/>
        <v>5.5747126436781702E-2</v>
      </c>
      <c r="G53" s="3">
        <f t="shared" ca="1" si="10"/>
        <v>9.2074174840696132E-2</v>
      </c>
      <c r="I53" s="2" vm="43">
        <f t="shared" ca="1" si="1"/>
        <v>55.84</v>
      </c>
      <c r="J53" s="2" t="str">
        <f t="shared" ca="1" si="2"/>
        <v/>
      </c>
      <c r="K53" s="4" t="str">
        <f t="shared" ca="1" si="3"/>
        <v/>
      </c>
      <c r="L53" s="10">
        <f t="shared" ca="1" si="4"/>
        <v>159.01322501511086</v>
      </c>
    </row>
    <row r="54" spans="1:12" x14ac:dyDescent="0.2">
      <c r="A54" s="5">
        <f>A53-14</f>
        <v>45386</v>
      </c>
      <c r="B54" s="3" t="str">
        <f t="shared" ref="B54:B89" ca="1" si="16">INDEX($C$1:$G$1, 1, MATCH(MAX(C54:G54), C54:G54, 0))</f>
        <v>GOLDBEES</v>
      </c>
      <c r="C54" s="3">
        <f t="shared" ref="C54:E90" ca="1" si="17">IFERROR(INDEX(_xlfn.STOCKHISTORY(C$1,$A54),2,2),0)/IFERROR(INDEX(_xlfn.STOCKHISTORY(C$1,EDATE($A54,-1)),2,2),0)-1</f>
        <v>3.8696409789485298E-2</v>
      </c>
      <c r="D54" s="3">
        <f t="shared" ca="1" si="17"/>
        <v>9.8162924475784008E-2</v>
      </c>
      <c r="E54" s="3">
        <f t="shared" ca="1" si="17"/>
        <v>5.649033611749843E-3</v>
      </c>
      <c r="F54" s="3">
        <f t="shared" ca="1" si="13"/>
        <v>1.9199122325836315E-2</v>
      </c>
      <c r="G54" s="3">
        <f t="shared" ca="1" si="10"/>
        <v>1.6501650165017256E-3</v>
      </c>
      <c r="I54" s="2" vm="43">
        <f t="shared" ca="1" si="1"/>
        <v>55.84</v>
      </c>
      <c r="J54" s="2" t="str">
        <f t="shared" ca="1" si="2"/>
        <v/>
      </c>
      <c r="K54" s="4" t="str">
        <f t="shared" ca="1" si="3"/>
        <v/>
      </c>
      <c r="L54" s="10">
        <f t="shared" ca="1" si="4"/>
        <v>159.01322501511086</v>
      </c>
    </row>
    <row r="55" spans="1:12" x14ac:dyDescent="0.2">
      <c r="A55" s="5">
        <f>A54-7</f>
        <v>45379</v>
      </c>
      <c r="B55" s="3" t="str">
        <f t="shared" ca="1" si="16"/>
        <v>GOLDBEES</v>
      </c>
      <c r="C55" s="3">
        <f t="shared" ca="1" si="17"/>
        <v>3.6213806312468844E-2</v>
      </c>
      <c r="D55" s="3">
        <f t="shared" ca="1" si="17"/>
        <v>7.6235741444866889E-2</v>
      </c>
      <c r="E55" s="3">
        <f t="shared" ca="1" si="17"/>
        <v>1.6003620356276116E-2</v>
      </c>
      <c r="F55" s="3">
        <f t="shared" ca="1" si="13"/>
        <v>1.115448968209698E-3</v>
      </c>
      <c r="G55" s="3">
        <f t="shared" ca="1" si="10"/>
        <v>-3.7919754322718324E-2</v>
      </c>
      <c r="I55" s="2" vm="43">
        <f t="shared" ca="1" si="1"/>
        <v>55.84</v>
      </c>
      <c r="J55" s="2" t="str">
        <f t="shared" ca="1" si="2"/>
        <v/>
      </c>
      <c r="K55" s="4" t="str">
        <f t="shared" ca="1" si="3"/>
        <v/>
      </c>
      <c r="L55" s="10">
        <f t="shared" ca="1" si="4"/>
        <v>159.01322501511086</v>
      </c>
    </row>
    <row r="56" spans="1:12" x14ac:dyDescent="0.2">
      <c r="A56" s="5">
        <f>A55-7</f>
        <v>45372</v>
      </c>
      <c r="B56" s="3" t="str">
        <f t="shared" ca="1" si="16"/>
        <v>GOLDBEES</v>
      </c>
      <c r="C56" s="3">
        <f t="shared" ca="1" si="17"/>
        <v>7.3085529387142412E-3</v>
      </c>
      <c r="D56" s="3">
        <f t="shared" ca="1" si="17"/>
        <v>7.7127659574468099E-2</v>
      </c>
      <c r="E56" s="3">
        <f t="shared" ca="1" si="17"/>
        <v>4.9206544470425939E-4</v>
      </c>
      <c r="F56" s="3">
        <f t="shared" ca="1" si="13"/>
        <v>-3.0888030888030826E-2</v>
      </c>
      <c r="G56" s="3">
        <f t="shared" ca="1" si="10"/>
        <v>-6.2147267777704074E-2</v>
      </c>
      <c r="I56" s="2" vm="43">
        <f t="shared" ca="1" si="1"/>
        <v>55.84</v>
      </c>
      <c r="J56" s="2" t="str">
        <f t="shared" ca="1" si="2"/>
        <v/>
      </c>
      <c r="K56" s="4" t="str">
        <f t="shared" ca="1" si="3"/>
        <v/>
      </c>
      <c r="L56" s="10">
        <f t="shared" ca="1" si="4"/>
        <v>159.01322501511086</v>
      </c>
    </row>
    <row r="57" spans="1:12" x14ac:dyDescent="0.2">
      <c r="A57" s="5">
        <f>A56-7</f>
        <v>45365</v>
      </c>
      <c r="B57" s="3" t="str">
        <f t="shared" ca="1" si="16"/>
        <v>GOLDBEES</v>
      </c>
      <c r="C57" s="3">
        <f t="shared" ca="1" si="17"/>
        <v>1.831819073142027E-2</v>
      </c>
      <c r="D57" s="3">
        <f t="shared" ca="1" si="17"/>
        <v>7.1785028790787075E-2</v>
      </c>
      <c r="E57" s="3">
        <f t="shared" ca="1" si="17"/>
        <v>1.5897329745394151E-2</v>
      </c>
      <c r="F57" s="3">
        <f t="shared" ca="1" si="13"/>
        <v>-2.5655326268823275E-2</v>
      </c>
      <c r="G57" s="3">
        <f t="shared" ca="1" si="10"/>
        <v>-6.1853593015446684E-2</v>
      </c>
      <c r="I57" s="2" vm="43">
        <f t="shared" ca="1" si="1"/>
        <v>55.84</v>
      </c>
      <c r="J57" s="2" vm="44">
        <f t="shared" ca="1" si="2"/>
        <v>623.16999999999996</v>
      </c>
      <c r="K57" s="4">
        <f t="shared" ca="1" si="3"/>
        <v>8.6105041676780569E-3</v>
      </c>
      <c r="L57" s="10">
        <f t="shared" ca="1" si="4"/>
        <v>159.01322501511086</v>
      </c>
    </row>
    <row r="58" spans="1:12" x14ac:dyDescent="0.2">
      <c r="A58" s="5">
        <f>A57-7</f>
        <v>45358</v>
      </c>
      <c r="B58" s="3" t="str">
        <f t="shared" ca="1" si="16"/>
        <v>JUNIORBEES</v>
      </c>
      <c r="C58" s="3">
        <f t="shared" ca="1" si="17"/>
        <v>5.3608010882213231E-2</v>
      </c>
      <c r="D58" s="3">
        <f t="shared" ca="1" si="17"/>
        <v>4.1909415523397886E-2</v>
      </c>
      <c r="E58" s="3">
        <f t="shared" ca="1" si="17"/>
        <v>2.607798638332981E-2</v>
      </c>
      <c r="F58" s="3">
        <f t="shared" ca="1" si="13"/>
        <v>-1.0881392818280711E-2</v>
      </c>
      <c r="G58" s="3">
        <f t="shared" ca="1" si="10"/>
        <v>-3.7060992173856944E-2</v>
      </c>
      <c r="I58" s="2" vm="45">
        <f t="shared" ca="1" si="1"/>
        <v>617.85</v>
      </c>
      <c r="J58" s="2" t="str">
        <f t="shared" ca="1" si="2"/>
        <v/>
      </c>
      <c r="K58" s="4" t="str">
        <f t="shared" ca="1" si="3"/>
        <v/>
      </c>
      <c r="L58" s="10">
        <f t="shared" ca="1" si="4"/>
        <v>157.65572969749229</v>
      </c>
    </row>
    <row r="59" spans="1:12" x14ac:dyDescent="0.2">
      <c r="A59" s="5">
        <f>A58-7</f>
        <v>45351</v>
      </c>
      <c r="B59" s="3" t="str">
        <f t="shared" ca="1" si="16"/>
        <v>JUNIORBEES</v>
      </c>
      <c r="C59" s="3">
        <f t="shared" ca="1" si="17"/>
        <v>7.3020648160809554E-2</v>
      </c>
      <c r="D59" s="3">
        <f t="shared" ca="1" si="17"/>
        <v>-3.5869360015102769E-3</v>
      </c>
      <c r="E59" s="3">
        <f t="shared" ca="1" si="17"/>
        <v>1.3330556134138583E-2</v>
      </c>
      <c r="F59" s="3">
        <f t="shared" ca="1" si="13"/>
        <v>1.2345679012345512E-2</v>
      </c>
      <c r="G59" s="3">
        <f t="shared" ca="1" si="10"/>
        <v>1.5035557060616211E-2</v>
      </c>
      <c r="I59" s="2" vm="45">
        <f t="shared" ca="1" si="1"/>
        <v>617.85</v>
      </c>
      <c r="J59" s="2" t="str">
        <f t="shared" ca="1" si="2"/>
        <v/>
      </c>
      <c r="K59" s="4" t="str">
        <f t="shared" ca="1" si="3"/>
        <v/>
      </c>
      <c r="L59" s="10">
        <f t="shared" ca="1" si="4"/>
        <v>157.65572969749229</v>
      </c>
    </row>
    <row r="60" spans="1:12" x14ac:dyDescent="0.2">
      <c r="A60" s="5">
        <f>A59-14</f>
        <v>45337</v>
      </c>
      <c r="B60" s="3" t="str">
        <f t="shared" ca="1" si="16"/>
        <v>JUNIORBEES</v>
      </c>
      <c r="C60" s="3">
        <f t="shared" ca="1" si="17"/>
        <v>6.0723114956736657E-2</v>
      </c>
      <c r="D60" s="3">
        <f t="shared" ca="1" si="17"/>
        <v>-2.0281690140845021E-2</v>
      </c>
      <c r="E60" s="3">
        <f t="shared" ca="1" si="17"/>
        <v>-5.5312000655549642E-3</v>
      </c>
      <c r="F60" s="3">
        <f t="shared" ca="1" si="13"/>
        <v>1.7977528089887729E-2</v>
      </c>
      <c r="G60" s="3">
        <f t="shared" ca="1" si="10"/>
        <v>3.1412537640295612E-2</v>
      </c>
      <c r="I60" s="2" vm="45">
        <f t="shared" ca="1" si="1"/>
        <v>617.85</v>
      </c>
      <c r="J60" s="2" vm="46">
        <f t="shared" ca="1" si="2"/>
        <v>150.71</v>
      </c>
      <c r="K60" s="4">
        <f t="shared" ca="1" si="3"/>
        <v>3.6662539551520323E-2</v>
      </c>
      <c r="L60" s="10">
        <f t="shared" ca="1" si="4"/>
        <v>157.65572969749229</v>
      </c>
    </row>
    <row r="61" spans="1:12" x14ac:dyDescent="0.2">
      <c r="A61" s="5">
        <f>A60-7</f>
        <v>45330</v>
      </c>
      <c r="B61" s="3" t="str">
        <f t="shared" ca="1" si="16"/>
        <v>HDFCSML250</v>
      </c>
      <c r="C61" s="3">
        <f t="shared" ca="1" si="17"/>
        <v>6.956521739130439E-2</v>
      </c>
      <c r="D61" s="3">
        <f t="shared" ca="1" si="17"/>
        <v>3.7842951750235443E-3</v>
      </c>
      <c r="E61" s="3">
        <f t="shared" ca="1" si="17"/>
        <v>1.0939077751598747E-2</v>
      </c>
      <c r="F61" s="3">
        <f t="shared" ca="1" si="13"/>
        <v>4.7401484865790877E-2</v>
      </c>
      <c r="G61" s="3">
        <f t="shared" ca="1" si="10"/>
        <v>7.1170168359538044E-2</v>
      </c>
      <c r="I61" s="2" vm="47">
        <f t="shared" ca="1" si="1"/>
        <v>145.38</v>
      </c>
      <c r="J61" s="2" t="str">
        <f t="shared" ca="1" si="2"/>
        <v/>
      </c>
      <c r="K61" s="4" t="str">
        <f t="shared" ca="1" si="3"/>
        <v/>
      </c>
      <c r="L61" s="10">
        <f t="shared" ca="1" si="4"/>
        <v>152.08008747542581</v>
      </c>
    </row>
    <row r="62" spans="1:12" x14ac:dyDescent="0.2">
      <c r="A62" s="5">
        <f>A61-7</f>
        <v>45323</v>
      </c>
      <c r="B62" s="3" t="str">
        <f t="shared" ca="1" si="16"/>
        <v>HDFCSML250</v>
      </c>
      <c r="C62" s="3">
        <f t="shared" ca="1" si="17"/>
        <v>3.8353897875486265E-2</v>
      </c>
      <c r="D62" s="3">
        <f t="shared" ca="1" si="17"/>
        <v>-5.2102716784517833E-3</v>
      </c>
      <c r="E62" s="3">
        <f t="shared" ca="1" si="17"/>
        <v>-1.3313917204077486E-3</v>
      </c>
      <c r="F62" s="3">
        <f t="shared" ca="1" si="13"/>
        <v>3.6951501154734334E-2</v>
      </c>
      <c r="G62" s="3">
        <f t="shared" ca="1" si="10"/>
        <v>6.9380855110234618E-2</v>
      </c>
      <c r="I62" s="2" vm="47">
        <f t="shared" ca="1" si="1"/>
        <v>145.38</v>
      </c>
      <c r="J62" s="2" t="str">
        <f t="shared" ca="1" si="2"/>
        <v/>
      </c>
      <c r="K62" s="4" t="str">
        <f t="shared" ca="1" si="3"/>
        <v/>
      </c>
      <c r="L62" s="10">
        <f t="shared" ca="1" si="4"/>
        <v>152.08008747542581</v>
      </c>
    </row>
    <row r="63" spans="1:12" x14ac:dyDescent="0.2">
      <c r="A63" s="5">
        <f>A62-14</f>
        <v>45309</v>
      </c>
      <c r="B63" s="3" t="str">
        <f t="shared" ca="1" si="16"/>
        <v>HDFCSML250</v>
      </c>
      <c r="C63" s="3">
        <f t="shared" ca="1" si="17"/>
        <v>3.1192693538528049E-2</v>
      </c>
      <c r="D63" s="3">
        <f t="shared" ca="1" si="17"/>
        <v>0</v>
      </c>
      <c r="E63" s="3">
        <f t="shared" ca="1" si="17"/>
        <v>3.9734539459779228E-3</v>
      </c>
      <c r="F63" s="3">
        <f t="shared" ca="1" si="13"/>
        <v>2.9308323563892236E-2</v>
      </c>
      <c r="G63" s="3">
        <f t="shared" ca="1" si="10"/>
        <v>3.3880094549100903E-2</v>
      </c>
      <c r="I63" s="2" vm="47">
        <f t="shared" ca="1" si="1"/>
        <v>145.38</v>
      </c>
      <c r="J63" s="2" t="str">
        <f t="shared" ca="1" si="2"/>
        <v/>
      </c>
      <c r="K63" s="4" t="str">
        <f t="shared" ca="1" si="3"/>
        <v/>
      </c>
      <c r="L63" s="10">
        <f t="shared" ca="1" si="4"/>
        <v>152.08008747542581</v>
      </c>
    </row>
    <row r="64" spans="1:12" x14ac:dyDescent="0.2">
      <c r="A64" s="5">
        <f>A63-7</f>
        <v>45302</v>
      </c>
      <c r="B64" s="3" t="str">
        <f t="shared" ca="1" si="16"/>
        <v>HDFCSML250</v>
      </c>
      <c r="C64" s="3">
        <f t="shared" ca="1" si="17"/>
        <v>6.7317593409826459E-2</v>
      </c>
      <c r="D64" s="3">
        <f t="shared" ca="1" si="17"/>
        <v>1.5763168012302931E-2</v>
      </c>
      <c r="E64" s="3">
        <f t="shared" ca="1" si="17"/>
        <v>3.0544889770913297E-2</v>
      </c>
      <c r="F64" s="3">
        <f t="shared" ca="1" si="13"/>
        <v>5.8752997601918544E-2</v>
      </c>
      <c r="G64" s="3">
        <f t="shared" ca="1" si="10"/>
        <v>6.7400881057268824E-2</v>
      </c>
      <c r="I64" s="2" vm="47">
        <f t="shared" ca="1" si="1"/>
        <v>145.38</v>
      </c>
      <c r="J64" s="2" vm="48">
        <f t="shared" ca="1" si="2"/>
        <v>580.45000000000005</v>
      </c>
      <c r="K64" s="4">
        <f t="shared" ca="1" si="3"/>
        <v>7.2028811524609937E-2</v>
      </c>
      <c r="L64" s="10">
        <f t="shared" ca="1" si="4"/>
        <v>152.08008747542581</v>
      </c>
    </row>
    <row r="65" spans="1:12" x14ac:dyDescent="0.2">
      <c r="A65" s="5">
        <f>A64-7</f>
        <v>45295</v>
      </c>
      <c r="B65" s="3" t="str">
        <f t="shared" ca="1" si="16"/>
        <v>JUNIORBEES</v>
      </c>
      <c r="C65" s="3">
        <f t="shared" ca="1" si="17"/>
        <v>9.7409267290572865E-2</v>
      </c>
      <c r="D65" s="3">
        <f t="shared" ca="1" si="17"/>
        <v>-8.0044676098287582E-3</v>
      </c>
      <c r="E65" s="3">
        <f t="shared" ca="1" si="17"/>
        <v>4.8733456043474455E-2</v>
      </c>
      <c r="F65" s="3">
        <f t="shared" ca="1" si="13"/>
        <v>6.8043742405832219E-2</v>
      </c>
      <c r="G65" s="3">
        <f t="shared" ca="1" si="10"/>
        <v>5.6230220063295588E-2</v>
      </c>
      <c r="I65" s="2" vm="49">
        <f t="shared" ca="1" si="1"/>
        <v>541.45000000000005</v>
      </c>
      <c r="J65" s="2" t="str">
        <f t="shared" ca="1" si="2"/>
        <v/>
      </c>
      <c r="K65" s="4" t="str">
        <f t="shared" ca="1" si="3"/>
        <v/>
      </c>
      <c r="L65" s="10">
        <f t="shared" ca="1" si="4"/>
        <v>141.86194050059316</v>
      </c>
    </row>
    <row r="66" spans="1:12" x14ac:dyDescent="0.2">
      <c r="A66" s="5">
        <f>A65-7</f>
        <v>45288</v>
      </c>
      <c r="B66" s="3" t="str">
        <f t="shared" ca="1" si="16"/>
        <v>JUNIORBEES</v>
      </c>
      <c r="C66" s="3">
        <f t="shared" ca="1" si="17"/>
        <v>0.12531994880819064</v>
      </c>
      <c r="D66" s="3">
        <f t="shared" ca="1" si="17"/>
        <v>2.9445506692160839E-2</v>
      </c>
      <c r="E66" s="3">
        <f t="shared" ca="1" si="17"/>
        <v>9.3824011659682904E-2</v>
      </c>
      <c r="F66" s="3">
        <f t="shared" ca="1" si="13"/>
        <v>7.363121460037747E-2</v>
      </c>
      <c r="G66" s="3">
        <f t="shared" ca="1" si="10"/>
        <v>7.0057361376673066E-2</v>
      </c>
      <c r="I66" s="2" vm="49">
        <f t="shared" ref="I66:I85" ca="1" si="18">IF(B66&lt;&gt;B67,INDEX(_xlfn.STOCKHISTORY(B66,A66),2,2),I67)</f>
        <v>541.45000000000005</v>
      </c>
      <c r="J66" s="2" t="str">
        <f t="shared" ref="J66:J86" ca="1" si="19">IF(B66&lt;&gt;B67,INDEX(_xlfn.STOCKHISTORY(B67,A66),2,2),"")</f>
        <v/>
      </c>
      <c r="K66" s="4" t="str">
        <f t="shared" ref="K66:K84" ca="1" si="20">IF(ISNUMBER(J66),J66/I67-1,"")</f>
        <v/>
      </c>
      <c r="L66" s="10">
        <f t="shared" ref="L66:L86" ca="1" si="21">IF(K66&lt;&gt;"",L67*(1+K66),L67)</f>
        <v>141.86194050059316</v>
      </c>
    </row>
    <row r="67" spans="1:12" x14ac:dyDescent="0.2">
      <c r="A67" s="5">
        <f t="shared" ref="A67:A130" si="22">A66-7</f>
        <v>45281</v>
      </c>
      <c r="B67" s="3" t="str">
        <f t="shared" ca="1" si="16"/>
        <v>JUNIORBEES</v>
      </c>
      <c r="C67" s="3">
        <f t="shared" ca="1" si="17"/>
        <v>0.10189301736104128</v>
      </c>
      <c r="D67" s="3">
        <f t="shared" ca="1" si="17"/>
        <v>1.8889745566692318E-2</v>
      </c>
      <c r="E67" s="3">
        <f t="shared" ca="1" si="17"/>
        <v>7.4225010302669592E-2</v>
      </c>
      <c r="F67" s="3">
        <f t="shared" ca="1" si="13"/>
        <v>6.0355781448538925E-2</v>
      </c>
      <c r="G67" s="3">
        <f t="shared" ca="1" si="10"/>
        <v>5.0639699685895767E-2</v>
      </c>
      <c r="I67" s="2" vm="49">
        <f t="shared" ca="1" si="18"/>
        <v>541.45000000000005</v>
      </c>
      <c r="J67" s="2" t="str">
        <f t="shared" ca="1" si="19"/>
        <v/>
      </c>
      <c r="K67" s="4" t="str">
        <f t="shared" ca="1" si="20"/>
        <v/>
      </c>
      <c r="L67" s="10">
        <f t="shared" ca="1" si="21"/>
        <v>141.86194050059316</v>
      </c>
    </row>
    <row r="68" spans="1:12" x14ac:dyDescent="0.2">
      <c r="A68" s="5">
        <f>A67-14</f>
        <v>45267</v>
      </c>
      <c r="B68" s="3" t="str">
        <f t="shared" ca="1" si="16"/>
        <v>JUNIORBEES</v>
      </c>
      <c r="C68" s="3">
        <f t="shared" ca="1" si="17"/>
        <v>0.11939218523878448</v>
      </c>
      <c r="D68" s="3">
        <f t="shared" ca="1" si="17"/>
        <v>3.2515576323987494E-2</v>
      </c>
      <c r="E68" s="3">
        <f t="shared" ca="1" si="17"/>
        <v>7.6180707725301833E-2</v>
      </c>
      <c r="F68" s="3">
        <f t="shared" ca="1" si="13"/>
        <v>9.8610191925877055E-2</v>
      </c>
      <c r="G68" s="3">
        <f t="shared" ca="1" si="10"/>
        <v>9.3837647247375644E-2</v>
      </c>
      <c r="I68" s="2" vm="49">
        <f t="shared" ca="1" si="18"/>
        <v>541.45000000000005</v>
      </c>
      <c r="J68" s="2" vm="50">
        <f t="shared" ca="1" si="19"/>
        <v>16.600000000000001</v>
      </c>
      <c r="K68" s="4">
        <f t="shared" ca="1" si="20"/>
        <v>3.105590062111796E-2</v>
      </c>
      <c r="L68" s="10">
        <f t="shared" ca="1" si="21"/>
        <v>141.86194050059316</v>
      </c>
    </row>
    <row r="69" spans="1:12" x14ac:dyDescent="0.2">
      <c r="A69" s="5">
        <f t="shared" si="22"/>
        <v>45260</v>
      </c>
      <c r="B69" s="3" t="str">
        <f t="shared" ca="1" si="16"/>
        <v>MIDCAPETF</v>
      </c>
      <c r="C69" s="3">
        <f t="shared" ca="1" si="17"/>
        <v>9.342990614151625E-2</v>
      </c>
      <c r="D69" s="3">
        <f t="shared" ca="1" si="17"/>
        <v>2.1722414455978445E-2</v>
      </c>
      <c r="E69" s="3">
        <f t="shared" ca="1" si="17"/>
        <v>5.0160741301058964E-2</v>
      </c>
      <c r="F69" s="3">
        <f t="shared" ca="1" si="13"/>
        <v>9.9726775956284097E-2</v>
      </c>
      <c r="G69" s="3">
        <f t="shared" ca="1" si="10"/>
        <v>9.7990573058794217E-2</v>
      </c>
      <c r="I69" s="2" vm="51">
        <f t="shared" ca="1" si="18"/>
        <v>16.100000000000001</v>
      </c>
      <c r="J69" s="2" vm="52">
        <f t="shared" ca="1" si="19"/>
        <v>132.78</v>
      </c>
      <c r="K69" s="4">
        <f t="shared" ca="1" si="20"/>
        <v>2.1777606771835378E-2</v>
      </c>
      <c r="L69" s="10">
        <f t="shared" ca="1" si="21"/>
        <v>137.58899048551507</v>
      </c>
    </row>
    <row r="70" spans="1:12" x14ac:dyDescent="0.2">
      <c r="A70" s="5">
        <f t="shared" si="22"/>
        <v>45253</v>
      </c>
      <c r="B70" s="3" t="str">
        <f t="shared" ca="1" si="16"/>
        <v>HDFCSML250</v>
      </c>
      <c r="C70" s="3">
        <f t="shared" ca="1" si="17"/>
        <v>6.8796280351300032E-2</v>
      </c>
      <c r="D70" s="3">
        <f t="shared" ca="1" si="17"/>
        <v>9.3131548311990997E-3</v>
      </c>
      <c r="E70" s="3">
        <f t="shared" ca="1" si="17"/>
        <v>2.5284983815734074E-2</v>
      </c>
      <c r="F70" s="3">
        <f t="shared" ca="1" si="13"/>
        <v>7.4880871341048261E-2</v>
      </c>
      <c r="G70" s="3">
        <f t="shared" ca="1" si="10"/>
        <v>9.0569173244702927E-2</v>
      </c>
      <c r="I70" s="2" vm="53">
        <f t="shared" ca="1" si="18"/>
        <v>129.94999999999999</v>
      </c>
      <c r="J70" s="2" t="str">
        <f t="shared" ca="1" si="19"/>
        <v/>
      </c>
      <c r="K70" s="4" t="str">
        <f t="shared" ca="1" si="20"/>
        <v/>
      </c>
      <c r="L70" s="10">
        <f t="shared" ca="1" si="21"/>
        <v>134.65649430330382</v>
      </c>
    </row>
    <row r="71" spans="1:12" x14ac:dyDescent="0.2">
      <c r="A71" s="5">
        <f t="shared" si="22"/>
        <v>45246</v>
      </c>
      <c r="B71" s="3" t="str">
        <f t="shared" ca="1" si="16"/>
        <v>HDFCSML250</v>
      </c>
      <c r="C71" s="3">
        <f t="shared" ca="1" si="17"/>
        <v>2.8986109955917883E-2</v>
      </c>
      <c r="D71" s="3">
        <f t="shared" ca="1" si="17"/>
        <v>2.2686567164179161E-2</v>
      </c>
      <c r="E71" s="3">
        <f t="shared" ca="1" si="17"/>
        <v>1.193207893529058E-3</v>
      </c>
      <c r="F71" s="3">
        <f t="shared" ca="1" si="13"/>
        <v>2.4852844996730017E-2</v>
      </c>
      <c r="G71" s="3">
        <f t="shared" ca="1" si="10"/>
        <v>4.0598975016015393E-2</v>
      </c>
      <c r="I71" s="2" vm="53">
        <f t="shared" ca="1" si="18"/>
        <v>129.94999999999999</v>
      </c>
      <c r="J71" s="2" vm="54">
        <f t="shared" ca="1" si="19"/>
        <v>51.39</v>
      </c>
      <c r="K71" s="4">
        <f t="shared" ca="1" si="20"/>
        <v>-8.4892919158787716E-3</v>
      </c>
      <c r="L71" s="10">
        <f t="shared" ca="1" si="21"/>
        <v>134.65649430330382</v>
      </c>
    </row>
    <row r="72" spans="1:12" x14ac:dyDescent="0.2">
      <c r="A72" s="5">
        <f t="shared" si="22"/>
        <v>45239</v>
      </c>
      <c r="B72" s="3" t="str">
        <f t="shared" ca="1" si="16"/>
        <v>GOLDBEES</v>
      </c>
      <c r="C72" s="3">
        <f t="shared" ca="1" si="17"/>
        <v>2.8879869094927457E-2</v>
      </c>
      <c r="D72" s="3">
        <f t="shared" ca="1" si="17"/>
        <v>4.2144026186579309E-2</v>
      </c>
      <c r="E72" s="3">
        <f t="shared" ca="1" si="17"/>
        <v>-5.4761462780767989E-3</v>
      </c>
      <c r="F72" s="3">
        <f t="shared" ca="1" si="13"/>
        <v>2.0735785953177377E-2</v>
      </c>
      <c r="G72" s="3">
        <f t="shared" ca="1" si="10"/>
        <v>3.4374742395515634E-2</v>
      </c>
      <c r="I72" s="2" vm="55">
        <f t="shared" ca="1" si="18"/>
        <v>51.83</v>
      </c>
      <c r="J72" s="2" t="str">
        <f t="shared" ca="1" si="19"/>
        <v/>
      </c>
      <c r="K72" s="4" t="str">
        <f t="shared" ca="1" si="20"/>
        <v/>
      </c>
      <c r="L72" s="10">
        <f t="shared" ca="1" si="21"/>
        <v>135.80942011559128</v>
      </c>
    </row>
    <row r="73" spans="1:12" x14ac:dyDescent="0.2">
      <c r="A73" s="5">
        <f>A72-14</f>
        <v>45225</v>
      </c>
      <c r="B73" s="3" t="str">
        <f t="shared" ca="1" si="16"/>
        <v>GOLDBEES</v>
      </c>
      <c r="C73" s="3">
        <f t="shared" ca="1" si="17"/>
        <v>-4.6319082377476506E-2</v>
      </c>
      <c r="D73" s="3">
        <f t="shared" ca="1" si="17"/>
        <v>3.6185525789683926E-2</v>
      </c>
      <c r="E73" s="3">
        <f t="shared" ca="1" si="17"/>
        <v>-3.6154592048760148E-2</v>
      </c>
      <c r="F73" s="3">
        <f t="shared" ca="1" si="13"/>
        <v>-5.0065876152832645E-2</v>
      </c>
      <c r="G73" s="3">
        <f t="shared" ca="1" si="10"/>
        <v>-2.2218564845292943E-2</v>
      </c>
      <c r="I73" s="2" vm="55">
        <f t="shared" ca="1" si="18"/>
        <v>51.83</v>
      </c>
      <c r="J73" s="2" vm="56">
        <f t="shared" ca="1" si="19"/>
        <v>118.82</v>
      </c>
      <c r="K73" s="4">
        <f t="shared" ca="1" si="20"/>
        <v>-1.6472146345501315E-2</v>
      </c>
      <c r="L73" s="10">
        <f t="shared" ca="1" si="21"/>
        <v>135.80942011559128</v>
      </c>
    </row>
    <row r="74" spans="1:12" x14ac:dyDescent="0.2">
      <c r="A74" s="5">
        <f>A73-14</f>
        <v>45211</v>
      </c>
      <c r="B74" s="3" t="str">
        <f t="shared" ca="1" si="16"/>
        <v>HDFCSML250</v>
      </c>
      <c r="C74" s="3">
        <f t="shared" ca="1" si="17"/>
        <v>-8.8698672621263519E-3</v>
      </c>
      <c r="D74" s="3">
        <f t="shared" ca="1" si="17"/>
        <v>-1.2594962015193945E-2</v>
      </c>
      <c r="E74" s="3">
        <f t="shared" ca="1" si="17"/>
        <v>-7.2210363776737951E-3</v>
      </c>
      <c r="F74" s="3">
        <f t="shared" ca="1" si="13"/>
        <v>8.5808580858084404E-3</v>
      </c>
      <c r="G74" s="3">
        <f t="shared" ca="1" si="10"/>
        <v>3.2539221382916983E-2</v>
      </c>
      <c r="I74" s="2" vm="57">
        <f t="shared" ca="1" si="18"/>
        <v>120.81</v>
      </c>
      <c r="J74" s="2" t="str">
        <f t="shared" ca="1" si="19"/>
        <v/>
      </c>
      <c r="K74" s="4" t="str">
        <f t="shared" ca="1" si="20"/>
        <v/>
      </c>
      <c r="L74" s="10">
        <f t="shared" ca="1" si="21"/>
        <v>138.08395930116635</v>
      </c>
    </row>
    <row r="75" spans="1:12" x14ac:dyDescent="0.2">
      <c r="A75" s="5">
        <f t="shared" si="22"/>
        <v>45204</v>
      </c>
      <c r="B75" s="3" t="str">
        <f t="shared" ca="1" si="16"/>
        <v>HDFCSML250</v>
      </c>
      <c r="C75" s="3">
        <f t="shared" ca="1" si="17"/>
        <v>-1.61960996299223E-2</v>
      </c>
      <c r="D75" s="3">
        <f t="shared" ca="1" si="17"/>
        <v>-4.170804369414105E-2</v>
      </c>
      <c r="E75" s="3">
        <f t="shared" ca="1" si="17"/>
        <v>-1.4362490733876854E-3</v>
      </c>
      <c r="F75" s="3">
        <f t="shared" ca="1" si="13"/>
        <v>-8.5413929040736303E-3</v>
      </c>
      <c r="G75" s="3">
        <f t="shared" ca="1" si="10"/>
        <v>1.9575856443720951E-3</v>
      </c>
      <c r="I75" s="2" vm="57">
        <f t="shared" ca="1" si="18"/>
        <v>120.81</v>
      </c>
      <c r="J75" s="2" t="str">
        <f t="shared" ca="1" si="19"/>
        <v/>
      </c>
      <c r="K75" s="4" t="str">
        <f t="shared" ca="1" si="20"/>
        <v/>
      </c>
      <c r="L75" s="10">
        <f t="shared" ca="1" si="21"/>
        <v>138.08395930116635</v>
      </c>
    </row>
    <row r="76" spans="1:12" x14ac:dyDescent="0.2">
      <c r="A76" s="5">
        <f t="shared" si="22"/>
        <v>45197</v>
      </c>
      <c r="B76" s="3" t="str">
        <f t="shared" ca="1" si="16"/>
        <v>HDFCSML250</v>
      </c>
      <c r="C76" s="3">
        <f t="shared" ca="1" si="17"/>
        <v>9.4608385066756728E-3</v>
      </c>
      <c r="D76" s="3">
        <f t="shared" ca="1" si="17"/>
        <v>-8.6345381526103937E-3</v>
      </c>
      <c r="E76" s="3">
        <f t="shared" ca="1" si="17"/>
        <v>1.3623338187626288E-2</v>
      </c>
      <c r="F76" s="3">
        <f t="shared" ca="1" si="13"/>
        <v>3.2854209445585258E-2</v>
      </c>
      <c r="G76" s="3">
        <f t="shared" ca="1" si="10"/>
        <v>4.4870697037163954E-2</v>
      </c>
      <c r="I76" s="2" vm="57">
        <f t="shared" ca="1" si="18"/>
        <v>120.81</v>
      </c>
      <c r="J76" s="2" t="str">
        <f t="shared" ca="1" si="19"/>
        <v/>
      </c>
      <c r="K76" s="4" t="str">
        <f t="shared" ca="1" si="20"/>
        <v/>
      </c>
      <c r="L76" s="10">
        <f t="shared" ca="1" si="21"/>
        <v>138.08395930116635</v>
      </c>
    </row>
    <row r="77" spans="1:12" x14ac:dyDescent="0.2">
      <c r="A77" s="5">
        <f t="shared" si="22"/>
        <v>45190</v>
      </c>
      <c r="B77" s="3" t="str">
        <f t="shared" ca="1" si="16"/>
        <v>HDFCSML250</v>
      </c>
      <c r="C77" s="3">
        <f t="shared" ca="1" si="17"/>
        <v>3.0740518276986428E-2</v>
      </c>
      <c r="D77" s="3">
        <f t="shared" ca="1" si="17"/>
        <v>1.1876006441223996E-2</v>
      </c>
      <c r="E77" s="3">
        <f t="shared" ca="1" si="17"/>
        <v>1.9344262295081904E-2</v>
      </c>
      <c r="F77" s="3">
        <f t="shared" ca="1" si="13"/>
        <v>5.0729673384294571E-2</v>
      </c>
      <c r="G77" s="3">
        <f t="shared" ca="1" si="10"/>
        <v>5.829321663019682E-2</v>
      </c>
      <c r="I77" s="2" vm="57">
        <f t="shared" ca="1" si="18"/>
        <v>120.81</v>
      </c>
      <c r="J77" s="2" t="str">
        <f t="shared" ca="1" si="19"/>
        <v/>
      </c>
      <c r="K77" s="4" t="str">
        <f t="shared" ca="1" si="20"/>
        <v/>
      </c>
      <c r="L77" s="10">
        <f t="shared" ca="1" si="21"/>
        <v>138.08395930116635</v>
      </c>
    </row>
    <row r="78" spans="1:12" x14ac:dyDescent="0.2">
      <c r="A78" s="5">
        <f t="shared" si="22"/>
        <v>45183</v>
      </c>
      <c r="B78" s="3" t="str">
        <f t="shared" ca="1" si="16"/>
        <v>HDFCSML250</v>
      </c>
      <c r="C78" s="3">
        <f t="shared" ca="1" si="17"/>
        <v>4.4583671898387633E-2</v>
      </c>
      <c r="D78" s="3">
        <f t="shared" ca="1" si="17"/>
        <v>-4.1924535835495824E-3</v>
      </c>
      <c r="E78" s="3">
        <f t="shared" ca="1" si="17"/>
        <v>3.2725747051419507E-2</v>
      </c>
      <c r="F78" s="3">
        <f t="shared" ca="1" si="13"/>
        <v>7.2880168185003535E-2</v>
      </c>
      <c r="G78" s="3">
        <f t="shared" ca="1" si="10"/>
        <v>8.2833979555868797E-2</v>
      </c>
      <c r="I78" s="2" vm="57">
        <f t="shared" ca="1" si="18"/>
        <v>120.81</v>
      </c>
      <c r="J78" s="2" t="str">
        <f t="shared" ca="1" si="19"/>
        <v/>
      </c>
      <c r="K78" s="4" t="str">
        <f t="shared" ca="1" si="20"/>
        <v/>
      </c>
      <c r="L78" s="10">
        <f t="shared" ca="1" si="21"/>
        <v>138.08395930116635</v>
      </c>
    </row>
    <row r="79" spans="1:12" x14ac:dyDescent="0.2">
      <c r="A79" s="5">
        <f t="shared" si="22"/>
        <v>45176</v>
      </c>
      <c r="B79" s="3" t="str">
        <f t="shared" ca="1" si="16"/>
        <v>HDFCSML250</v>
      </c>
      <c r="C79" s="3">
        <f t="shared" ca="1" si="17"/>
        <v>2.1751922996090967E-2</v>
      </c>
      <c r="D79" s="3">
        <f t="shared" ca="1" si="17"/>
        <v>-6.3378886908298515E-3</v>
      </c>
      <c r="E79" s="3">
        <f t="shared" ca="1" si="17"/>
        <v>6.2051400787219713E-3</v>
      </c>
      <c r="F79" s="3">
        <f t="shared" ca="1" si="13"/>
        <v>7.5789473684210629E-2</v>
      </c>
      <c r="G79" s="3">
        <f t="shared" ca="1" si="10"/>
        <v>8.4671404755637392E-2</v>
      </c>
      <c r="I79" s="2" vm="57">
        <f t="shared" ca="1" si="18"/>
        <v>120.81</v>
      </c>
      <c r="J79" s="2" t="str">
        <f t="shared" ca="1" si="19"/>
        <v/>
      </c>
      <c r="K79" s="4" t="str">
        <f t="shared" ca="1" si="20"/>
        <v/>
      </c>
      <c r="L79" s="10">
        <f t="shared" ca="1" si="21"/>
        <v>138.08395930116635</v>
      </c>
    </row>
    <row r="80" spans="1:12" x14ac:dyDescent="0.2">
      <c r="A80" s="5">
        <f t="shared" si="22"/>
        <v>45169</v>
      </c>
      <c r="B80" s="3" t="str">
        <f t="shared" ca="1" si="16"/>
        <v>HDFCSML250</v>
      </c>
      <c r="C80" s="3">
        <f t="shared" ca="1" si="17"/>
        <v>-1.765710240286511E-2</v>
      </c>
      <c r="D80" s="3">
        <f t="shared" ca="1" si="17"/>
        <v>-6.1192262139754261E-3</v>
      </c>
      <c r="E80" s="3">
        <f t="shared" ca="1" si="17"/>
        <v>-2.210681128780223E-2</v>
      </c>
      <c r="F80" s="3">
        <f t="shared" ca="1" si="13"/>
        <v>4.0730337078651591E-2</v>
      </c>
      <c r="G80" s="3">
        <f t="shared" ca="1" si="10"/>
        <v>6.0853530031612202E-2</v>
      </c>
      <c r="I80" s="2" vm="57">
        <f t="shared" ca="1" si="18"/>
        <v>120.81</v>
      </c>
      <c r="J80" s="2" vm="58">
        <f t="shared" ca="1" si="19"/>
        <v>14.82</v>
      </c>
      <c r="K80" s="4">
        <f t="shared" ca="1" si="20"/>
        <v>3.4193998604326703E-2</v>
      </c>
      <c r="L80" s="10">
        <f t="shared" ca="1" si="21"/>
        <v>138.08395930116635</v>
      </c>
    </row>
    <row r="81" spans="1:12" x14ac:dyDescent="0.2">
      <c r="A81" s="5">
        <f t="shared" si="22"/>
        <v>45162</v>
      </c>
      <c r="B81" s="3" t="str">
        <f t="shared" ca="1" si="16"/>
        <v>MIDCAPETF</v>
      </c>
      <c r="C81" s="3">
        <f t="shared" ca="1" si="17"/>
        <v>6.7350865939705962E-3</v>
      </c>
      <c r="D81" s="3">
        <f t="shared" ca="1" si="17"/>
        <v>-1.2240868706811403E-2</v>
      </c>
      <c r="E81" s="3">
        <f t="shared" ca="1" si="17"/>
        <v>-1.3657546255709807E-2</v>
      </c>
      <c r="F81" s="3">
        <f t="shared" ca="1" si="13"/>
        <v>5.6195965417867422E-2</v>
      </c>
      <c r="G81" s="3">
        <f t="shared" ca="1" si="10"/>
        <v>4.1857130052881608E-2</v>
      </c>
      <c r="I81" s="2" vm="59">
        <f t="shared" ca="1" si="18"/>
        <v>14.33</v>
      </c>
      <c r="J81" s="2" t="str">
        <f t="shared" ca="1" si="19"/>
        <v/>
      </c>
      <c r="K81" s="4" t="str">
        <f t="shared" ca="1" si="20"/>
        <v/>
      </c>
      <c r="L81" s="10">
        <f t="shared" ca="1" si="21"/>
        <v>133.51843028243681</v>
      </c>
    </row>
    <row r="82" spans="1:12" x14ac:dyDescent="0.2">
      <c r="A82" s="5">
        <f t="shared" si="22"/>
        <v>45155</v>
      </c>
      <c r="B82" s="3" t="str">
        <f t="shared" ca="1" si="16"/>
        <v>MIDCAPETF</v>
      </c>
      <c r="C82" s="3">
        <f t="shared" ca="1" si="17"/>
        <v>-8.7764035870627755E-3</v>
      </c>
      <c r="D82" s="3">
        <f t="shared" ca="1" si="17"/>
        <v>-1.3269954446425092E-2</v>
      </c>
      <c r="E82" s="3">
        <f t="shared" ca="1" si="17"/>
        <v>-1.3069782478178582E-2</v>
      </c>
      <c r="F82" s="3">
        <f t="shared" ca="1" si="13"/>
        <v>3.9912917271407888E-2</v>
      </c>
      <c r="G82" s="3">
        <f t="shared" ca="1" si="10"/>
        <v>3.0445388020598152E-2</v>
      </c>
      <c r="I82" s="2" vm="59">
        <f t="shared" ca="1" si="18"/>
        <v>14.33</v>
      </c>
      <c r="J82" s="2" vm="60">
        <f t="shared" ca="1" si="19"/>
        <v>114.06</v>
      </c>
      <c r="K82" s="4">
        <f t="shared" ca="1" si="20"/>
        <v>1.6124721603563597E-2</v>
      </c>
      <c r="L82" s="10">
        <f t="shared" ca="1" si="21"/>
        <v>133.51843028243681</v>
      </c>
    </row>
    <row r="83" spans="1:12" x14ac:dyDescent="0.2">
      <c r="A83" s="5">
        <f t="shared" si="22"/>
        <v>45148</v>
      </c>
      <c r="B83" s="3" t="str">
        <f t="shared" ca="1" si="16"/>
        <v>HDFCSML250</v>
      </c>
      <c r="C83" s="3">
        <f t="shared" ca="1" si="17"/>
        <v>2.3305952611948344E-2</v>
      </c>
      <c r="D83" s="3">
        <f t="shared" ca="1" si="17"/>
        <v>3.9976014391365222E-3</v>
      </c>
      <c r="E83" s="3">
        <f t="shared" ca="1" si="17"/>
        <v>1.2650489089541139E-2</v>
      </c>
      <c r="F83" s="3">
        <f t="shared" ca="1" si="13"/>
        <v>6.0650887573964418E-2</v>
      </c>
      <c r="G83" s="3">
        <f t="shared" ca="1" si="10"/>
        <v>6.2099693678641099E-2</v>
      </c>
      <c r="I83" s="2" vm="61">
        <f t="shared" ca="1" si="18"/>
        <v>112.25</v>
      </c>
      <c r="J83" s="2" t="str">
        <f t="shared" ca="1" si="19"/>
        <v/>
      </c>
      <c r="K83" s="4" t="str">
        <f t="shared" ca="1" si="20"/>
        <v/>
      </c>
      <c r="L83" s="10">
        <f t="shared" ca="1" si="21"/>
        <v>131.39964754693608</v>
      </c>
    </row>
    <row r="84" spans="1:12" x14ac:dyDescent="0.2">
      <c r="A84" s="5">
        <f t="shared" si="22"/>
        <v>45141</v>
      </c>
      <c r="B84" s="3" t="str">
        <f t="shared" ca="1" si="16"/>
        <v>HDFCSML250</v>
      </c>
      <c r="C84" s="3">
        <f t="shared" ca="1" si="17"/>
        <v>1.2157596884212252E-2</v>
      </c>
      <c r="D84" s="3">
        <f t="shared" ca="1" si="17"/>
        <v>1.9774011299434902E-2</v>
      </c>
      <c r="E84" s="3">
        <f t="shared" ca="1" si="17"/>
        <v>5.9349976448421771E-3</v>
      </c>
      <c r="F84" s="3">
        <f t="shared" ca="1" si="13"/>
        <v>4.2190969652109667E-2</v>
      </c>
      <c r="G84" s="3">
        <f t="shared" ca="1" si="10"/>
        <v>5.87352223681743E-2</v>
      </c>
      <c r="I84" s="2" vm="61">
        <f t="shared" ca="1" si="18"/>
        <v>112.25</v>
      </c>
      <c r="J84" s="2" t="str">
        <f t="shared" ca="1" si="19"/>
        <v/>
      </c>
      <c r="K84" s="4" t="str">
        <f t="shared" ca="1" si="20"/>
        <v/>
      </c>
      <c r="L84" s="10">
        <f t="shared" ca="1" si="21"/>
        <v>131.39964754693608</v>
      </c>
    </row>
    <row r="85" spans="1:12" x14ac:dyDescent="0.2">
      <c r="A85" s="5">
        <f t="shared" si="22"/>
        <v>45134</v>
      </c>
      <c r="B85" s="3" t="str">
        <f t="shared" ca="1" si="16"/>
        <v>HDFCSML250</v>
      </c>
      <c r="C85" s="3">
        <f t="shared" ca="1" si="17"/>
        <v>3.5840252371459158E-2</v>
      </c>
      <c r="D85" s="3">
        <f t="shared" ca="1" si="17"/>
        <v>2.2690763052208851E-2</v>
      </c>
      <c r="E85" s="3">
        <f t="shared" ca="1" si="17"/>
        <v>4.9258936355710548E-2</v>
      </c>
      <c r="F85" s="3">
        <f t="shared" ca="1" si="13"/>
        <v>4.951237809452369E-2</v>
      </c>
      <c r="G85" s="3">
        <f t="shared" ca="1" si="10"/>
        <v>6.8742264115014828E-2</v>
      </c>
      <c r="I85" s="2" vm="61">
        <f t="shared" ca="1" si="18"/>
        <v>112.25</v>
      </c>
      <c r="J85" s="2" vm="62">
        <f t="shared" ca="1" si="19"/>
        <v>216.63</v>
      </c>
      <c r="K85" s="4">
        <f ca="1">IF(ISNUMBER(J85),J85/I86-1,"")</f>
        <v>-1.3120131201311946E-2</v>
      </c>
      <c r="L85" s="10">
        <f t="shared" ca="1" si="21"/>
        <v>131.39964754693608</v>
      </c>
    </row>
    <row r="86" spans="1:12" x14ac:dyDescent="0.2">
      <c r="A86" s="5">
        <f t="shared" si="22"/>
        <v>45127</v>
      </c>
      <c r="B86" s="3" t="str">
        <f t="shared" ca="1" si="16"/>
        <v>NIFTYBEES</v>
      </c>
      <c r="C86" s="3">
        <f t="shared" ca="1" si="17"/>
        <v>1.014181349376897E-2</v>
      </c>
      <c r="D86" s="3">
        <f t="shared" ca="1" si="17"/>
        <v>1.1685482273717573E-2</v>
      </c>
      <c r="E86" s="3">
        <f t="shared" ca="1" si="17"/>
        <v>6.3002421307505996E-2</v>
      </c>
      <c r="F86" s="3">
        <f t="shared" ca="1" si="13"/>
        <v>4.1198501872659277E-2</v>
      </c>
      <c r="G86" s="3">
        <f t="shared" ca="1" si="10"/>
        <v>5.1634296541923197E-2</v>
      </c>
      <c r="I86" s="2" vm="63">
        <f ca="1">IF(B86&lt;&gt;B87,INDEX(_xlfn.STOCKHISTORY(B86,A86),2,2),I87)</f>
        <v>219.51</v>
      </c>
      <c r="J86" s="2" vm="64">
        <f t="shared" ca="1" si="19"/>
        <v>111</v>
      </c>
      <c r="K86" s="4">
        <f ca="1">IF(ISNUMBER(J86),J86/I87-1,"")</f>
        <v>2.4174201882266155E-2</v>
      </c>
      <c r="L86" s="10">
        <f t="shared" ca="1" si="21"/>
        <v>133.14654772205114</v>
      </c>
    </row>
    <row r="87" spans="1:12" x14ac:dyDescent="0.2">
      <c r="A87" s="5">
        <f t="shared" si="22"/>
        <v>45120</v>
      </c>
      <c r="B87" s="3" t="str">
        <f t="shared" ca="1" si="16"/>
        <v>HDFCSML250</v>
      </c>
      <c r="C87" s="3">
        <f t="shared" ca="1" si="17"/>
        <v>1.8772263379881693E-2</v>
      </c>
      <c r="D87" s="3">
        <f t="shared" ca="1" si="17"/>
        <v>-7.2705836117115119E-3</v>
      </c>
      <c r="E87" s="3">
        <f t="shared" ca="1" si="17"/>
        <v>4.0107082015088835E-2</v>
      </c>
      <c r="F87" s="3">
        <f t="shared" ca="1" si="13"/>
        <v>3.8167938931297662E-2</v>
      </c>
      <c r="G87" s="3">
        <f t="shared" ca="1" si="10"/>
        <v>5.5195119589425801E-2</v>
      </c>
      <c r="I87" s="2" vm="65">
        <f t="shared" ref="I87:I150" ca="1" si="23">IF(B87&lt;&gt;B88,INDEX(_xlfn.STOCKHISTORY(B87,A87),2,2),I88)</f>
        <v>108.38</v>
      </c>
      <c r="J87" s="2" t="str">
        <f t="shared" ref="J87:J150" ca="1" si="24">IF(B87&lt;&gt;B88,INDEX(_xlfn.STOCKHISTORY(B88,A87),2,2),"")</f>
        <v/>
      </c>
      <c r="K87" s="4" t="str">
        <f t="shared" ref="K87:K150" ca="1" si="25">IF(ISNUMBER(J87),J87/I88-1,"")</f>
        <v/>
      </c>
      <c r="L87" s="10">
        <f t="shared" ref="L87:L150" ca="1" si="26">IF(K87&lt;&gt;"",L88*(1+K87),L88)</f>
        <v>130.00380938843153</v>
      </c>
    </row>
    <row r="88" spans="1:12" x14ac:dyDescent="0.2">
      <c r="A88" s="5">
        <f t="shared" si="22"/>
        <v>45113</v>
      </c>
      <c r="B88" s="3" t="str">
        <f t="shared" ca="1" si="16"/>
        <v>HDFCSML250</v>
      </c>
      <c r="C88" s="3">
        <f t="shared" ca="1" si="17"/>
        <v>4.3005032032098489E-2</v>
      </c>
      <c r="D88" s="3">
        <f t="shared" ca="1" si="17"/>
        <v>-2.2909731740748063E-2</v>
      </c>
      <c r="E88" s="3">
        <f t="shared" ca="1" si="17"/>
        <v>4.861791805528326E-2</v>
      </c>
      <c r="F88" s="3">
        <f t="shared" ca="1" si="13"/>
        <v>6.7240031274433232E-2</v>
      </c>
      <c r="G88" s="3">
        <f t="shared" ca="1" si="10"/>
        <v>6.904714933912004E-2</v>
      </c>
      <c r="I88" s="2" vm="65">
        <f t="shared" ca="1" si="23"/>
        <v>108.38</v>
      </c>
      <c r="J88" s="2" vm="66">
        <f t="shared" ca="1" si="24"/>
        <v>13.65</v>
      </c>
      <c r="K88" s="4">
        <f t="shared" ca="1" si="25"/>
        <v>3.487490523123582E-2</v>
      </c>
      <c r="L88" s="10">
        <f t="shared" ca="1" si="26"/>
        <v>130.00380938843153</v>
      </c>
    </row>
    <row r="89" spans="1:12" x14ac:dyDescent="0.2">
      <c r="A89" s="5">
        <f>A88-14</f>
        <v>45099</v>
      </c>
      <c r="B89" s="3" t="str">
        <f t="shared" ca="1" si="16"/>
        <v>MIDCAPETF</v>
      </c>
      <c r="C89" s="3">
        <f t="shared" ca="1" si="17"/>
        <v>5.8107858528026579E-2</v>
      </c>
      <c r="D89" s="3">
        <f t="shared" ca="1" si="17"/>
        <v>-4.0784917275875299E-2</v>
      </c>
      <c r="E89" s="3">
        <f t="shared" ca="1" si="17"/>
        <v>2.7398625087177386E-2</v>
      </c>
      <c r="F89" s="3">
        <f t="shared" ca="1" si="13"/>
        <v>8.1980519480519431E-2</v>
      </c>
      <c r="G89" s="3">
        <f t="shared" ca="1" si="10"/>
        <v>7.1326091412174719E-2</v>
      </c>
      <c r="I89" s="2" vm="67">
        <f t="shared" ca="1" si="23"/>
        <v>13.19</v>
      </c>
      <c r="J89" s="2" t="str">
        <f t="shared" ca="1" si="24"/>
        <v/>
      </c>
      <c r="K89" s="4" t="str">
        <f t="shared" ca="1" si="25"/>
        <v/>
      </c>
      <c r="L89" s="10">
        <f t="shared" ca="1" si="26"/>
        <v>125.62272863248438</v>
      </c>
    </row>
    <row r="90" spans="1:12" x14ac:dyDescent="0.2">
      <c r="A90" s="5">
        <f t="shared" si="22"/>
        <v>45092</v>
      </c>
      <c r="B90" s="3" t="str">
        <f t="shared" ref="B90:B138" ca="1" si="27">INDEX($C$1:$G$1, 1, MATCH(MAX(C90:G90), C90:G90, 0))</f>
        <v>MIDCAPETF</v>
      </c>
      <c r="C90" s="3">
        <f t="shared" ca="1" si="17"/>
        <v>5.9669784089597E-2</v>
      </c>
      <c r="D90" s="3">
        <f t="shared" ca="1" si="17"/>
        <v>-4.0550879877582324E-2</v>
      </c>
      <c r="E90" s="3">
        <f t="shared" ca="1" si="17"/>
        <v>1.9717890136088156E-2</v>
      </c>
      <c r="F90" s="3">
        <f t="shared" ca="1" si="13"/>
        <v>7.2357723577235689E-2</v>
      </c>
      <c r="G90" s="3">
        <f t="shared" ca="1" si="10"/>
        <v>6.8132771554824778E-2</v>
      </c>
      <c r="I90" s="2" vm="67">
        <f t="shared" ca="1" si="23"/>
        <v>13.19</v>
      </c>
      <c r="J90" s="2" vm="68">
        <f t="shared" ca="1" si="24"/>
        <v>103.94</v>
      </c>
      <c r="K90" s="4">
        <f t="shared" ca="1" si="25"/>
        <v>1.9119521521717919E-2</v>
      </c>
      <c r="L90" s="10">
        <f t="shared" ca="1" si="26"/>
        <v>125.62272863248438</v>
      </c>
    </row>
    <row r="91" spans="1:12" x14ac:dyDescent="0.2">
      <c r="A91" s="5">
        <f t="shared" si="22"/>
        <v>45085</v>
      </c>
      <c r="B91" s="3" t="str">
        <f t="shared" ca="1" si="27"/>
        <v>HDFCSML250</v>
      </c>
      <c r="C91" s="3">
        <f t="shared" ref="C91:G137" ca="1" si="28">IFERROR(INDEX(_xlfn.STOCKHISTORY(C$1,$A91),2,2),0)/IFERROR(INDEX(_xlfn.STOCKHISTORY(C$1,EDATE($A91,-1)),2,2),0)-1</f>
        <v>5.9195429213693584E-2</v>
      </c>
      <c r="D91" s="3">
        <f t="shared" ca="1" si="28"/>
        <v>-2.8177113283496258E-2</v>
      </c>
      <c r="E91" s="3">
        <f t="shared" ca="1" si="28"/>
        <v>2.4034850533273255E-2</v>
      </c>
      <c r="F91" s="3">
        <f t="shared" ca="1" si="13"/>
        <v>5.3191489361702038E-2</v>
      </c>
      <c r="G91" s="3">
        <f t="shared" ca="1" si="13"/>
        <v>6.306024598707527E-2</v>
      </c>
      <c r="I91" s="2" vm="69">
        <f t="shared" ca="1" si="23"/>
        <v>101.99</v>
      </c>
      <c r="J91" s="2" vm="70">
        <f t="shared" ca="1" si="24"/>
        <v>452.34</v>
      </c>
      <c r="K91" s="4">
        <f t="shared" ca="1" si="25"/>
        <v>3.7786495973570089E-2</v>
      </c>
      <c r="L91" s="10">
        <f t="shared" ca="1" si="26"/>
        <v>123.26594278648336</v>
      </c>
    </row>
    <row r="92" spans="1:12" x14ac:dyDescent="0.2">
      <c r="A92" s="5">
        <f>A91-14</f>
        <v>45071</v>
      </c>
      <c r="B92" s="3" t="str">
        <f t="shared" ca="1" si="27"/>
        <v>JUNIORBEES</v>
      </c>
      <c r="C92" s="3">
        <f t="shared" ca="1" si="28"/>
        <v>6.1983773116000229E-2</v>
      </c>
      <c r="D92" s="3">
        <f t="shared" ca="1" si="28"/>
        <v>2.5331254871394648E-3</v>
      </c>
      <c r="E92" s="3">
        <f t="shared" ca="1" si="28"/>
        <v>3.3843300880852967E-2</v>
      </c>
      <c r="F92" s="3">
        <f t="shared" ca="1" si="28"/>
        <v>5.862361937128302E-2</v>
      </c>
      <c r="G92" s="3">
        <f t="shared" ca="1" si="28"/>
        <v>5.747002268553536E-2</v>
      </c>
      <c r="I92" s="2" vm="71">
        <f t="shared" ca="1" si="23"/>
        <v>435.87</v>
      </c>
      <c r="J92" s="2" vm="72">
        <f t="shared" ca="1" si="24"/>
        <v>97.89</v>
      </c>
      <c r="K92" s="4">
        <f t="shared" ca="1" si="25"/>
        <v>4.7624143835616417E-2</v>
      </c>
      <c r="L92" s="10">
        <f t="shared" ca="1" si="26"/>
        <v>118.77774789393931</v>
      </c>
    </row>
    <row r="93" spans="1:12" x14ac:dyDescent="0.2">
      <c r="A93" s="5">
        <f>A92-14</f>
        <v>45057</v>
      </c>
      <c r="B93" s="3" t="str">
        <f t="shared" ca="1" si="27"/>
        <v>HDFCSML250</v>
      </c>
      <c r="C93" s="3">
        <f t="shared" ca="1" si="28"/>
        <v>6.0876403942097479E-2</v>
      </c>
      <c r="D93" s="3">
        <f t="shared" ca="1" si="28"/>
        <v>1.5906886517943697E-2</v>
      </c>
      <c r="E93" s="3">
        <f t="shared" ca="1" si="28"/>
        <v>3.4011147811725762E-2</v>
      </c>
      <c r="F93" s="3">
        <f t="shared" ca="1" si="28"/>
        <v>5.5841924398625231E-2</v>
      </c>
      <c r="G93" s="3">
        <f t="shared" ca="1" si="28"/>
        <v>6.5003862708310267E-2</v>
      </c>
      <c r="I93" s="2" vm="73">
        <f t="shared" ca="1" si="23"/>
        <v>93.44</v>
      </c>
      <c r="J93" s="2" t="str">
        <f t="shared" ca="1" si="24"/>
        <v/>
      </c>
      <c r="K93" s="4" t="str">
        <f t="shared" ca="1" si="25"/>
        <v/>
      </c>
      <c r="L93" s="10">
        <f t="shared" ca="1" si="26"/>
        <v>113.37820781703635</v>
      </c>
    </row>
    <row r="94" spans="1:12" x14ac:dyDescent="0.2">
      <c r="A94" s="5">
        <f>A93-14</f>
        <v>45043</v>
      </c>
      <c r="B94" s="3" t="str">
        <f t="shared" ca="1" si="27"/>
        <v>HDFCSML250</v>
      </c>
      <c r="C94" s="3">
        <f t="shared" ca="1" si="28"/>
        <v>4.3579314352120813E-2</v>
      </c>
      <c r="D94" s="3">
        <f t="shared" ca="1" si="28"/>
        <v>2.1230158730158655E-2</v>
      </c>
      <c r="E94" s="3">
        <f t="shared" ca="1" si="28"/>
        <v>5.2368675475346516E-2</v>
      </c>
      <c r="F94" s="3">
        <f t="shared" ca="1" si="28"/>
        <v>6.744604316546754E-2</v>
      </c>
      <c r="G94" s="3">
        <f t="shared" ca="1" si="28"/>
        <v>7.9856697099271789E-2</v>
      </c>
      <c r="I94" s="2" vm="73">
        <f t="shared" ca="1" si="23"/>
        <v>93.44</v>
      </c>
      <c r="J94" s="2" vm="74">
        <f t="shared" ca="1" si="24"/>
        <v>11.87</v>
      </c>
      <c r="K94" s="4">
        <f t="shared" ca="1" si="25"/>
        <v>5.0804403048263502E-3</v>
      </c>
      <c r="L94" s="10">
        <f t="shared" ca="1" si="26"/>
        <v>113.37820781703635</v>
      </c>
    </row>
    <row r="95" spans="1:12" x14ac:dyDescent="0.2">
      <c r="A95" s="5">
        <f t="shared" si="22"/>
        <v>45036</v>
      </c>
      <c r="B95" s="3" t="str">
        <f t="shared" ca="1" si="27"/>
        <v>MIDCAPETF</v>
      </c>
      <c r="C95" s="3">
        <f t="shared" ca="1" si="28"/>
        <v>2.2909392348464008E-2</v>
      </c>
      <c r="D95" s="3">
        <f t="shared" ca="1" si="28"/>
        <v>1.4339029660184632E-2</v>
      </c>
      <c r="E95" s="3">
        <f t="shared" ca="1" si="28"/>
        <v>3.6466165413533869E-2</v>
      </c>
      <c r="F95" s="3">
        <f t="shared" ca="1" si="28"/>
        <v>4.4208664898319983E-2</v>
      </c>
      <c r="G95" s="3">
        <f t="shared" ca="1" si="28"/>
        <v>3.061567791858244E-2</v>
      </c>
      <c r="I95" s="2" vm="75">
        <f t="shared" ca="1" si="23"/>
        <v>11.81</v>
      </c>
      <c r="J95" s="2" vm="76">
        <f t="shared" ca="1" si="24"/>
        <v>51.64</v>
      </c>
      <c r="K95" s="4">
        <f t="shared" ca="1" si="25"/>
        <v>3.9034205231388341E-2</v>
      </c>
      <c r="L95" s="10">
        <f t="shared" ca="1" si="26"/>
        <v>112.80510819875312</v>
      </c>
    </row>
    <row r="96" spans="1:12" x14ac:dyDescent="0.2">
      <c r="A96" s="5">
        <f t="shared" si="22"/>
        <v>45029</v>
      </c>
      <c r="B96" s="3" t="str">
        <f t="shared" ca="1" si="27"/>
        <v>GOLDBEES</v>
      </c>
      <c r="C96" s="3">
        <f t="shared" ca="1" si="28"/>
        <v>2.0383632994440903E-2</v>
      </c>
      <c r="D96" s="3">
        <f t="shared" ca="1" si="28"/>
        <v>6.3908234330192437E-2</v>
      </c>
      <c r="E96" s="3">
        <f t="shared" ca="1" si="28"/>
        <v>3.5349776738252237E-2</v>
      </c>
      <c r="F96" s="3">
        <f t="shared" ca="1" si="28"/>
        <v>2.6246719160105014E-2</v>
      </c>
      <c r="G96" s="3"/>
      <c r="I96" s="2" vm="77">
        <f t="shared" ca="1" si="23"/>
        <v>49.7</v>
      </c>
      <c r="J96" s="2" t="str">
        <f t="shared" ca="1" si="24"/>
        <v/>
      </c>
      <c r="K96" s="4" t="str">
        <f t="shared" ca="1" si="25"/>
        <v/>
      </c>
      <c r="L96" s="10">
        <f t="shared" ca="1" si="26"/>
        <v>108.56727105883094</v>
      </c>
    </row>
    <row r="97" spans="1:12" x14ac:dyDescent="0.2">
      <c r="A97" s="5">
        <f t="shared" si="22"/>
        <v>45022</v>
      </c>
      <c r="B97" s="3" t="str">
        <f t="shared" ca="1" si="27"/>
        <v>GOLDBEES</v>
      </c>
      <c r="C97" s="3">
        <f t="shared" ca="1" si="28"/>
        <v>-4.1080389648724402E-3</v>
      </c>
      <c r="D97" s="3">
        <f t="shared" ca="1" si="28"/>
        <v>8.3211373614886064E-2</v>
      </c>
      <c r="E97" s="3">
        <f t="shared" ca="1" si="28"/>
        <v>-3.5634973919330681E-3</v>
      </c>
      <c r="F97" s="3">
        <f t="shared" ca="1" si="28"/>
        <v>-1.7035775127768438E-2</v>
      </c>
      <c r="G97" s="3"/>
      <c r="I97" s="2" vm="77">
        <f t="shared" ca="1" si="23"/>
        <v>49.7</v>
      </c>
      <c r="J97" s="2" t="str">
        <f t="shared" ca="1" si="24"/>
        <v/>
      </c>
      <c r="K97" s="4" t="str">
        <f t="shared" ca="1" si="25"/>
        <v/>
      </c>
      <c r="L97" s="10">
        <f t="shared" ca="1" si="26"/>
        <v>108.56727105883094</v>
      </c>
    </row>
    <row r="98" spans="1:12" x14ac:dyDescent="0.2">
      <c r="A98" s="5">
        <f>A97-14</f>
        <v>45008</v>
      </c>
      <c r="B98" s="3" t="str">
        <f t="shared" ca="1" si="27"/>
        <v>GOLDBEES</v>
      </c>
      <c r="C98" s="3">
        <f t="shared" ca="1" si="28"/>
        <v>6.056950413430906E-3</v>
      </c>
      <c r="D98" s="3">
        <f t="shared" ca="1" si="28"/>
        <v>5.2235687421646526E-2</v>
      </c>
      <c r="E98" s="3">
        <f t="shared" ca="1" si="28"/>
        <v>-2.6561116608509905E-2</v>
      </c>
      <c r="F98" s="3">
        <f t="shared" ca="1" si="28"/>
        <v>-1.2173913043478257E-2</v>
      </c>
      <c r="G98" s="3"/>
      <c r="I98" s="2" vm="77">
        <f t="shared" ca="1" si="23"/>
        <v>49.7</v>
      </c>
      <c r="J98" s="2" t="str">
        <f t="shared" ca="1" si="24"/>
        <v/>
      </c>
      <c r="K98" s="4" t="str">
        <f t="shared" ca="1" si="25"/>
        <v/>
      </c>
      <c r="L98" s="10">
        <f t="shared" ca="1" si="26"/>
        <v>108.56727105883094</v>
      </c>
    </row>
    <row r="99" spans="1:12" x14ac:dyDescent="0.2">
      <c r="A99" s="5">
        <f t="shared" si="22"/>
        <v>45001</v>
      </c>
      <c r="B99" s="3" t="str">
        <f t="shared" ca="1" si="27"/>
        <v>GOLDBEES</v>
      </c>
      <c r="C99" s="3">
        <f t="shared" ca="1" si="28"/>
        <v>-2.8933180454246088E-2</v>
      </c>
      <c r="D99" s="3">
        <f t="shared" ca="1" si="28"/>
        <v>3.1548360315483581E-2</v>
      </c>
      <c r="E99" s="3">
        <f t="shared" ca="1" si="28"/>
        <v>-5.6346592348619273E-2</v>
      </c>
      <c r="F99" s="3">
        <f t="shared" ca="1" si="28"/>
        <v>-3.0690537084399061E-2</v>
      </c>
      <c r="G99" s="3"/>
      <c r="I99" s="2" vm="77">
        <f t="shared" ca="1" si="23"/>
        <v>49.7</v>
      </c>
      <c r="J99" s="2" vm="78">
        <f t="shared" ca="1" si="24"/>
        <v>11.37</v>
      </c>
      <c r="K99" s="4">
        <f t="shared" ca="1" si="25"/>
        <v>-2.0671834625323071E-2</v>
      </c>
      <c r="L99" s="10">
        <f t="shared" ca="1" si="26"/>
        <v>108.56727105883094</v>
      </c>
    </row>
    <row r="100" spans="1:12" x14ac:dyDescent="0.2">
      <c r="A100" s="5">
        <f t="shared" si="22"/>
        <v>44994</v>
      </c>
      <c r="B100" s="3" t="str">
        <f t="shared" ca="1" si="27"/>
        <v>MIDCAPETF</v>
      </c>
      <c r="C100" s="3">
        <f t="shared" ca="1" si="28"/>
        <v>-1.2172170214846179E-2</v>
      </c>
      <c r="D100" s="3">
        <f t="shared" ca="1" si="28"/>
        <v>-4.1539401343921756E-2</v>
      </c>
      <c r="E100" s="3">
        <f t="shared" ca="1" si="28"/>
        <v>-1.6590943897085153E-2</v>
      </c>
      <c r="F100" s="3">
        <f t="shared" ca="1" si="28"/>
        <v>-2.5488530161427159E-3</v>
      </c>
      <c r="G100" s="3"/>
      <c r="I100" s="2" vm="79">
        <f t="shared" ca="1" si="23"/>
        <v>11.61</v>
      </c>
      <c r="J100" s="2" t="str">
        <f t="shared" ca="1" si="24"/>
        <v/>
      </c>
      <c r="K100" s="4" t="str">
        <f t="shared" ca="1" si="25"/>
        <v/>
      </c>
      <c r="L100" s="10">
        <f t="shared" ca="1" si="26"/>
        <v>110.85892849542897</v>
      </c>
    </row>
    <row r="101" spans="1:12" x14ac:dyDescent="0.2">
      <c r="A101" s="5">
        <f t="shared" si="22"/>
        <v>44987</v>
      </c>
      <c r="B101" s="3" t="str">
        <f t="shared" ca="1" si="27"/>
        <v>MIDCAPETF</v>
      </c>
      <c r="C101" s="3">
        <f t="shared" ca="1" si="28"/>
        <v>-2.011938978554062E-2</v>
      </c>
      <c r="D101" s="3">
        <f t="shared" ca="1" si="28"/>
        <v>-5.2704576976421613E-2</v>
      </c>
      <c r="E101" s="3">
        <f t="shared" ca="1" si="28"/>
        <v>-1.5447618060235313E-2</v>
      </c>
      <c r="F101" s="3">
        <f t="shared" ca="1" si="28"/>
        <v>3.4572169403628283E-3</v>
      </c>
      <c r="G101" s="3"/>
      <c r="I101" s="2" vm="79">
        <f t="shared" ca="1" si="23"/>
        <v>11.61</v>
      </c>
      <c r="J101" s="2" vm="80">
        <f t="shared" ca="1" si="24"/>
        <v>47.81</v>
      </c>
      <c r="K101" s="4">
        <f t="shared" ca="1" si="25"/>
        <v>-1.0447137484328461E-3</v>
      </c>
      <c r="L101" s="10">
        <f t="shared" ca="1" si="26"/>
        <v>110.85892849542897</v>
      </c>
    </row>
    <row r="102" spans="1:12" x14ac:dyDescent="0.2">
      <c r="A102" s="5">
        <f t="shared" si="22"/>
        <v>44980</v>
      </c>
      <c r="B102" s="3" t="str">
        <f t="shared" ca="1" si="27"/>
        <v>GOLDBEES</v>
      </c>
      <c r="C102" s="3">
        <f t="shared" ca="1" si="28"/>
        <v>-0.10352829848594081</v>
      </c>
      <c r="D102" s="3">
        <f t="shared" ca="1" si="28"/>
        <v>-1.8659011687512939E-2</v>
      </c>
      <c r="E102" s="3">
        <f t="shared" ca="1" si="28"/>
        <v>-3.240274138278576E-2</v>
      </c>
      <c r="F102" s="3">
        <f t="shared" ca="1" si="28"/>
        <v>-2.7072758037225086E-2</v>
      </c>
      <c r="G102" s="3"/>
      <c r="I102" s="2" vm="81">
        <f t="shared" ca="1" si="23"/>
        <v>47.86</v>
      </c>
      <c r="J102" s="2" vm="82">
        <f t="shared" ca="1" si="24"/>
        <v>192.01</v>
      </c>
      <c r="K102" s="4">
        <f t="shared" ca="1" si="25"/>
        <v>-2.7058525462376526E-2</v>
      </c>
      <c r="L102" s="10">
        <f t="shared" ca="1" si="26"/>
        <v>110.97486546310877</v>
      </c>
    </row>
    <row r="103" spans="1:12" x14ac:dyDescent="0.2">
      <c r="A103" s="5">
        <f t="shared" si="22"/>
        <v>44973</v>
      </c>
      <c r="B103" s="3" t="str">
        <f t="shared" ca="1" si="27"/>
        <v>NIFTYBEES</v>
      </c>
      <c r="C103" s="3">
        <f t="shared" ca="1" si="28"/>
        <v>-8.1104709811921305E-2</v>
      </c>
      <c r="D103" s="3">
        <f t="shared" ca="1" si="28"/>
        <v>-1.0677618069815265E-2</v>
      </c>
      <c r="E103" s="3">
        <f t="shared" ca="1" si="28"/>
        <v>6.5796184841375727E-3</v>
      </c>
      <c r="F103" s="3">
        <f t="shared" ca="1" si="28"/>
        <v>-8.4530853761622948E-3</v>
      </c>
      <c r="G103" s="3"/>
      <c r="I103" s="2" vm="83">
        <f t="shared" ca="1" si="23"/>
        <v>197.35</v>
      </c>
      <c r="J103" s="2" vm="84">
        <f t="shared" ca="1" si="24"/>
        <v>48.18</v>
      </c>
      <c r="K103" s="4">
        <f t="shared" ca="1" si="25"/>
        <v>2.7949647962449475E-2</v>
      </c>
      <c r="L103" s="10">
        <f t="shared" ca="1" si="26"/>
        <v>114.06119316256714</v>
      </c>
    </row>
    <row r="104" spans="1:12" x14ac:dyDescent="0.2">
      <c r="A104" s="5">
        <f t="shared" si="22"/>
        <v>44966</v>
      </c>
      <c r="B104" s="3" t="str">
        <f t="shared" ca="1" si="27"/>
        <v>GOLDBEES</v>
      </c>
      <c r="C104" s="3">
        <f t="shared" ca="1" si="28"/>
        <v>-8.4064654786424331E-2</v>
      </c>
      <c r="D104" s="3">
        <f t="shared" ca="1" si="28"/>
        <v>2.0785699438786054E-2</v>
      </c>
      <c r="E104" s="3">
        <f t="shared" ca="1" si="28"/>
        <v>-1.2053661488803824E-2</v>
      </c>
      <c r="F104" s="3">
        <f t="shared" ca="1" si="28"/>
        <v>-1.9983347210657754E-2</v>
      </c>
      <c r="G104" s="3"/>
      <c r="I104" s="2" vm="85">
        <f t="shared" ca="1" si="23"/>
        <v>46.87</v>
      </c>
      <c r="J104" s="2" t="str">
        <f t="shared" ca="1" si="24"/>
        <v/>
      </c>
      <c r="K104" s="4" t="str">
        <f t="shared" ca="1" si="25"/>
        <v/>
      </c>
      <c r="L104" s="10">
        <f t="shared" ca="1" si="26"/>
        <v>110.95990293751601</v>
      </c>
    </row>
    <row r="105" spans="1:12" x14ac:dyDescent="0.2">
      <c r="A105" s="5">
        <f t="shared" si="22"/>
        <v>44959</v>
      </c>
      <c r="B105" s="3" t="str">
        <f t="shared" ca="1" si="27"/>
        <v>GOLDBEES</v>
      </c>
      <c r="C105" s="3">
        <f t="shared" ca="1" si="28"/>
        <v>-8.6570178391114028E-2</v>
      </c>
      <c r="D105" s="3">
        <f t="shared" ca="1" si="28"/>
        <v>6.9959720161119288E-2</v>
      </c>
      <c r="E105" s="3">
        <f t="shared" ca="1" si="28"/>
        <v>-3.2256446272699968E-2</v>
      </c>
      <c r="F105" s="3">
        <f t="shared" ca="1" si="28"/>
        <v>-3.7437603993344393E-2</v>
      </c>
      <c r="G105" s="3"/>
      <c r="I105" s="2" vm="85">
        <f t="shared" ca="1" si="23"/>
        <v>46.87</v>
      </c>
      <c r="J105" s="2" t="str">
        <f t="shared" ca="1" si="24"/>
        <v/>
      </c>
      <c r="K105" s="4" t="str">
        <f t="shared" ca="1" si="25"/>
        <v/>
      </c>
      <c r="L105" s="10">
        <f t="shared" ca="1" si="26"/>
        <v>110.95990293751601</v>
      </c>
    </row>
    <row r="106" spans="1:12" x14ac:dyDescent="0.2">
      <c r="A106" s="5">
        <f>A105-14</f>
        <v>44945</v>
      </c>
      <c r="B106" s="3" t="str">
        <f t="shared" ca="1" si="27"/>
        <v>GOLDBEES</v>
      </c>
      <c r="C106" s="3">
        <f t="shared" ca="1" si="28"/>
        <v>-3.3138698853980686E-2</v>
      </c>
      <c r="D106" s="3">
        <f t="shared" ca="1" si="28"/>
        <v>4.4808272296423812E-2</v>
      </c>
      <c r="E106" s="3">
        <f t="shared" ca="1" si="28"/>
        <v>-1.6065850151237071E-2</v>
      </c>
      <c r="F106" s="3">
        <f t="shared" ca="1" si="28"/>
        <v>-2.2240527182866621E-2</v>
      </c>
      <c r="G106" s="3"/>
      <c r="I106" s="2" vm="85">
        <f t="shared" ca="1" si="23"/>
        <v>46.87</v>
      </c>
      <c r="J106" s="2" t="str">
        <f t="shared" ca="1" si="24"/>
        <v/>
      </c>
      <c r="K106" s="4" t="str">
        <f t="shared" ca="1" si="25"/>
        <v/>
      </c>
      <c r="L106" s="10">
        <f t="shared" ca="1" si="26"/>
        <v>110.95990293751601</v>
      </c>
    </row>
    <row r="107" spans="1:12" x14ac:dyDescent="0.2">
      <c r="A107" s="5">
        <f t="shared" si="22"/>
        <v>44938</v>
      </c>
      <c r="B107" s="3" t="str">
        <f t="shared" ca="1" si="27"/>
        <v>GOLDBEES</v>
      </c>
      <c r="C107" s="3">
        <f t="shared" ca="1" si="28"/>
        <v>-4.3373286194705485E-2</v>
      </c>
      <c r="D107" s="3">
        <f t="shared" ca="1" si="28"/>
        <v>3.810348560294452E-2</v>
      </c>
      <c r="E107" s="3">
        <f t="shared" ca="1" si="28"/>
        <v>-3.45491338038596E-2</v>
      </c>
      <c r="F107" s="3">
        <f t="shared" ca="1" si="28"/>
        <v>-3.2573289902280034E-2</v>
      </c>
      <c r="G107" s="3"/>
      <c r="I107" s="2" vm="85">
        <f t="shared" ca="1" si="23"/>
        <v>46.87</v>
      </c>
      <c r="J107" s="2" t="str">
        <f t="shared" ca="1" si="24"/>
        <v/>
      </c>
      <c r="K107" s="4" t="str">
        <f t="shared" ca="1" si="25"/>
        <v/>
      </c>
      <c r="L107" s="10">
        <f t="shared" ca="1" si="26"/>
        <v>110.95990293751601</v>
      </c>
    </row>
    <row r="108" spans="1:12" x14ac:dyDescent="0.2">
      <c r="A108" s="5">
        <f t="shared" si="22"/>
        <v>44931</v>
      </c>
      <c r="B108" s="3" t="str">
        <f t="shared" ca="1" si="27"/>
        <v>GOLDBEES</v>
      </c>
      <c r="C108" s="3">
        <f t="shared" ca="1" si="28"/>
        <v>-3.8383577004355907E-2</v>
      </c>
      <c r="D108" s="3">
        <f t="shared" ca="1" si="28"/>
        <v>3.6667389889346813E-2</v>
      </c>
      <c r="E108" s="3">
        <f t="shared" ca="1" si="28"/>
        <v>-3.6049696732537662E-2</v>
      </c>
      <c r="F108" s="3">
        <f t="shared" ca="1" si="28"/>
        <v>-2.9935275080906099E-2</v>
      </c>
      <c r="G108" s="3"/>
      <c r="I108" s="2" vm="85">
        <f t="shared" ca="1" si="23"/>
        <v>46.87</v>
      </c>
      <c r="J108" s="2" t="str">
        <f t="shared" ca="1" si="24"/>
        <v/>
      </c>
      <c r="K108" s="4" t="str">
        <f t="shared" ca="1" si="25"/>
        <v/>
      </c>
      <c r="L108" s="10">
        <f t="shared" ca="1" si="26"/>
        <v>110.95990293751601</v>
      </c>
    </row>
    <row r="109" spans="1:12" x14ac:dyDescent="0.2">
      <c r="A109" s="5">
        <f t="shared" si="22"/>
        <v>44924</v>
      </c>
      <c r="B109" s="3" t="str">
        <f t="shared" ca="1" si="27"/>
        <v>GOLDBEES</v>
      </c>
      <c r="C109" s="3">
        <f t="shared" ca="1" si="28"/>
        <v>-2.0880299415614201E-2</v>
      </c>
      <c r="D109" s="3">
        <f t="shared" ca="1" si="28"/>
        <v>3.3481152993348084E-2</v>
      </c>
      <c r="E109" s="3">
        <f t="shared" ca="1" si="28"/>
        <v>-2.2857985547854343E-2</v>
      </c>
      <c r="F109" s="3">
        <f t="shared" ca="1" si="28"/>
        <v>-1.163757273482946E-2</v>
      </c>
      <c r="G109" s="3"/>
      <c r="I109" s="2" vm="85">
        <f t="shared" ca="1" si="23"/>
        <v>46.87</v>
      </c>
      <c r="J109" s="2" t="str">
        <f t="shared" ca="1" si="24"/>
        <v/>
      </c>
      <c r="K109" s="4" t="str">
        <f t="shared" ca="1" si="25"/>
        <v/>
      </c>
      <c r="L109" s="10">
        <f t="shared" ca="1" si="26"/>
        <v>110.95990293751601</v>
      </c>
    </row>
    <row r="110" spans="1:12" x14ac:dyDescent="0.2">
      <c r="A110" s="5">
        <f t="shared" si="22"/>
        <v>44917</v>
      </c>
      <c r="B110" s="3" t="str">
        <f t="shared" ca="1" si="27"/>
        <v>GOLDBEES</v>
      </c>
      <c r="C110" s="3">
        <f t="shared" ca="1" si="28"/>
        <v>-2.9150626404681468E-3</v>
      </c>
      <c r="D110" s="3">
        <f t="shared" ca="1" si="28"/>
        <v>4.3875278396436457E-2</v>
      </c>
      <c r="E110" s="3">
        <f t="shared" ca="1" si="28"/>
        <v>-3.4131405912762869E-3</v>
      </c>
      <c r="F110" s="3">
        <f t="shared" ca="1" si="28"/>
        <v>1.6920473773265332E-3</v>
      </c>
      <c r="G110" s="3"/>
      <c r="I110" s="2" vm="85">
        <f t="shared" ca="1" si="23"/>
        <v>46.87</v>
      </c>
      <c r="J110" s="2" vm="86">
        <f t="shared" ca="1" si="24"/>
        <v>11.84</v>
      </c>
      <c r="K110" s="4">
        <f t="shared" ca="1" si="25"/>
        <v>-3.7398373983739908E-2</v>
      </c>
      <c r="L110" s="10">
        <f t="shared" ca="1" si="26"/>
        <v>110.95990293751601</v>
      </c>
    </row>
    <row r="111" spans="1:12" x14ac:dyDescent="0.2">
      <c r="A111" s="5">
        <f t="shared" si="22"/>
        <v>44910</v>
      </c>
      <c r="B111" s="3" t="str">
        <f t="shared" ca="1" si="27"/>
        <v>MIDCAPETF</v>
      </c>
      <c r="C111" s="3">
        <f t="shared" ca="1" si="28"/>
        <v>-3.256551095287552E-4</v>
      </c>
      <c r="D111" s="3">
        <f t="shared" ca="1" si="28"/>
        <v>1.949058693244754E-2</v>
      </c>
      <c r="E111" s="3">
        <f t="shared" ca="1" si="28"/>
        <v>3.3348265392465493E-3</v>
      </c>
      <c r="F111" s="3">
        <f t="shared" ca="1" si="28"/>
        <v>3.0150753768844352E-2</v>
      </c>
      <c r="G111" s="3"/>
      <c r="I111" s="2" vm="87">
        <f t="shared" ca="1" si="23"/>
        <v>12.3</v>
      </c>
      <c r="J111" s="2" vm="88">
        <f t="shared" ca="1" si="24"/>
        <v>46.03</v>
      </c>
      <c r="K111" s="4">
        <f t="shared" ca="1" si="25"/>
        <v>1.4547057527000362E-2</v>
      </c>
      <c r="L111" s="10">
        <f t="shared" ca="1" si="26"/>
        <v>115.27084511245329</v>
      </c>
    </row>
    <row r="112" spans="1:12" x14ac:dyDescent="0.2">
      <c r="A112" s="5">
        <f>A111-14</f>
        <v>44896</v>
      </c>
      <c r="B112" s="3" t="str">
        <f t="shared" ca="1" si="27"/>
        <v>GOLDBEES</v>
      </c>
      <c r="C112" s="3">
        <f t="shared" ca="1" si="28"/>
        <v>1.8492864524924713E-2</v>
      </c>
      <c r="D112" s="3">
        <f t="shared" ca="1" si="28"/>
        <v>4.7564072962364312E-2</v>
      </c>
      <c r="E112" s="3">
        <f t="shared" ca="1" si="28"/>
        <v>3.8185675320739465E-2</v>
      </c>
      <c r="F112" s="3">
        <f t="shared" ca="1" si="28"/>
        <v>1.830282861896837E-2</v>
      </c>
      <c r="G112" s="3"/>
      <c r="I112" s="2" vm="89">
        <f t="shared" ca="1" si="23"/>
        <v>45.37</v>
      </c>
      <c r="J112" s="2" vm="90">
        <f t="shared" ca="1" si="24"/>
        <v>205.54</v>
      </c>
      <c r="K112" s="4">
        <f t="shared" ca="1" si="25"/>
        <v>6.2496769191005441E-2</v>
      </c>
      <c r="L112" s="10">
        <f t="shared" ca="1" si="26"/>
        <v>113.61803699222257</v>
      </c>
    </row>
    <row r="113" spans="1:12" x14ac:dyDescent="0.2">
      <c r="A113" s="5">
        <f t="shared" si="22"/>
        <v>44889</v>
      </c>
      <c r="B113" s="3" t="str">
        <f t="shared" ca="1" si="27"/>
        <v>NIFTYBEES</v>
      </c>
      <c r="C113" s="3">
        <f t="shared" ca="1" si="28"/>
        <v>1.603809609380269E-2</v>
      </c>
      <c r="D113" s="3">
        <f t="shared" ca="1" si="28"/>
        <v>3.5878564857405815E-2</v>
      </c>
      <c r="E113" s="3">
        <f t="shared" ca="1" si="28"/>
        <v>4.4261531293679157E-2</v>
      </c>
      <c r="F113" s="3">
        <f t="shared" ca="1" si="28"/>
        <v>7.6271186440677319E-3</v>
      </c>
      <c r="G113" s="3"/>
      <c r="I113" s="2" vm="91">
        <f t="shared" ca="1" si="23"/>
        <v>193.45</v>
      </c>
      <c r="J113" s="2" t="str">
        <f t="shared" ca="1" si="24"/>
        <v/>
      </c>
      <c r="K113" s="4" t="str">
        <f t="shared" ca="1" si="25"/>
        <v/>
      </c>
      <c r="L113" s="10">
        <f t="shared" ca="1" si="26"/>
        <v>106.93494821516715</v>
      </c>
    </row>
    <row r="114" spans="1:12" x14ac:dyDescent="0.2">
      <c r="A114" s="5">
        <f t="shared" si="22"/>
        <v>44882</v>
      </c>
      <c r="B114" s="3" t="str">
        <f t="shared" ca="1" si="27"/>
        <v>NIFTYBEES</v>
      </c>
      <c r="C114" s="3">
        <f t="shared" ca="1" si="28"/>
        <v>3.1729063367147203E-2</v>
      </c>
      <c r="D114" s="3">
        <f t="shared" ca="1" si="28"/>
        <v>4.4634597594819692E-2</v>
      </c>
      <c r="E114" s="3">
        <f t="shared" ca="1" si="28"/>
        <v>6.0212889900969069E-2</v>
      </c>
      <c r="F114" s="3">
        <f t="shared" ca="1" si="28"/>
        <v>1.3722126929674117E-2</v>
      </c>
      <c r="G114" s="3"/>
      <c r="I114" s="2" vm="91">
        <f t="shared" ca="1" si="23"/>
        <v>193.45</v>
      </c>
      <c r="J114" s="2" t="str">
        <f t="shared" ca="1" si="24"/>
        <v/>
      </c>
      <c r="K114" s="4" t="str">
        <f t="shared" ca="1" si="25"/>
        <v/>
      </c>
      <c r="L114" s="10">
        <f t="shared" ca="1" si="26"/>
        <v>106.93494821516715</v>
      </c>
    </row>
    <row r="115" spans="1:12" x14ac:dyDescent="0.2">
      <c r="A115" s="5">
        <f t="shared" si="22"/>
        <v>44875</v>
      </c>
      <c r="B115" s="3" t="str">
        <f t="shared" ca="1" si="27"/>
        <v>NIFTYBEES</v>
      </c>
      <c r="C115" s="3">
        <f t="shared" ca="1" si="28"/>
        <v>1.3082565524644263E-2</v>
      </c>
      <c r="D115" s="3">
        <f t="shared" ca="1" si="28"/>
        <v>1.029041847701806E-2</v>
      </c>
      <c r="E115" s="3">
        <f t="shared" ca="1" si="28"/>
        <v>4.2966887417218658E-2</v>
      </c>
      <c r="F115" s="3">
        <f t="shared" ca="1" si="28"/>
        <v>7.6013513513513153E-3</v>
      </c>
      <c r="G115" s="3"/>
      <c r="I115" s="2" vm="91">
        <f t="shared" ca="1" si="23"/>
        <v>193.45</v>
      </c>
      <c r="J115" s="2" t="str">
        <f t="shared" ca="1" si="24"/>
        <v/>
      </c>
      <c r="K115" s="4" t="str">
        <f t="shared" ca="1" si="25"/>
        <v/>
      </c>
      <c r="L115" s="10">
        <f t="shared" ca="1" si="26"/>
        <v>106.93494821516715</v>
      </c>
    </row>
    <row r="116" spans="1:12" x14ac:dyDescent="0.2">
      <c r="A116" s="5">
        <f t="shared" si="22"/>
        <v>44868</v>
      </c>
      <c r="B116" s="3" t="str">
        <f t="shared" ca="1" si="27"/>
        <v>NIFTYBEES</v>
      </c>
      <c r="C116" s="3">
        <f t="shared" ca="1" si="28"/>
        <v>3.4113193779358841E-2</v>
      </c>
      <c r="D116" s="3">
        <f t="shared" ca="1" si="28"/>
        <v>-3.2452480296708552E-3</v>
      </c>
      <c r="E116" s="3">
        <f t="shared" ca="1" si="28"/>
        <v>7.1316146540027159E-2</v>
      </c>
      <c r="F116" s="3">
        <f t="shared" ca="1" si="28"/>
        <v>3.6238136324417525E-2</v>
      </c>
      <c r="G116" s="3"/>
      <c r="I116" s="2" vm="91">
        <f t="shared" ca="1" si="23"/>
        <v>193.45</v>
      </c>
      <c r="J116" s="2" t="str">
        <f t="shared" ca="1" si="24"/>
        <v/>
      </c>
      <c r="K116" s="4" t="str">
        <f t="shared" ca="1" si="25"/>
        <v/>
      </c>
      <c r="L116" s="10">
        <f t="shared" ca="1" si="26"/>
        <v>106.93494821516715</v>
      </c>
    </row>
    <row r="117" spans="1:12" x14ac:dyDescent="0.2">
      <c r="A117" s="5">
        <f t="shared" si="22"/>
        <v>44861</v>
      </c>
      <c r="B117" s="3" t="str">
        <f t="shared" ca="1" si="27"/>
        <v>NIFTYBEES</v>
      </c>
      <c r="C117" s="3">
        <f t="shared" ca="1" si="28"/>
        <v>-1.694386230882472E-3</v>
      </c>
      <c r="D117" s="3">
        <f t="shared" ca="1" si="28"/>
        <v>2.4516737388024401E-2</v>
      </c>
      <c r="E117" s="3">
        <f t="shared" ca="1" si="28"/>
        <v>3.9774254232733064E-2</v>
      </c>
      <c r="F117" s="3">
        <f t="shared" ca="1" si="28"/>
        <v>2.8695652173913011E-2</v>
      </c>
      <c r="G117" s="3"/>
      <c r="I117" s="2" vm="91">
        <f t="shared" ca="1" si="23"/>
        <v>193.45</v>
      </c>
      <c r="J117" s="2" vm="92">
        <f t="shared" ca="1" si="24"/>
        <v>43.46</v>
      </c>
      <c r="K117" s="4">
        <f t="shared" ca="1" si="25"/>
        <v>-1.851851851851849E-2</v>
      </c>
      <c r="L117" s="10">
        <f t="shared" ca="1" si="26"/>
        <v>106.93494821516715</v>
      </c>
    </row>
    <row r="118" spans="1:12" x14ac:dyDescent="0.2">
      <c r="A118" s="5">
        <f t="shared" si="22"/>
        <v>44854</v>
      </c>
      <c r="B118" s="3" t="str">
        <f t="shared" ca="1" si="27"/>
        <v>GOLDBEES</v>
      </c>
      <c r="C118" s="3">
        <f t="shared" ca="1" si="28"/>
        <v>-5.1535482232428209E-2</v>
      </c>
      <c r="D118" s="3">
        <f t="shared" ca="1" si="28"/>
        <v>1.2944222169922304E-2</v>
      </c>
      <c r="E118" s="3">
        <f t="shared" ca="1" si="28"/>
        <v>-1.542892408969343E-2</v>
      </c>
      <c r="F118" s="3">
        <f t="shared" ca="1" si="28"/>
        <v>-3.292181069958855E-2</v>
      </c>
      <c r="G118" s="3"/>
      <c r="I118" s="2" vm="93">
        <f t="shared" ca="1" si="23"/>
        <v>44.28</v>
      </c>
      <c r="J118" s="2" t="str">
        <f t="shared" ca="1" si="24"/>
        <v/>
      </c>
      <c r="K118" s="4" t="str">
        <f t="shared" ca="1" si="25"/>
        <v/>
      </c>
      <c r="L118" s="10">
        <f t="shared" ca="1" si="26"/>
        <v>108.95258874752879</v>
      </c>
    </row>
    <row r="119" spans="1:12" x14ac:dyDescent="0.2">
      <c r="A119" s="5">
        <f t="shared" si="22"/>
        <v>44847</v>
      </c>
      <c r="B119" s="3" t="str">
        <f t="shared" ca="1" si="27"/>
        <v>GOLDBEES</v>
      </c>
      <c r="C119" s="3">
        <f t="shared" ca="1" si="28"/>
        <v>-7.6740173386078636E-2</v>
      </c>
      <c r="D119" s="3">
        <f t="shared" ca="1" si="28"/>
        <v>4.3678160919540243E-3</v>
      </c>
      <c r="E119" s="3">
        <f t="shared" ca="1" si="28"/>
        <v>-5.443005839045445E-2</v>
      </c>
      <c r="F119" s="3">
        <f t="shared" ca="1" si="28"/>
        <v>-5.2117263843648121E-2</v>
      </c>
      <c r="G119" s="3"/>
      <c r="I119" s="2" vm="93">
        <f t="shared" ca="1" si="23"/>
        <v>44.28</v>
      </c>
      <c r="J119" s="2" t="str">
        <f t="shared" ca="1" si="24"/>
        <v/>
      </c>
      <c r="K119" s="4" t="str">
        <f t="shared" ca="1" si="25"/>
        <v/>
      </c>
      <c r="L119" s="10">
        <f t="shared" ca="1" si="26"/>
        <v>108.95258874752879</v>
      </c>
    </row>
    <row r="120" spans="1:12" x14ac:dyDescent="0.2">
      <c r="A120" s="5">
        <f t="shared" si="22"/>
        <v>44840</v>
      </c>
      <c r="B120" s="3" t="str">
        <f t="shared" ca="1" si="27"/>
        <v>GOLDBEES</v>
      </c>
      <c r="C120" s="3">
        <f t="shared" ca="1" si="28"/>
        <v>-2.6518005122796451E-2</v>
      </c>
      <c r="D120" s="3">
        <f t="shared" ca="1" si="28"/>
        <v>1.7931034482758568E-2</v>
      </c>
      <c r="E120" s="3">
        <f t="shared" ca="1" si="28"/>
        <v>-1.8391521197007488E-2</v>
      </c>
      <c r="F120" s="3">
        <f t="shared" ca="1" si="28"/>
        <v>-3.3277870216305017E-3</v>
      </c>
      <c r="G120" s="3"/>
      <c r="I120" s="2" vm="93">
        <f t="shared" ca="1" si="23"/>
        <v>44.28</v>
      </c>
      <c r="J120" s="2" vm="94">
        <f t="shared" ca="1" si="24"/>
        <v>11.98</v>
      </c>
      <c r="K120" s="4">
        <f t="shared" ca="1" si="25"/>
        <v>-9.917355371900749E-3</v>
      </c>
      <c r="L120" s="10">
        <f t="shared" ca="1" si="26"/>
        <v>108.95258874752879</v>
      </c>
    </row>
    <row r="121" spans="1:12" x14ac:dyDescent="0.2">
      <c r="A121" s="5">
        <f t="shared" si="22"/>
        <v>44833</v>
      </c>
      <c r="B121" s="3" t="str">
        <f t="shared" ca="1" si="27"/>
        <v>MIDCAPETF</v>
      </c>
      <c r="C121" s="3">
        <f t="shared" ca="1" si="28"/>
        <v>-1.8545912171858858E-2</v>
      </c>
      <c r="D121" s="3">
        <f t="shared" ca="1" si="28"/>
        <v>-2.1664766248574718E-2</v>
      </c>
      <c r="E121" s="3">
        <f t="shared" ca="1" si="28"/>
        <v>-2.8346706081081141E-2</v>
      </c>
      <c r="F121" s="3">
        <f t="shared" ca="1" si="28"/>
        <v>-1.1996572407883543E-2</v>
      </c>
      <c r="G121" s="3"/>
      <c r="I121" s="2" vm="95">
        <f t="shared" ca="1" si="23"/>
        <v>12.1</v>
      </c>
      <c r="J121" s="2" t="str">
        <f t="shared" ca="1" si="24"/>
        <v/>
      </c>
      <c r="K121" s="4" t="str">
        <f t="shared" ca="1" si="25"/>
        <v/>
      </c>
      <c r="L121" s="10">
        <f t="shared" ca="1" si="26"/>
        <v>110.04393354299651</v>
      </c>
    </row>
    <row r="122" spans="1:12" x14ac:dyDescent="0.2">
      <c r="A122" s="5">
        <f t="shared" si="22"/>
        <v>44826</v>
      </c>
      <c r="B122" s="3" t="str">
        <f t="shared" ca="1" si="27"/>
        <v>MIDCAPETF</v>
      </c>
      <c r="C122" s="3">
        <f t="shared" ca="1" si="28"/>
        <v>4.6868361619820664E-2</v>
      </c>
      <c r="D122" s="3">
        <f t="shared" ca="1" si="28"/>
        <v>-2.2732439190725207E-2</v>
      </c>
      <c r="E122" s="3">
        <f t="shared" ca="1" si="28"/>
        <v>1.0316836868290213E-2</v>
      </c>
      <c r="F122" s="3">
        <f t="shared" ca="1" si="28"/>
        <v>4.9436253252385098E-2</v>
      </c>
      <c r="G122" s="3"/>
      <c r="I122" s="2" vm="95">
        <f t="shared" ca="1" si="23"/>
        <v>12.1</v>
      </c>
      <c r="J122" s="2" vm="96">
        <f t="shared" ca="1" si="24"/>
        <v>468.17</v>
      </c>
      <c r="K122" s="4">
        <f t="shared" ca="1" si="25"/>
        <v>1.5134760077191611E-2</v>
      </c>
      <c r="L122" s="10">
        <f t="shared" ca="1" si="26"/>
        <v>110.04393354299651</v>
      </c>
    </row>
    <row r="123" spans="1:12" x14ac:dyDescent="0.2">
      <c r="A123" s="5">
        <f>A122-14</f>
        <v>44812</v>
      </c>
      <c r="B123" s="3" t="str">
        <f t="shared" ca="1" si="27"/>
        <v>JUNIORBEES</v>
      </c>
      <c r="C123" s="3">
        <f t="shared" ca="1" si="28"/>
        <v>5.6360963473934156E-2</v>
      </c>
      <c r="D123" s="3">
        <f t="shared" ca="1" si="28"/>
        <v>-2.2859704168534223E-2</v>
      </c>
      <c r="E123" s="3">
        <f t="shared" ca="1" si="28"/>
        <v>1.6824781173017556E-2</v>
      </c>
      <c r="F123" s="3">
        <f t="shared" ca="1" si="28"/>
        <v>5.2997393570807905E-2</v>
      </c>
      <c r="G123" s="3"/>
      <c r="I123" s="2" vm="97">
        <f t="shared" ca="1" si="23"/>
        <v>461.19</v>
      </c>
      <c r="J123" s="2" t="str">
        <f t="shared" ca="1" si="24"/>
        <v/>
      </c>
      <c r="K123" s="4" t="str">
        <f t="shared" ca="1" si="25"/>
        <v/>
      </c>
      <c r="L123" s="10">
        <f t="shared" ca="1" si="26"/>
        <v>108.4032759696148</v>
      </c>
    </row>
    <row r="124" spans="1:12" x14ac:dyDescent="0.2">
      <c r="A124" s="5">
        <f t="shared" si="22"/>
        <v>44805</v>
      </c>
      <c r="B124" s="3" t="str">
        <f t="shared" ca="1" si="27"/>
        <v>JUNIORBEES</v>
      </c>
      <c r="C124" s="3">
        <f t="shared" ca="1" si="28"/>
        <v>5.4100383982446543E-2</v>
      </c>
      <c r="D124" s="3">
        <f t="shared" ca="1" si="28"/>
        <v>-1.9674355495250984E-2</v>
      </c>
      <c r="E124" s="3">
        <f t="shared" ca="1" si="28"/>
        <v>1.6911413879022508E-2</v>
      </c>
      <c r="F124" s="3">
        <f t="shared" ca="1" si="28"/>
        <v>4.6532045654082532E-2</v>
      </c>
      <c r="G124" s="3"/>
      <c r="I124" s="2" vm="97">
        <f t="shared" ca="1" si="23"/>
        <v>461.19</v>
      </c>
      <c r="J124" s="2" vm="98">
        <f t="shared" ca="1" si="24"/>
        <v>11.92</v>
      </c>
      <c r="K124" s="4">
        <f t="shared" ca="1" si="25"/>
        <v>1.5332197614991383E-2</v>
      </c>
      <c r="L124" s="10">
        <f t="shared" ca="1" si="26"/>
        <v>108.4032759696148</v>
      </c>
    </row>
    <row r="125" spans="1:12" x14ac:dyDescent="0.2">
      <c r="A125" s="5">
        <f t="shared" si="22"/>
        <v>44798</v>
      </c>
      <c r="B125" s="3" t="str">
        <f t="shared" ca="1" si="27"/>
        <v>MIDCAPETF</v>
      </c>
      <c r="C125" s="3">
        <f t="shared" ca="1" si="28"/>
        <v>6.6169529922597725E-2</v>
      </c>
      <c r="D125" s="3">
        <f t="shared" ca="1" si="28"/>
        <v>2.3853211009174258E-2</v>
      </c>
      <c r="E125" s="3">
        <f t="shared" ca="1" si="28"/>
        <v>5.6872037914691864E-2</v>
      </c>
      <c r="F125" s="3">
        <f t="shared" ca="1" si="28"/>
        <v>6.7272727272727373E-2</v>
      </c>
      <c r="G125" s="3"/>
      <c r="I125" s="2" vm="99">
        <f t="shared" ca="1" si="23"/>
        <v>11.74</v>
      </c>
      <c r="J125" s="2" vm="100">
        <f t="shared" ca="1" si="24"/>
        <v>451.8</v>
      </c>
      <c r="K125" s="4">
        <f t="shared" ca="1" si="25"/>
        <v>-1.961635274715734E-2</v>
      </c>
      <c r="L125" s="10">
        <f t="shared" ca="1" si="26"/>
        <v>106.76631374859713</v>
      </c>
    </row>
    <row r="126" spans="1:12" x14ac:dyDescent="0.2">
      <c r="A126" s="5">
        <f t="shared" si="22"/>
        <v>44791</v>
      </c>
      <c r="B126" s="3" t="str">
        <f t="shared" ca="1" si="27"/>
        <v>JUNIORBEES</v>
      </c>
      <c r="C126" s="3">
        <f t="shared" ca="1" si="28"/>
        <v>0.10776183264825367</v>
      </c>
      <c r="D126" s="3">
        <f t="shared" ca="1" si="28"/>
        <v>2.2962112514351318E-2</v>
      </c>
      <c r="E126" s="3">
        <f t="shared" ca="1" si="28"/>
        <v>0.10327526918090091</v>
      </c>
      <c r="F126" s="3">
        <f t="shared" ca="1" si="28"/>
        <v>0.10727611940298498</v>
      </c>
      <c r="G126" s="3"/>
      <c r="I126" s="2" vm="101">
        <f t="shared" ca="1" si="23"/>
        <v>460.84</v>
      </c>
      <c r="J126" s="2" vm="74">
        <f t="shared" ca="1" si="24"/>
        <v>11.87</v>
      </c>
      <c r="K126" s="4">
        <f t="shared" ca="1" si="25"/>
        <v>4.3057996485061478E-2</v>
      </c>
      <c r="L126" s="10">
        <f t="shared" ca="1" si="26"/>
        <v>108.9025852764575</v>
      </c>
    </row>
    <row r="127" spans="1:12" x14ac:dyDescent="0.2">
      <c r="A127" s="5">
        <f t="shared" si="22"/>
        <v>44784</v>
      </c>
      <c r="B127" s="3" t="str">
        <f t="shared" ca="1" si="27"/>
        <v>MIDCAPETF</v>
      </c>
      <c r="C127" s="3">
        <f t="shared" ca="1" si="28"/>
        <v>8.1932466013740601E-2</v>
      </c>
      <c r="D127" s="3">
        <f t="shared" ca="1" si="28"/>
        <v>3.0991735537190035E-2</v>
      </c>
      <c r="E127" s="3">
        <f t="shared" ca="1" si="28"/>
        <v>9.1414628610338777E-2</v>
      </c>
      <c r="F127" s="3">
        <f t="shared" ca="1" si="28"/>
        <v>9.3484419263456076E-2</v>
      </c>
      <c r="G127" s="3"/>
      <c r="I127" s="2" vm="102">
        <f t="shared" ca="1" si="23"/>
        <v>11.38</v>
      </c>
      <c r="J127" s="2" t="str">
        <f t="shared" ca="1" si="24"/>
        <v/>
      </c>
      <c r="K127" s="4" t="str">
        <f t="shared" ca="1" si="25"/>
        <v/>
      </c>
      <c r="L127" s="10">
        <f t="shared" ca="1" si="26"/>
        <v>104.40702783876044</v>
      </c>
    </row>
    <row r="128" spans="1:12" x14ac:dyDescent="0.2">
      <c r="A128" s="5">
        <f t="shared" si="22"/>
        <v>44777</v>
      </c>
      <c r="B128" s="3" t="str">
        <f t="shared" ca="1" si="27"/>
        <v>MIDCAPETF</v>
      </c>
      <c r="C128" s="3">
        <f t="shared" ca="1" si="28"/>
        <v>0.12069580277098613</v>
      </c>
      <c r="D128" s="3">
        <f t="shared" ca="1" si="28"/>
        <v>-4.4762757385863328E-4</v>
      </c>
      <c r="E128" s="3">
        <f t="shared" ca="1" si="28"/>
        <v>9.5811851937670056E-2</v>
      </c>
      <c r="F128" s="3">
        <f t="shared" ca="1" si="28"/>
        <v>0.12623274161735698</v>
      </c>
      <c r="G128" s="3"/>
      <c r="I128" s="2" vm="102">
        <f t="shared" ca="1" si="23"/>
        <v>11.38</v>
      </c>
      <c r="J128" s="2" t="str">
        <f t="shared" ca="1" si="24"/>
        <v/>
      </c>
      <c r="K128" s="4" t="str">
        <f t="shared" ca="1" si="25"/>
        <v/>
      </c>
      <c r="L128" s="10">
        <f t="shared" ca="1" si="26"/>
        <v>104.40702783876044</v>
      </c>
    </row>
    <row r="129" spans="1:12" x14ac:dyDescent="0.2">
      <c r="A129" s="5">
        <f t="shared" si="22"/>
        <v>44770</v>
      </c>
      <c r="B129" s="3" t="str">
        <f t="shared" ca="1" si="27"/>
        <v>MIDCAPETF</v>
      </c>
      <c r="C129" s="3">
        <f t="shared" ca="1" si="28"/>
        <v>9.0666939862718898E-2</v>
      </c>
      <c r="D129" s="3">
        <f t="shared" ca="1" si="28"/>
        <v>5.0228310502284934E-3</v>
      </c>
      <c r="E129" s="3">
        <f t="shared" ca="1" si="28"/>
        <v>6.6782507964089133E-2</v>
      </c>
      <c r="F129" s="3">
        <f t="shared" ca="1" si="28"/>
        <v>0.12339585389930896</v>
      </c>
      <c r="G129" s="3"/>
      <c r="I129" s="2" vm="102">
        <f t="shared" ca="1" si="23"/>
        <v>11.38</v>
      </c>
      <c r="J129" s="2" vm="103">
        <f t="shared" ca="1" si="24"/>
        <v>425.84</v>
      </c>
      <c r="K129" s="4">
        <f t="shared" ca="1" si="25"/>
        <v>5.2964739627120228E-2</v>
      </c>
      <c r="L129" s="10">
        <f t="shared" ca="1" si="26"/>
        <v>104.40702783876044</v>
      </c>
    </row>
    <row r="130" spans="1:12" x14ac:dyDescent="0.2">
      <c r="A130" s="5">
        <f t="shared" si="22"/>
        <v>44763</v>
      </c>
      <c r="B130" s="3" t="str">
        <f t="shared" ca="1" si="27"/>
        <v>JUNIORBEES</v>
      </c>
      <c r="C130" s="3">
        <f t="shared" ca="1" si="28"/>
        <v>0.11080629147724297</v>
      </c>
      <c r="D130" s="3">
        <f t="shared" ca="1" si="28"/>
        <v>-1.7131110095934265E-2</v>
      </c>
      <c r="E130" s="3">
        <f t="shared" ca="1" si="28"/>
        <v>6.0378245037002287E-2</v>
      </c>
      <c r="F130" s="3">
        <f t="shared" ca="1" si="28"/>
        <v>0.10840932117527857</v>
      </c>
      <c r="G130" s="3"/>
      <c r="I130" s="2" vm="104">
        <f t="shared" ca="1" si="23"/>
        <v>404.42</v>
      </c>
      <c r="J130" s="2" t="str">
        <f t="shared" ca="1" si="24"/>
        <v/>
      </c>
      <c r="K130" s="4" t="str">
        <f t="shared" ca="1" si="25"/>
        <v/>
      </c>
      <c r="L130" s="10">
        <f t="shared" ca="1" si="26"/>
        <v>99.155293534077359</v>
      </c>
    </row>
    <row r="131" spans="1:12" x14ac:dyDescent="0.2">
      <c r="A131" s="5">
        <f t="shared" ref="A131:A176" si="29">A130-7</f>
        <v>44756</v>
      </c>
      <c r="B131" s="3" t="str">
        <f t="shared" ca="1" si="27"/>
        <v>JUNIORBEES</v>
      </c>
      <c r="C131" s="3">
        <f t="shared" ca="1" si="28"/>
        <v>4.6034429757147111E-2</v>
      </c>
      <c r="D131" s="3">
        <f t="shared" ca="1" si="28"/>
        <v>-6.1969244893276265E-3</v>
      </c>
      <c r="E131" s="3">
        <f t="shared" ca="1" si="28"/>
        <v>1.5353181552831163E-2</v>
      </c>
      <c r="F131" s="3">
        <f t="shared" ca="1" si="28"/>
        <v>4.5680238331678114E-2</v>
      </c>
      <c r="G131" s="3"/>
      <c r="I131" s="2" vm="104">
        <f t="shared" ca="1" si="23"/>
        <v>404.42</v>
      </c>
      <c r="J131" s="2" t="str">
        <f t="shared" ca="1" si="24"/>
        <v/>
      </c>
      <c r="K131" s="4" t="str">
        <f t="shared" ca="1" si="25"/>
        <v/>
      </c>
      <c r="L131" s="10">
        <f t="shared" ca="1" si="26"/>
        <v>99.155293534077359</v>
      </c>
    </row>
    <row r="132" spans="1:12" x14ac:dyDescent="0.2">
      <c r="A132" s="5">
        <f t="shared" si="29"/>
        <v>44749</v>
      </c>
      <c r="B132" s="3" t="str">
        <f t="shared" ca="1" si="27"/>
        <v>JUNIORBEES</v>
      </c>
      <c r="C132" s="3">
        <f t="shared" ca="1" si="28"/>
        <v>1.2619560318493761E-2</v>
      </c>
      <c r="D132" s="3">
        <f t="shared" ca="1" si="28"/>
        <v>-6.155950752393835E-3</v>
      </c>
      <c r="E132" s="3">
        <f t="shared" ca="1" si="28"/>
        <v>-1.6913082437276072E-2</v>
      </c>
      <c r="F132" s="3">
        <f t="shared" ca="1" si="28"/>
        <v>-9.5693779904304499E-4</v>
      </c>
      <c r="G132" s="3"/>
      <c r="I132" s="2" vm="104">
        <f t="shared" ca="1" si="23"/>
        <v>404.42</v>
      </c>
      <c r="J132" s="2" vm="105">
        <f t="shared" ca="1" si="24"/>
        <v>43.59</v>
      </c>
      <c r="K132" s="4">
        <f t="shared" ca="1" si="25"/>
        <v>-2.973467520585471E-3</v>
      </c>
      <c r="L132" s="10">
        <f t="shared" ca="1" si="26"/>
        <v>99.155293534077359</v>
      </c>
    </row>
    <row r="133" spans="1:12" x14ac:dyDescent="0.2">
      <c r="A133" s="5">
        <f t="shared" si="29"/>
        <v>44742</v>
      </c>
      <c r="B133" s="3" t="str">
        <f t="shared" ca="1" si="27"/>
        <v>GOLDBEES</v>
      </c>
      <c r="C133" s="3">
        <f t="shared" ca="1" si="28"/>
        <v>-6.1037094770684641E-2</v>
      </c>
      <c r="D133" s="3">
        <f t="shared" ca="1" si="28"/>
        <v>-5.0022737608003132E-3</v>
      </c>
      <c r="E133" s="3">
        <f t="shared" ca="1" si="28"/>
        <v>-4.8938646566535571E-2</v>
      </c>
      <c r="F133" s="3">
        <f t="shared" ca="1" si="28"/>
        <v>-5.0141911069063516E-2</v>
      </c>
      <c r="G133" s="3"/>
      <c r="I133" s="2" vm="106">
        <f t="shared" ca="1" si="23"/>
        <v>43.72</v>
      </c>
      <c r="J133" s="2" t="str">
        <f t="shared" ca="1" si="24"/>
        <v/>
      </c>
      <c r="K133" s="4" t="str">
        <f t="shared" ca="1" si="25"/>
        <v/>
      </c>
      <c r="L133" s="10">
        <f t="shared" ca="1" si="26"/>
        <v>99.451007875885793</v>
      </c>
    </row>
    <row r="134" spans="1:12" x14ac:dyDescent="0.2">
      <c r="A134" s="5">
        <f t="shared" si="29"/>
        <v>44735</v>
      </c>
      <c r="B134" s="3" t="str">
        <f t="shared" ca="1" si="27"/>
        <v>GOLDBEES</v>
      </c>
      <c r="C134" s="3">
        <f t="shared" ca="1" si="28"/>
        <v>-5.7802752747796782E-2</v>
      </c>
      <c r="D134" s="3">
        <f t="shared" ca="1" si="28"/>
        <v>-1.10734463276837E-2</v>
      </c>
      <c r="E134" s="3">
        <f t="shared" ca="1" si="28"/>
        <v>-3.3156725346094595E-2</v>
      </c>
      <c r="F134" s="3">
        <f t="shared" ca="1" si="28"/>
        <v>-5.4755043227665778E-2</v>
      </c>
      <c r="G134" s="3"/>
      <c r="I134" s="2" vm="106">
        <f t="shared" ca="1" si="23"/>
        <v>43.72</v>
      </c>
      <c r="J134" s="2" t="str">
        <f t="shared" ca="1" si="24"/>
        <v/>
      </c>
      <c r="K134" s="4" t="str">
        <f t="shared" ca="1" si="25"/>
        <v/>
      </c>
      <c r="L134" s="10">
        <f t="shared" ca="1" si="26"/>
        <v>99.451007875885793</v>
      </c>
    </row>
    <row r="135" spans="1:12" x14ac:dyDescent="0.2">
      <c r="A135" s="5">
        <f t="shared" si="29"/>
        <v>44728</v>
      </c>
      <c r="B135" s="3" t="str">
        <f t="shared" ca="1" si="27"/>
        <v>GOLDBEES</v>
      </c>
      <c r="C135" s="3">
        <f t="shared" ca="1" si="28"/>
        <v>-4.5343564701778805E-2</v>
      </c>
      <c r="D135" s="3">
        <f t="shared" ca="1" si="28"/>
        <v>1.3444598980064892E-2</v>
      </c>
      <c r="E135" s="3">
        <f t="shared" ca="1" si="28"/>
        <v>-2.6549700807529164E-2</v>
      </c>
      <c r="F135" s="3">
        <f t="shared" ca="1" si="28"/>
        <v>-3.8910505836575737E-2</v>
      </c>
      <c r="G135" s="3"/>
      <c r="I135" s="2" vm="106">
        <f t="shared" ca="1" si="23"/>
        <v>43.72</v>
      </c>
      <c r="J135" s="2" vm="107">
        <f t="shared" ca="1" si="24"/>
        <v>167.56</v>
      </c>
      <c r="K135" s="4">
        <f t="shared" ca="1" si="25"/>
        <v>-6.5997770345596396E-2</v>
      </c>
      <c r="L135" s="10">
        <f t="shared" ca="1" si="26"/>
        <v>99.451007875885793</v>
      </c>
    </row>
    <row r="136" spans="1:12" x14ac:dyDescent="0.2">
      <c r="A136" s="5">
        <f t="shared" si="29"/>
        <v>44721</v>
      </c>
      <c r="B136" s="3" t="str">
        <f t="shared" ca="1" si="27"/>
        <v>NIFTYBEES</v>
      </c>
      <c r="C136" s="3">
        <f t="shared" ca="1" si="28"/>
        <v>-4.1581084308574101E-2</v>
      </c>
      <c r="D136" s="3">
        <f t="shared" ca="1" si="28"/>
        <v>-1.0580819450697887E-2</v>
      </c>
      <c r="E136" s="3">
        <f t="shared" ca="1" si="28"/>
        <v>1.3845719129697676E-2</v>
      </c>
      <c r="F136" s="3">
        <f t="shared" ca="1" si="28"/>
        <v>-8.5388994307400434E-3</v>
      </c>
      <c r="G136" s="3"/>
      <c r="I136" s="2" vm="108">
        <f t="shared" ca="1" si="23"/>
        <v>179.4</v>
      </c>
      <c r="J136" s="2" vm="109">
        <f t="shared" ca="1" si="24"/>
        <v>43.95</v>
      </c>
      <c r="K136" s="4">
        <f t="shared" ca="1" si="25"/>
        <v>-1.3246519982038518E-2</v>
      </c>
      <c r="L136" s="10">
        <f t="shared" ca="1" si="26"/>
        <v>106.47834097000424</v>
      </c>
    </row>
    <row r="137" spans="1:12" x14ac:dyDescent="0.2">
      <c r="A137" s="5">
        <f t="shared" si="29"/>
        <v>44714</v>
      </c>
      <c r="B137" s="3" t="str">
        <f t="shared" ca="1" si="27"/>
        <v>GOLDBEES</v>
      </c>
      <c r="C137" s="3">
        <f t="shared" ca="1" si="28"/>
        <v>-8.2506328546786412E-2</v>
      </c>
      <c r="D137" s="3">
        <f t="shared" ca="1" si="28"/>
        <v>-4.0760869565217295E-3</v>
      </c>
      <c r="E137" s="3">
        <f t="shared" ca="1" si="28"/>
        <v>-2.3984442523768301E-2</v>
      </c>
      <c r="F137" s="3">
        <f t="shared" ca="1" si="28"/>
        <v>-3.9603960396039528E-2</v>
      </c>
      <c r="G137" s="3"/>
      <c r="I137" s="2" vm="110">
        <f t="shared" ca="1" si="23"/>
        <v>44.54</v>
      </c>
      <c r="J137" s="2" t="str">
        <f t="shared" ca="1" si="24"/>
        <v/>
      </c>
      <c r="K137" s="4" t="str">
        <f t="shared" ca="1" si="25"/>
        <v/>
      </c>
      <c r="L137" s="10">
        <f t="shared" ca="1" si="26"/>
        <v>107.90774304445935</v>
      </c>
    </row>
    <row r="138" spans="1:12" x14ac:dyDescent="0.2">
      <c r="A138" s="5">
        <f t="shared" si="29"/>
        <v>44707</v>
      </c>
      <c r="B138" s="3" t="str">
        <f t="shared" ca="1" si="27"/>
        <v>GOLDBEES</v>
      </c>
      <c r="C138" s="3">
        <f t="shared" ref="C138:F174" ca="1" si="30">IFERROR(INDEX(_xlfn.STOCKHISTORY(C$1,$A138),2,2),0)/IFERROR(INDEX(_xlfn.STOCKHISTORY(C$1,EDATE($A138,-1)),2,2),0)-1</f>
        <v>-0.12290367366727639</v>
      </c>
      <c r="D138" s="3">
        <f t="shared" ca="1" si="30"/>
        <v>-1.7249103942652444E-2</v>
      </c>
      <c r="E138" s="3">
        <f t="shared" ca="1" si="30"/>
        <v>-5.6633173929396707E-2</v>
      </c>
      <c r="F138" s="3">
        <f t="shared" ca="1" si="30"/>
        <v>-9.5829636202307E-2</v>
      </c>
      <c r="G138" s="3"/>
      <c r="I138" s="2" vm="110">
        <f t="shared" ca="1" si="23"/>
        <v>44.54</v>
      </c>
      <c r="J138" s="2" t="str">
        <f t="shared" ca="1" si="24"/>
        <v/>
      </c>
      <c r="K138" s="4" t="str">
        <f t="shared" ca="1" si="25"/>
        <v/>
      </c>
      <c r="L138" s="10">
        <f t="shared" ca="1" si="26"/>
        <v>107.90774304445935</v>
      </c>
    </row>
    <row r="139" spans="1:12" x14ac:dyDescent="0.2">
      <c r="A139" s="5">
        <f t="shared" si="29"/>
        <v>44700</v>
      </c>
      <c r="B139" s="3" t="str">
        <f t="shared" ref="B139:B177" ca="1" si="31">INDEX($C$1:$G$1, 1, MATCH(MAX(C139:G139), C139:G139, 0))</f>
        <v>GOLDBEES</v>
      </c>
      <c r="C139" s="3">
        <f t="shared" ca="1" si="30"/>
        <v>-0.10610481302478891</v>
      </c>
      <c r="D139" s="3">
        <f t="shared" ca="1" si="30"/>
        <v>-5.1979121357111691E-2</v>
      </c>
      <c r="E139" s="3">
        <f t="shared" ca="1" si="30"/>
        <v>-6.5222125435540179E-2</v>
      </c>
      <c r="F139" s="3">
        <f t="shared" ca="1" si="30"/>
        <v>-9.300265721877754E-2</v>
      </c>
      <c r="G139" s="3"/>
      <c r="I139" s="2" vm="110">
        <f t="shared" ca="1" si="23"/>
        <v>44.54</v>
      </c>
      <c r="J139" s="2" t="str">
        <f t="shared" ca="1" si="24"/>
        <v/>
      </c>
      <c r="K139" s="4" t="str">
        <f t="shared" ca="1" si="25"/>
        <v/>
      </c>
      <c r="L139" s="10">
        <f t="shared" ca="1" si="26"/>
        <v>107.90774304445935</v>
      </c>
    </row>
    <row r="140" spans="1:12" x14ac:dyDescent="0.2">
      <c r="A140" s="5">
        <f t="shared" si="29"/>
        <v>44693</v>
      </c>
      <c r="B140" s="3" t="str">
        <f t="shared" ca="1" si="31"/>
        <v>GOLDBEES</v>
      </c>
      <c r="C140" s="3">
        <f t="shared" ca="1" si="30"/>
        <v>-0.12652398912376117</v>
      </c>
      <c r="D140" s="3">
        <f t="shared" ca="1" si="30"/>
        <v>-2.6106194690265427E-2</v>
      </c>
      <c r="E140" s="3">
        <f t="shared" ca="1" si="30"/>
        <v>-9.8203970171200416E-2</v>
      </c>
      <c r="F140" s="3">
        <f t="shared" ca="1" si="30"/>
        <v>-0.12836079791847343</v>
      </c>
      <c r="G140" s="3"/>
      <c r="I140" s="2" vm="110">
        <f t="shared" ca="1" si="23"/>
        <v>44.54</v>
      </c>
      <c r="J140" s="2" t="str">
        <f t="shared" ca="1" si="24"/>
        <v/>
      </c>
      <c r="K140" s="4" t="str">
        <f t="shared" ca="1" si="25"/>
        <v/>
      </c>
      <c r="L140" s="10">
        <f t="shared" ca="1" si="26"/>
        <v>107.90774304445935</v>
      </c>
    </row>
    <row r="141" spans="1:12" x14ac:dyDescent="0.2">
      <c r="A141" s="5">
        <f t="shared" si="29"/>
        <v>44686</v>
      </c>
      <c r="B141" s="3" t="str">
        <f t="shared" ca="1" si="31"/>
        <v>GOLDBEES</v>
      </c>
      <c r="C141" s="3">
        <f t="shared" ca="1" si="30"/>
        <v>-3.5014626362911083E-2</v>
      </c>
      <c r="D141" s="3">
        <f t="shared" ca="1" si="30"/>
        <v>5.1907018731662813E-3</v>
      </c>
      <c r="E141" s="3">
        <f t="shared" ca="1" si="30"/>
        <v>-6.9596504754561916E-2</v>
      </c>
      <c r="F141" s="3">
        <f t="shared" ca="1" si="30"/>
        <v>-5.7908383751080428E-2</v>
      </c>
      <c r="G141" s="3"/>
      <c r="I141" s="2" vm="110">
        <f t="shared" ca="1" si="23"/>
        <v>44.54</v>
      </c>
      <c r="J141" s="2" vm="111">
        <f t="shared" ca="1" si="24"/>
        <v>435.44</v>
      </c>
      <c r="K141" s="4">
        <f t="shared" ca="1" si="25"/>
        <v>-3.4907688556927274E-2</v>
      </c>
      <c r="L141" s="10">
        <f t="shared" ca="1" si="26"/>
        <v>107.90774304445935</v>
      </c>
    </row>
    <row r="142" spans="1:12" x14ac:dyDescent="0.2">
      <c r="A142" s="5">
        <f t="shared" si="29"/>
        <v>44679</v>
      </c>
      <c r="B142" s="3" t="str">
        <f t="shared" ca="1" si="31"/>
        <v>JUNIORBEES</v>
      </c>
      <c r="C142" s="3">
        <f t="shared" ca="1" si="30"/>
        <v>5.9050154104791419E-2</v>
      </c>
      <c r="D142" s="3">
        <f t="shared" ca="1" si="30"/>
        <v>-3.5963137783772137E-3</v>
      </c>
      <c r="E142" s="3">
        <f t="shared" ca="1" si="30"/>
        <v>4.8303993130094369E-4</v>
      </c>
      <c r="F142" s="3">
        <f t="shared" ca="1" si="30"/>
        <v>3.1164069660861493E-2</v>
      </c>
      <c r="G142" s="3"/>
      <c r="I142" s="2" vm="112">
        <f t="shared" ca="1" si="23"/>
        <v>451.19</v>
      </c>
      <c r="J142" s="2" t="str">
        <f t="shared" ca="1" si="24"/>
        <v/>
      </c>
      <c r="K142" s="4" t="str">
        <f t="shared" ca="1" si="25"/>
        <v/>
      </c>
      <c r="L142" s="10">
        <f t="shared" ca="1" si="26"/>
        <v>111.81079961471067</v>
      </c>
    </row>
    <row r="143" spans="1:12" x14ac:dyDescent="0.2">
      <c r="A143" s="5">
        <f t="shared" si="29"/>
        <v>44672</v>
      </c>
      <c r="B143" s="3" t="str">
        <f t="shared" ca="1" si="31"/>
        <v>JUNIORBEES</v>
      </c>
      <c r="C143" s="3">
        <f t="shared" ca="1" si="30"/>
        <v>6.4828457166912212E-2</v>
      </c>
      <c r="D143" s="3">
        <f t="shared" ca="1" si="30"/>
        <v>2.424105120072495E-2</v>
      </c>
      <c r="E143" s="3">
        <f t="shared" ca="1" si="30"/>
        <v>1.4672564462185678E-2</v>
      </c>
      <c r="F143" s="3">
        <f t="shared" ca="1" si="30"/>
        <v>5.2486187845303789E-2</v>
      </c>
      <c r="G143" s="3"/>
      <c r="I143" s="2" vm="112">
        <f t="shared" ca="1" si="23"/>
        <v>451.19</v>
      </c>
      <c r="J143" s="2" t="str">
        <f t="shared" ca="1" si="24"/>
        <v/>
      </c>
      <c r="K143" s="4" t="str">
        <f t="shared" ca="1" si="25"/>
        <v/>
      </c>
      <c r="L143" s="10">
        <f t="shared" ca="1" si="26"/>
        <v>111.81079961471067</v>
      </c>
    </row>
    <row r="144" spans="1:12" x14ac:dyDescent="0.2">
      <c r="A144" s="5">
        <f>A143-14</f>
        <v>44658</v>
      </c>
      <c r="B144" s="3" t="str">
        <f t="shared" ca="1" si="31"/>
        <v>JUNIORBEES</v>
      </c>
      <c r="C144" s="3">
        <f t="shared" ca="1" si="30"/>
        <v>0.11688986805950918</v>
      </c>
      <c r="D144" s="3">
        <f t="shared" ca="1" si="30"/>
        <v>-2.9565217391304355E-2</v>
      </c>
      <c r="E144" s="3">
        <f t="shared" ca="1" si="30"/>
        <v>0.10984738582951303</v>
      </c>
      <c r="F144" s="3"/>
      <c r="G144" s="3"/>
      <c r="I144" s="2" vm="112">
        <f t="shared" ca="1" si="23"/>
        <v>451.19</v>
      </c>
      <c r="J144" s="2" vm="113">
        <f t="shared" ca="1" si="24"/>
        <v>191.26</v>
      </c>
      <c r="K144" s="4">
        <f t="shared" ca="1" si="25"/>
        <v>1.2654206597130235E-2</v>
      </c>
      <c r="L144" s="10">
        <f t="shared" ca="1" si="26"/>
        <v>111.81079961471067</v>
      </c>
    </row>
    <row r="145" spans="1:12" x14ac:dyDescent="0.2">
      <c r="A145" s="5">
        <f t="shared" si="29"/>
        <v>44651</v>
      </c>
      <c r="B145" s="3" t="str">
        <f t="shared" ca="1" si="31"/>
        <v>NIFTYBEES</v>
      </c>
      <c r="C145" s="3">
        <f t="shared" ca="1" si="30"/>
        <v>3.1359133347587553E-2</v>
      </c>
      <c r="D145" s="3">
        <f t="shared" ca="1" si="30"/>
        <v>1.2158752007340956E-2</v>
      </c>
      <c r="E145" s="3">
        <f t="shared" ca="1" si="30"/>
        <v>3.8660360756709311E-2</v>
      </c>
      <c r="F145" s="3"/>
      <c r="G145" s="3"/>
      <c r="I145" s="2" vm="114">
        <f t="shared" ca="1" si="23"/>
        <v>188.87</v>
      </c>
      <c r="J145" s="2" vm="115">
        <f t="shared" ca="1" si="24"/>
        <v>434.13</v>
      </c>
      <c r="K145" s="4">
        <f t="shared" ca="1" si="25"/>
        <v>1.0074453234062419E-2</v>
      </c>
      <c r="L145" s="10">
        <f t="shared" ca="1" si="26"/>
        <v>110.41360307032525</v>
      </c>
    </row>
    <row r="146" spans="1:12" x14ac:dyDescent="0.2">
      <c r="A146" s="5">
        <f t="shared" si="29"/>
        <v>44644</v>
      </c>
      <c r="B146" s="3" t="str">
        <f t="shared" ca="1" si="31"/>
        <v>JUNIORBEES</v>
      </c>
      <c r="C146" s="3">
        <f t="shared" ca="1" si="30"/>
        <v>6.570790974460694E-2</v>
      </c>
      <c r="D146" s="3">
        <f t="shared" ca="1" si="30"/>
        <v>-8.9645898700130289E-4</v>
      </c>
      <c r="E146" s="3">
        <f t="shared" ca="1" si="30"/>
        <v>4.3339313747476904E-2</v>
      </c>
      <c r="F146" s="3"/>
      <c r="G146" s="3"/>
      <c r="I146" s="2" vm="116">
        <f t="shared" ca="1" si="23"/>
        <v>429.8</v>
      </c>
      <c r="J146" s="2" vm="117">
        <f t="shared" ca="1" si="24"/>
        <v>44.58</v>
      </c>
      <c r="K146" s="4">
        <f t="shared" ca="1" si="25"/>
        <v>5.7149632440123277E-2</v>
      </c>
      <c r="L146" s="10">
        <f t="shared" ca="1" si="26"/>
        <v>109.31234100298479</v>
      </c>
    </row>
    <row r="147" spans="1:12" x14ac:dyDescent="0.2">
      <c r="A147" s="5">
        <f t="shared" si="29"/>
        <v>44637</v>
      </c>
      <c r="B147" s="3" t="str">
        <f t="shared" ca="1" si="31"/>
        <v>GOLDBEES</v>
      </c>
      <c r="C147" s="3">
        <f t="shared" ca="1" si="30"/>
        <v>0</v>
      </c>
      <c r="D147" s="3">
        <f t="shared" ca="1" si="30"/>
        <v>1.9359299377736727E-2</v>
      </c>
      <c r="E147" s="3">
        <f t="shared" ca="1" si="30"/>
        <v>-1.1769111432087254E-3</v>
      </c>
      <c r="F147" s="3"/>
      <c r="G147" s="3"/>
      <c r="I147" s="2" vm="118">
        <f t="shared" ca="1" si="23"/>
        <v>42.17</v>
      </c>
      <c r="J147" s="2" t="str">
        <f t="shared" ca="1" si="24"/>
        <v/>
      </c>
      <c r="K147" s="4" t="str">
        <f t="shared" ca="1" si="25"/>
        <v/>
      </c>
      <c r="L147" s="10">
        <f t="shared" ca="1" si="26"/>
        <v>103.40290309770904</v>
      </c>
    </row>
    <row r="148" spans="1:12" x14ac:dyDescent="0.2">
      <c r="A148" s="5">
        <f t="shared" si="29"/>
        <v>44630</v>
      </c>
      <c r="B148" s="3" t="str">
        <f t="shared" ca="1" si="31"/>
        <v>GOLDBEES</v>
      </c>
      <c r="C148" s="3">
        <f t="shared" ca="1" si="30"/>
        <v>-5.5777431801258937E-2</v>
      </c>
      <c r="D148" s="3">
        <f t="shared" ca="1" si="30"/>
        <v>6.2366611335072264E-2</v>
      </c>
      <c r="E148" s="3">
        <f t="shared" ca="1" si="30"/>
        <v>-5.5020777444637403E-2</v>
      </c>
      <c r="F148" s="3"/>
      <c r="G148" s="3"/>
      <c r="I148" s="2" vm="118">
        <f t="shared" ca="1" si="23"/>
        <v>42.17</v>
      </c>
      <c r="J148" s="2" t="str">
        <f t="shared" ca="1" si="24"/>
        <v/>
      </c>
      <c r="K148" s="4" t="str">
        <f t="shared" ca="1" si="25"/>
        <v/>
      </c>
      <c r="L148" s="10">
        <f t="shared" ca="1" si="26"/>
        <v>103.40290309770904</v>
      </c>
    </row>
    <row r="149" spans="1:12" x14ac:dyDescent="0.2">
      <c r="A149" s="5">
        <f t="shared" si="29"/>
        <v>44623</v>
      </c>
      <c r="B149" s="3" t="str">
        <f t="shared" ca="1" si="31"/>
        <v>GOLDBEES</v>
      </c>
      <c r="C149" s="3">
        <f t="shared" ca="1" si="30"/>
        <v>-4.6364212623381418E-2</v>
      </c>
      <c r="D149" s="3">
        <f t="shared" ca="1" si="30"/>
        <v>6.8334937439845866E-2</v>
      </c>
      <c r="E149" s="3">
        <f t="shared" ca="1" si="30"/>
        <v>-5.8681122046208012E-2</v>
      </c>
      <c r="F149" s="3"/>
      <c r="G149" s="3"/>
      <c r="I149" s="2" vm="118">
        <f t="shared" ca="1" si="23"/>
        <v>42.17</v>
      </c>
      <c r="J149" s="2" t="str">
        <f t="shared" ca="1" si="24"/>
        <v/>
      </c>
      <c r="K149" s="4" t="str">
        <f t="shared" ca="1" si="25"/>
        <v/>
      </c>
      <c r="L149" s="10">
        <f t="shared" ca="1" si="26"/>
        <v>103.40290309770904</v>
      </c>
    </row>
    <row r="150" spans="1:12" x14ac:dyDescent="0.2">
      <c r="A150" s="5">
        <f t="shared" si="29"/>
        <v>44616</v>
      </c>
      <c r="B150" s="3" t="str">
        <f t="shared" ca="1" si="31"/>
        <v>GOLDBEES</v>
      </c>
      <c r="C150" s="3">
        <f t="shared" ca="1" si="30"/>
        <v>-5.7600186937726283E-2</v>
      </c>
      <c r="D150" s="3">
        <f t="shared" ca="1" si="30"/>
        <v>6.1370123691722123E-2</v>
      </c>
      <c r="E150" s="3">
        <f t="shared" ca="1" si="30"/>
        <v>-3.9991388126379146E-2</v>
      </c>
      <c r="F150" s="3"/>
      <c r="G150" s="3"/>
      <c r="I150" s="2" vm="118">
        <f t="shared" ca="1" si="23"/>
        <v>42.17</v>
      </c>
      <c r="J150" s="2" t="str">
        <f t="shared" ca="1" si="24"/>
        <v/>
      </c>
      <c r="K150" s="4" t="str">
        <f t="shared" ca="1" si="25"/>
        <v/>
      </c>
      <c r="L150" s="10">
        <f t="shared" ca="1" si="26"/>
        <v>103.40290309770904</v>
      </c>
    </row>
    <row r="151" spans="1:12" x14ac:dyDescent="0.2">
      <c r="A151" s="5">
        <f t="shared" si="29"/>
        <v>44609</v>
      </c>
      <c r="B151" s="3" t="str">
        <f t="shared" ca="1" si="31"/>
        <v>GOLDBEES</v>
      </c>
      <c r="C151" s="3">
        <f t="shared" ca="1" si="30"/>
        <v>-6.0600779837497565E-2</v>
      </c>
      <c r="D151" s="3">
        <f t="shared" ca="1" si="30"/>
        <v>4.4786901035396065E-2</v>
      </c>
      <c r="E151" s="3">
        <f t="shared" ca="1" si="30"/>
        <v>-5.605211331616422E-2</v>
      </c>
      <c r="F151" s="3"/>
      <c r="G151" s="3"/>
      <c r="I151" s="2" vm="118">
        <f t="shared" ref="I151:I177" ca="1" si="32">IF(B151&lt;&gt;B152,INDEX(_xlfn.STOCKHISTORY(B151,A151),2,2),I152)</f>
        <v>42.17</v>
      </c>
      <c r="J151" s="2" t="str">
        <f t="shared" ref="J151:J176" ca="1" si="33">IF(B151&lt;&gt;B152,INDEX(_xlfn.STOCKHISTORY(B152,A151),2,2),"")</f>
        <v/>
      </c>
      <c r="K151" s="4" t="str">
        <f t="shared" ref="K151:K177" ca="1" si="34">IF(ISNUMBER(J151),J151/I152-1,"")</f>
        <v/>
      </c>
      <c r="L151" s="10">
        <f t="shared" ref="L151:L176" ca="1" si="35">IF(K151&lt;&gt;"",L152*(1+K151),L152)</f>
        <v>103.40290309770904</v>
      </c>
    </row>
    <row r="152" spans="1:12" x14ac:dyDescent="0.2">
      <c r="A152" s="5">
        <f t="shared" si="29"/>
        <v>44602</v>
      </c>
      <c r="B152" s="3" t="str">
        <f t="shared" ca="1" si="31"/>
        <v>GOLDBEES</v>
      </c>
      <c r="C152" s="3">
        <f t="shared" ca="1" si="30"/>
        <v>-1.6924714963843623E-2</v>
      </c>
      <c r="D152" s="3">
        <f t="shared" ca="1" si="30"/>
        <v>2.6783540297053765E-2</v>
      </c>
      <c r="E152" s="3">
        <f t="shared" ca="1" si="30"/>
        <v>-2.1816310779521397E-2</v>
      </c>
      <c r="F152" s="3"/>
      <c r="G152" s="3"/>
      <c r="I152" s="2" vm="118">
        <f t="shared" ca="1" si="32"/>
        <v>42.17</v>
      </c>
      <c r="J152" s="2" vm="119">
        <f t="shared" ca="1" si="33"/>
        <v>190.11</v>
      </c>
      <c r="K152" s="4">
        <f t="shared" ca="1" si="34"/>
        <v>5.2628809010069055E-4</v>
      </c>
      <c r="L152" s="10">
        <f t="shared" ca="1" si="35"/>
        <v>103.40290309770904</v>
      </c>
    </row>
    <row r="153" spans="1:12" x14ac:dyDescent="0.2">
      <c r="A153" s="5">
        <f t="shared" si="29"/>
        <v>44595</v>
      </c>
      <c r="B153" s="3" t="str">
        <f t="shared" ca="1" si="31"/>
        <v>NIFTYBEES</v>
      </c>
      <c r="C153" s="3">
        <f t="shared" ca="1" si="30"/>
        <v>-1.1391866789015381E-2</v>
      </c>
      <c r="D153" s="3">
        <f t="shared" ca="1" si="30"/>
        <v>-4.0738078121254073E-3</v>
      </c>
      <c r="E153" s="3">
        <f t="shared" ca="1" si="30"/>
        <v>-3.72273489932895E-3</v>
      </c>
      <c r="F153" s="3"/>
      <c r="G153" s="3"/>
      <c r="I153" s="2" vm="120">
        <f t="shared" ca="1" si="32"/>
        <v>190.01</v>
      </c>
      <c r="J153" s="2" vm="121">
        <f t="shared" ca="1" si="33"/>
        <v>41.56</v>
      </c>
      <c r="K153" s="4">
        <f t="shared" ca="1" si="34"/>
        <v>-6.2171209947393669E-3</v>
      </c>
      <c r="L153" s="10">
        <f t="shared" ca="1" si="35"/>
        <v>103.34851200671028</v>
      </c>
    </row>
    <row r="154" spans="1:12" x14ac:dyDescent="0.2">
      <c r="A154" s="5">
        <f t="shared" si="29"/>
        <v>44588</v>
      </c>
      <c r="B154" s="3" t="str">
        <f t="shared" ca="1" si="31"/>
        <v>GOLDBEES</v>
      </c>
      <c r="C154" s="3">
        <f t="shared" ca="1" si="30"/>
        <v>-3.2362015769626384E-2</v>
      </c>
      <c r="D154" s="3">
        <f t="shared" ca="1" si="30"/>
        <v>5.5301755229621996E-3</v>
      </c>
      <c r="E154" s="3">
        <f t="shared" ca="1" si="30"/>
        <v>4.2264968843130912E-3</v>
      </c>
      <c r="F154" s="3"/>
      <c r="G154" s="3"/>
      <c r="I154" s="2" vm="122">
        <f t="shared" ca="1" si="32"/>
        <v>41.82</v>
      </c>
      <c r="J154" s="2" vm="123">
        <f t="shared" ca="1" si="33"/>
        <v>185.33</v>
      </c>
      <c r="K154" s="4">
        <f t="shared" ca="1" si="34"/>
        <v>-4.3515633394217712E-3</v>
      </c>
      <c r="L154" s="10">
        <f t="shared" ca="1" si="35"/>
        <v>103.99506188933167</v>
      </c>
    </row>
    <row r="155" spans="1:12" x14ac:dyDescent="0.2">
      <c r="A155" s="5">
        <f t="shared" si="29"/>
        <v>44581</v>
      </c>
      <c r="B155" s="3" t="str">
        <f t="shared" ca="1" si="31"/>
        <v>NIFTYBEES</v>
      </c>
      <c r="C155" s="3">
        <f t="shared" ca="1" si="30"/>
        <v>6.6933232385368857E-2</v>
      </c>
      <c r="D155" s="3">
        <f t="shared" ca="1" si="30"/>
        <v>4.53893932154803E-3</v>
      </c>
      <c r="E155" s="3">
        <f t="shared" ca="1" si="30"/>
        <v>6.8082031901294915E-2</v>
      </c>
      <c r="F155" s="3"/>
      <c r="G155" s="3"/>
      <c r="I155" s="2" vm="124">
        <f t="shared" ca="1" si="32"/>
        <v>186.14</v>
      </c>
      <c r="J155" s="2" t="str">
        <f t="shared" ca="1" si="33"/>
        <v/>
      </c>
      <c r="K155" s="4" t="str">
        <f t="shared" ca="1" si="34"/>
        <v/>
      </c>
      <c r="L155" s="10">
        <f t="shared" ca="1" si="35"/>
        <v>104.4495808562035</v>
      </c>
    </row>
    <row r="156" spans="1:12" x14ac:dyDescent="0.2">
      <c r="A156" s="5">
        <f t="shared" si="29"/>
        <v>44574</v>
      </c>
      <c r="B156" s="3" t="str">
        <f t="shared" ca="1" si="31"/>
        <v>NIFTYBEES</v>
      </c>
      <c r="C156" s="3">
        <f t="shared" ca="1" si="30"/>
        <v>1.6528557426712887E-2</v>
      </c>
      <c r="D156" s="3">
        <f t="shared" ca="1" si="30"/>
        <v>-3.1287605294824106E-3</v>
      </c>
      <c r="E156" s="3">
        <f t="shared" ca="1" si="30"/>
        <v>4.843001596593921E-2</v>
      </c>
      <c r="F156" s="3"/>
      <c r="G156" s="3"/>
      <c r="I156" s="2" vm="124">
        <f t="shared" ca="1" si="32"/>
        <v>186.14</v>
      </c>
      <c r="J156" s="2" t="str">
        <f t="shared" ca="1" si="33"/>
        <v/>
      </c>
      <c r="K156" s="4" t="str">
        <f t="shared" ca="1" si="34"/>
        <v/>
      </c>
      <c r="L156" s="10">
        <f t="shared" ca="1" si="35"/>
        <v>104.4495808562035</v>
      </c>
    </row>
    <row r="157" spans="1:12" x14ac:dyDescent="0.2">
      <c r="A157" s="5">
        <f t="shared" si="29"/>
        <v>44567</v>
      </c>
      <c r="B157" s="3" t="str">
        <f t="shared" ca="1" si="31"/>
        <v>NIFTYBEES</v>
      </c>
      <c r="C157" s="3">
        <f t="shared" ca="1" si="30"/>
        <v>2.382534191656549E-2</v>
      </c>
      <c r="D157" s="3">
        <f t="shared" ca="1" si="30"/>
        <v>-1.4527845036318432E-3</v>
      </c>
      <c r="E157" s="3">
        <f t="shared" ca="1" si="30"/>
        <v>4.8685864160428416E-2</v>
      </c>
      <c r="F157" s="3"/>
      <c r="G157" s="3"/>
      <c r="I157" s="2" vm="124">
        <f t="shared" ca="1" si="32"/>
        <v>186.14</v>
      </c>
      <c r="J157" s="2" t="str">
        <f t="shared" ca="1" si="33"/>
        <v/>
      </c>
      <c r="K157" s="4" t="str">
        <f t="shared" ca="1" si="34"/>
        <v/>
      </c>
      <c r="L157" s="10">
        <f t="shared" ca="1" si="35"/>
        <v>104.4495808562035</v>
      </c>
    </row>
    <row r="158" spans="1:12" x14ac:dyDescent="0.2">
      <c r="A158" s="5">
        <f t="shared" si="29"/>
        <v>44560</v>
      </c>
      <c r="B158" s="3" t="str">
        <f t="shared" ca="1" si="31"/>
        <v>NIFTYBEES</v>
      </c>
      <c r="C158" s="3">
        <f t="shared" ca="1" si="30"/>
        <v>-5.867103288306641E-3</v>
      </c>
      <c r="D158" s="3">
        <f t="shared" ca="1" si="30"/>
        <v>-6.986268369067683E-3</v>
      </c>
      <c r="E158" s="3">
        <f t="shared" ca="1" si="30"/>
        <v>1.3282525857376104E-2</v>
      </c>
      <c r="F158" s="3"/>
      <c r="G158" s="3"/>
      <c r="I158" s="2" vm="124">
        <f t="shared" ca="1" si="32"/>
        <v>186.14</v>
      </c>
      <c r="J158" s="2" vm="125">
        <f t="shared" ca="1" si="33"/>
        <v>41.22</v>
      </c>
      <c r="K158" s="4">
        <f t="shared" ca="1" si="34"/>
        <v>-3.1438935912938559E-3</v>
      </c>
      <c r="L158" s="10">
        <f t="shared" ca="1" si="35"/>
        <v>104.4495808562035</v>
      </c>
    </row>
    <row r="159" spans="1:12" x14ac:dyDescent="0.2">
      <c r="A159" s="5">
        <f t="shared" si="29"/>
        <v>44553</v>
      </c>
      <c r="B159" s="3" t="str">
        <f t="shared" ca="1" si="31"/>
        <v>GOLDBEES</v>
      </c>
      <c r="C159" s="3">
        <f t="shared" ca="1" si="30"/>
        <v>-3.7132135097768137E-2</v>
      </c>
      <c r="D159" s="3">
        <f t="shared" ca="1" si="30"/>
        <v>8.4663763909045286E-3</v>
      </c>
      <c r="E159" s="3">
        <f t="shared" ca="1" si="30"/>
        <v>-2.798310454065478E-2</v>
      </c>
      <c r="F159" s="3"/>
      <c r="G159" s="3"/>
      <c r="I159" s="2" vm="126">
        <f t="shared" ca="1" si="32"/>
        <v>41.35</v>
      </c>
      <c r="J159" s="2" t="str">
        <f t="shared" ca="1" si="33"/>
        <v/>
      </c>
      <c r="K159" s="4" t="str">
        <f t="shared" ca="1" si="34"/>
        <v/>
      </c>
      <c r="L159" s="10">
        <f t="shared" ca="1" si="35"/>
        <v>104.77899486666702</v>
      </c>
    </row>
    <row r="160" spans="1:12" x14ac:dyDescent="0.2">
      <c r="A160" s="5">
        <f t="shared" si="29"/>
        <v>44546</v>
      </c>
      <c r="B160" s="3" t="str">
        <f t="shared" ca="1" si="31"/>
        <v>GOLDBEES</v>
      </c>
      <c r="C160" s="3">
        <f t="shared" ca="1" si="30"/>
        <v>-4.1414771627116487E-2</v>
      </c>
      <c r="D160" s="3">
        <f t="shared" ca="1" si="30"/>
        <v>-2.5233644859813054E-2</v>
      </c>
      <c r="E160" s="3">
        <f t="shared" ca="1" si="30"/>
        <v>-4.036612330950784E-2</v>
      </c>
      <c r="F160" s="3"/>
      <c r="G160" s="3"/>
      <c r="I160" s="2" vm="126">
        <f t="shared" ca="1" si="32"/>
        <v>41.35</v>
      </c>
      <c r="J160" s="2" t="str">
        <f t="shared" ca="1" si="33"/>
        <v/>
      </c>
      <c r="K160" s="4" t="str">
        <f t="shared" ca="1" si="34"/>
        <v/>
      </c>
      <c r="L160" s="10">
        <f t="shared" ca="1" si="35"/>
        <v>104.77899486666702</v>
      </c>
    </row>
    <row r="161" spans="1:12" x14ac:dyDescent="0.2">
      <c r="A161" s="5">
        <f t="shared" si="29"/>
        <v>44539</v>
      </c>
      <c r="B161" s="3" t="str">
        <f t="shared" ca="1" si="31"/>
        <v>GOLDBEES</v>
      </c>
      <c r="C161" s="3">
        <f t="shared" ca="1" si="30"/>
        <v>-2.4916762779361501E-2</v>
      </c>
      <c r="D161" s="3">
        <f t="shared" ca="1" si="30"/>
        <v>-7.6793856491480517E-3</v>
      </c>
      <c r="E161" s="3">
        <f t="shared" ca="1" si="30"/>
        <v>-2.9454022988505746E-2</v>
      </c>
      <c r="F161" s="3"/>
      <c r="G161" s="3"/>
      <c r="I161" s="2" vm="126">
        <f t="shared" ca="1" si="32"/>
        <v>41.35</v>
      </c>
      <c r="J161" s="2" vm="127">
        <f t="shared" ca="1" si="33"/>
        <v>448.08</v>
      </c>
      <c r="K161" s="4">
        <f t="shared" ca="1" si="34"/>
        <v>-1.9754544857911727E-2</v>
      </c>
      <c r="L161" s="10">
        <f t="shared" ca="1" si="35"/>
        <v>104.77899486666702</v>
      </c>
    </row>
    <row r="162" spans="1:12" x14ac:dyDescent="0.2">
      <c r="A162" s="5">
        <f t="shared" si="29"/>
        <v>44532</v>
      </c>
      <c r="B162" s="3" t="str">
        <f t="shared" ca="1" si="31"/>
        <v>JUNIORBEES</v>
      </c>
      <c r="C162" s="3">
        <f t="shared" ca="1" si="30"/>
        <v>-5.5474779107482775E-3</v>
      </c>
      <c r="D162" s="3">
        <f t="shared" ca="1" si="30"/>
        <v>-1.1338962605549008E-2</v>
      </c>
      <c r="E162" s="3">
        <f t="shared" ca="1" si="30"/>
        <v>-2.6462972553081276E-2</v>
      </c>
      <c r="F162" s="3"/>
      <c r="G162" s="3"/>
      <c r="I162" s="2" vm="128">
        <f t="shared" ca="1" si="32"/>
        <v>457.11</v>
      </c>
      <c r="J162" s="2" t="str">
        <f t="shared" ca="1" si="33"/>
        <v/>
      </c>
      <c r="K162" s="4" t="str">
        <f t="shared" ca="1" si="34"/>
        <v/>
      </c>
      <c r="L162" s="10">
        <f t="shared" ca="1" si="35"/>
        <v>106.89056941506465</v>
      </c>
    </row>
    <row r="163" spans="1:12" x14ac:dyDescent="0.2">
      <c r="A163" s="5">
        <f t="shared" si="29"/>
        <v>44525</v>
      </c>
      <c r="B163" s="3" t="str">
        <f t="shared" ca="1" si="31"/>
        <v>JUNIORBEES</v>
      </c>
      <c r="C163" s="3">
        <f t="shared" ca="1" si="30"/>
        <v>3.8485130744939422E-2</v>
      </c>
      <c r="D163" s="3">
        <f t="shared" ca="1" si="30"/>
        <v>-6.7340067340068144E-3</v>
      </c>
      <c r="E163" s="3">
        <f t="shared" ca="1" si="30"/>
        <v>-3.1679525829032884E-2</v>
      </c>
      <c r="F163" s="3"/>
      <c r="G163" s="3"/>
      <c r="I163" s="2" vm="128">
        <f t="shared" ca="1" si="32"/>
        <v>457.11</v>
      </c>
      <c r="J163" s="2" vm="129">
        <f t="shared" ca="1" si="33"/>
        <v>41.3</v>
      </c>
      <c r="K163" s="4">
        <f t="shared" ca="1" si="34"/>
        <v>-6.4950685590571267E-3</v>
      </c>
      <c r="L163" s="10">
        <f t="shared" ca="1" si="35"/>
        <v>106.89056941506465</v>
      </c>
    </row>
    <row r="164" spans="1:12" x14ac:dyDescent="0.2">
      <c r="A164" s="5">
        <f t="shared" si="29"/>
        <v>44518</v>
      </c>
      <c r="B164" s="3" t="str">
        <f t="shared" ca="1" si="31"/>
        <v>GOLDBEES</v>
      </c>
      <c r="C164" s="3">
        <f t="shared" ca="1" si="30"/>
        <v>-2.2344220622476652E-2</v>
      </c>
      <c r="D164" s="3">
        <f t="shared" ca="1" si="30"/>
        <v>3.9775500244021433E-2</v>
      </c>
      <c r="E164" s="3">
        <f t="shared" ca="1" si="30"/>
        <v>-3.4035493439243947E-2</v>
      </c>
      <c r="F164" s="3"/>
      <c r="G164" s="3"/>
      <c r="I164" s="2" vm="130">
        <f t="shared" ca="1" si="32"/>
        <v>41.57</v>
      </c>
      <c r="J164" s="2" t="str">
        <f t="shared" ca="1" si="33"/>
        <v/>
      </c>
      <c r="K164" s="4" t="str">
        <f t="shared" ca="1" si="34"/>
        <v/>
      </c>
      <c r="L164" s="10">
        <f t="shared" ca="1" si="35"/>
        <v>107.58936974780237</v>
      </c>
    </row>
    <row r="165" spans="1:12" x14ac:dyDescent="0.2">
      <c r="A165" s="5">
        <f t="shared" si="29"/>
        <v>44511</v>
      </c>
      <c r="B165" s="3" t="str">
        <f t="shared" ca="1" si="31"/>
        <v>GOLDBEES</v>
      </c>
      <c r="C165" s="3">
        <f t="shared" ca="1" si="30"/>
        <v>8.9277860849679147E-3</v>
      </c>
      <c r="D165" s="3">
        <f t="shared" ca="1" si="30"/>
        <v>4.9140049140049102E-2</v>
      </c>
      <c r="E165" s="3">
        <f t="shared" ca="1" si="30"/>
        <v>8.2862913667192117E-4</v>
      </c>
      <c r="F165" s="3"/>
      <c r="G165" s="3"/>
      <c r="I165" s="2" vm="130">
        <f t="shared" ca="1" si="32"/>
        <v>41.57</v>
      </c>
      <c r="J165" s="2" t="str">
        <f t="shared" ca="1" si="33"/>
        <v/>
      </c>
      <c r="K165" s="4" t="str">
        <f t="shared" ca="1" si="34"/>
        <v/>
      </c>
      <c r="L165" s="10">
        <f t="shared" ca="1" si="35"/>
        <v>107.58936974780237</v>
      </c>
    </row>
    <row r="166" spans="1:12" x14ac:dyDescent="0.2">
      <c r="A166" s="5">
        <f t="shared" si="29"/>
        <v>44504</v>
      </c>
      <c r="B166" s="3" t="str">
        <f t="shared" ca="1" si="31"/>
        <v>GOLDBEES</v>
      </c>
      <c r="C166" s="3">
        <f t="shared" ca="1" si="30"/>
        <v>5.4260807685464485E-3</v>
      </c>
      <c r="D166" s="3">
        <f t="shared" ca="1" si="30"/>
        <v>2.7833001988071482E-2</v>
      </c>
      <c r="E166" s="3">
        <f t="shared" ca="1" si="30"/>
        <v>1.3401036486415663E-2</v>
      </c>
      <c r="F166" s="3"/>
      <c r="G166" s="3"/>
      <c r="I166" s="2" vm="130">
        <f t="shared" ca="1" si="32"/>
        <v>41.57</v>
      </c>
      <c r="J166" s="2" t="str">
        <f t="shared" ca="1" si="33"/>
        <v/>
      </c>
      <c r="K166" s="4" t="str">
        <f t="shared" ca="1" si="34"/>
        <v/>
      </c>
      <c r="L166" s="10">
        <f t="shared" ca="1" si="35"/>
        <v>107.58936974780237</v>
      </c>
    </row>
    <row r="167" spans="1:12" x14ac:dyDescent="0.2">
      <c r="A167" s="5">
        <f t="shared" si="29"/>
        <v>44497</v>
      </c>
      <c r="B167" s="3" t="str">
        <f t="shared" ca="1" si="31"/>
        <v>GOLDBEES</v>
      </c>
      <c r="C167" s="3">
        <f t="shared" ca="1" si="30"/>
        <v>-1.3141426783479293E-2</v>
      </c>
      <c r="D167" s="3">
        <f t="shared" ca="1" si="30"/>
        <v>4.0811216825237917E-2</v>
      </c>
      <c r="E167" s="3">
        <f t="shared" ca="1" si="30"/>
        <v>1.1700793982448943E-2</v>
      </c>
      <c r="F167" s="3"/>
      <c r="G167" s="3"/>
      <c r="I167" s="2" vm="130">
        <f t="shared" ca="1" si="32"/>
        <v>41.57</v>
      </c>
      <c r="J167" s="2" vm="131">
        <f t="shared" ca="1" si="33"/>
        <v>193.68</v>
      </c>
      <c r="K167" s="4">
        <f t="shared" ca="1" si="34"/>
        <v>1.8778601862079913E-2</v>
      </c>
      <c r="L167" s="10">
        <f t="shared" ca="1" si="35"/>
        <v>107.58936974780237</v>
      </c>
    </row>
    <row r="168" spans="1:12" x14ac:dyDescent="0.2">
      <c r="A168" s="5">
        <f t="shared" si="29"/>
        <v>44490</v>
      </c>
      <c r="B168" s="3" t="str">
        <f t="shared" ca="1" si="31"/>
        <v>NIFTYBEES</v>
      </c>
      <c r="C168" s="3">
        <f t="shared" ca="1" si="30"/>
        <v>6.406107006539985E-3</v>
      </c>
      <c r="D168" s="3">
        <f t="shared" ca="1" si="30"/>
        <v>2.3365647526721434E-2</v>
      </c>
      <c r="E168" s="3">
        <f t="shared" ca="1" si="30"/>
        <v>3.3850047453337639E-2</v>
      </c>
      <c r="F168" s="3"/>
      <c r="G168" s="3"/>
      <c r="I168" s="2" vm="119">
        <f t="shared" ca="1" si="32"/>
        <v>190.11</v>
      </c>
      <c r="J168" s="2" t="str">
        <f t="shared" ca="1" si="33"/>
        <v/>
      </c>
      <c r="K168" s="4" t="str">
        <f t="shared" ca="1" si="34"/>
        <v/>
      </c>
      <c r="L168" s="10">
        <f t="shared" ca="1" si="35"/>
        <v>105.60623235623041</v>
      </c>
    </row>
    <row r="169" spans="1:12" x14ac:dyDescent="0.2">
      <c r="A169" s="5">
        <f t="shared" si="29"/>
        <v>44483</v>
      </c>
      <c r="B169" s="3" t="str">
        <f t="shared" ca="1" si="31"/>
        <v>NIFTYBEES</v>
      </c>
      <c r="C169" s="3">
        <f t="shared" ca="1" si="30"/>
        <v>3.5763411279229773E-2</v>
      </c>
      <c r="D169" s="3">
        <f t="shared" ca="1" si="30"/>
        <v>1.9396022587773398E-2</v>
      </c>
      <c r="E169" s="3">
        <f t="shared" ca="1" si="30"/>
        <v>5.1029113789058389E-2</v>
      </c>
      <c r="F169" s="3"/>
      <c r="G169" s="3"/>
      <c r="I169" s="2" vm="119">
        <f t="shared" ca="1" si="32"/>
        <v>190.11</v>
      </c>
      <c r="J169" s="2" t="str">
        <f t="shared" ca="1" si="33"/>
        <v/>
      </c>
      <c r="K169" s="4" t="str">
        <f t="shared" ca="1" si="34"/>
        <v/>
      </c>
      <c r="L169" s="10">
        <f t="shared" ca="1" si="35"/>
        <v>105.60623235623041</v>
      </c>
    </row>
    <row r="170" spans="1:12" x14ac:dyDescent="0.2">
      <c r="A170" s="5">
        <f t="shared" si="29"/>
        <v>44476</v>
      </c>
      <c r="B170" s="3" t="str">
        <f t="shared" ca="1" si="31"/>
        <v>NIFTYBEES</v>
      </c>
      <c r="C170" s="3">
        <f t="shared" ca="1" si="30"/>
        <v>2.4258820877014919E-2</v>
      </c>
      <c r="D170" s="3">
        <f t="shared" ca="1" si="30"/>
        <v>-1.2420847540185243E-2</v>
      </c>
      <c r="E170" s="3">
        <f t="shared" ca="1" si="30"/>
        <v>2.4843724955922353E-2</v>
      </c>
      <c r="F170" s="3"/>
      <c r="G170" s="3"/>
      <c r="I170" s="2" vm="119">
        <f t="shared" ca="1" si="32"/>
        <v>190.11</v>
      </c>
      <c r="J170" s="2" t="str">
        <f t="shared" ca="1" si="33"/>
        <v/>
      </c>
      <c r="K170" s="4" t="str">
        <f t="shared" ca="1" si="34"/>
        <v/>
      </c>
      <c r="L170" s="10">
        <f t="shared" ca="1" si="35"/>
        <v>105.60623235623041</v>
      </c>
    </row>
    <row r="171" spans="1:12" x14ac:dyDescent="0.2">
      <c r="A171" s="5">
        <f t="shared" si="29"/>
        <v>44469</v>
      </c>
      <c r="B171" s="3" t="str">
        <f t="shared" ca="1" si="31"/>
        <v>NIFTYBEES</v>
      </c>
      <c r="C171" s="3">
        <f t="shared" ca="1" si="30"/>
        <v>3.7575899112564315E-2</v>
      </c>
      <c r="D171" s="3">
        <f t="shared" ca="1" si="30"/>
        <v>-3.1455742501828809E-2</v>
      </c>
      <c r="E171" s="3">
        <f t="shared" ca="1" si="30"/>
        <v>4.1299227693487595E-2</v>
      </c>
      <c r="F171" s="3"/>
      <c r="G171" s="3"/>
      <c r="I171" s="2" vm="119">
        <f t="shared" ca="1" si="32"/>
        <v>190.11</v>
      </c>
      <c r="J171" s="2" vm="132">
        <f t="shared" ca="1" si="33"/>
        <v>444.29</v>
      </c>
      <c r="K171" s="4">
        <f t="shared" ca="1" si="34"/>
        <v>-7.3284625868578201E-3</v>
      </c>
      <c r="L171" s="10">
        <f t="shared" ca="1" si="35"/>
        <v>105.60623235623041</v>
      </c>
    </row>
    <row r="172" spans="1:12" x14ac:dyDescent="0.2">
      <c r="A172" s="5">
        <f t="shared" si="29"/>
        <v>44462</v>
      </c>
      <c r="B172" s="3" t="str">
        <f t="shared" ca="1" si="31"/>
        <v>JUNIORBEES</v>
      </c>
      <c r="C172" s="3">
        <f t="shared" ca="1" si="30"/>
        <v>0.10203287617935985</v>
      </c>
      <c r="D172" s="3">
        <f t="shared" ca="1" si="30"/>
        <v>-1.6337478663740468E-2</v>
      </c>
      <c r="E172" s="3">
        <f t="shared" ca="1" si="30"/>
        <v>7.9674340258281795E-2</v>
      </c>
      <c r="F172" s="3"/>
      <c r="G172" s="3"/>
      <c r="I172" s="2" vm="133">
        <f t="shared" ca="1" si="32"/>
        <v>447.57</v>
      </c>
      <c r="J172" s="2" t="str">
        <f t="shared" ca="1" si="33"/>
        <v/>
      </c>
      <c r="K172" s="4" t="str">
        <f t="shared" ca="1" si="34"/>
        <v/>
      </c>
      <c r="L172" s="10">
        <f t="shared" ca="1" si="35"/>
        <v>106.38587727762956</v>
      </c>
    </row>
    <row r="173" spans="1:12" x14ac:dyDescent="0.2">
      <c r="A173" s="5">
        <f t="shared" si="29"/>
        <v>44455</v>
      </c>
      <c r="B173" s="3" t="str">
        <f t="shared" ca="1" si="31"/>
        <v>JUNIORBEES</v>
      </c>
      <c r="C173" s="3">
        <f t="shared" ca="1" si="30"/>
        <v>9.8706438845448385E-2</v>
      </c>
      <c r="D173" s="3">
        <f t="shared" ca="1" si="30"/>
        <v>-6.3756743501716118E-3</v>
      </c>
      <c r="E173" s="3">
        <f t="shared" ca="1" si="30"/>
        <v>6.5061590145576664E-2</v>
      </c>
      <c r="F173" s="3"/>
      <c r="G173" s="3"/>
      <c r="I173" s="2" vm="133">
        <f t="shared" ca="1" si="32"/>
        <v>447.57</v>
      </c>
      <c r="J173" s="2" t="str">
        <f t="shared" ca="1" si="33"/>
        <v/>
      </c>
      <c r="K173" s="4" t="str">
        <f t="shared" ca="1" si="34"/>
        <v/>
      </c>
      <c r="L173" s="10">
        <f t="shared" ca="1" si="35"/>
        <v>106.38587727762956</v>
      </c>
    </row>
    <row r="174" spans="1:12" x14ac:dyDescent="0.2">
      <c r="A174" s="5">
        <f t="shared" si="29"/>
        <v>44448</v>
      </c>
      <c r="B174" s="3" t="str">
        <f t="shared" ca="1" si="31"/>
        <v>JUNIORBEES</v>
      </c>
      <c r="C174" s="3">
        <f t="shared" ca="1" si="30"/>
        <v>7.7235968036969194E-2</v>
      </c>
      <c r="D174" s="3">
        <f t="shared" ca="1" si="30"/>
        <v>1.0654112983151665E-2</v>
      </c>
      <c r="E174" s="3">
        <f t="shared" ca="1" si="30"/>
        <v>6.8468160310130477E-2</v>
      </c>
      <c r="F174" s="3"/>
      <c r="G174" s="3"/>
      <c r="I174" s="2" vm="133">
        <f t="shared" ca="1" si="32"/>
        <v>447.57</v>
      </c>
      <c r="J174" s="2" vm="134">
        <f t="shared" ca="1" si="33"/>
        <v>187.42</v>
      </c>
      <c r="K174" s="4">
        <f t="shared" ca="1" si="34"/>
        <v>6.3858772776295591E-2</v>
      </c>
      <c r="L174" s="10">
        <f t="shared" ca="1" si="35"/>
        <v>106.38587727762956</v>
      </c>
    </row>
    <row r="175" spans="1:12" x14ac:dyDescent="0.2">
      <c r="A175" s="5">
        <f t="shared" si="29"/>
        <v>44441</v>
      </c>
      <c r="B175" s="3" t="str">
        <f t="shared" ca="1" si="31"/>
        <v>NIFTYBEES</v>
      </c>
      <c r="C175" s="3">
        <f t="shared" ref="C175:E177" ca="1" si="36">IFERROR(INDEX(_xlfn.STOCKHISTORY(C$1,$A175),2,2),0)/IFERROR(INDEX(_xlfn.STOCKHISTORY(C$1,EDATE($A175,-1)),2,2),0)-1</f>
        <v>5.3471955436035223E-2</v>
      </c>
      <c r="D175" s="3">
        <f t="shared" ca="1" si="36"/>
        <v>-1.4688177221285792E-2</v>
      </c>
      <c r="E175" s="3">
        <f t="shared" ca="1" si="36"/>
        <v>8.7485380116959055E-2</v>
      </c>
      <c r="F175" s="3"/>
      <c r="G175" s="3"/>
      <c r="I175" s="2" vm="135">
        <f t="shared" ca="1" si="32"/>
        <v>176.17</v>
      </c>
      <c r="J175" s="2" t="str">
        <f t="shared" ca="1" si="33"/>
        <v/>
      </c>
      <c r="K175" s="4" t="str">
        <f t="shared" ca="1" si="34"/>
        <v/>
      </c>
      <c r="L175" s="10">
        <f t="shared" ca="1" si="35"/>
        <v>100</v>
      </c>
    </row>
    <row r="176" spans="1:12" x14ac:dyDescent="0.2">
      <c r="A176" s="5">
        <f t="shared" si="29"/>
        <v>44434</v>
      </c>
      <c r="B176" s="3" t="str">
        <f t="shared" ca="1" si="31"/>
        <v>NIFTYBEES</v>
      </c>
      <c r="C176" s="3">
        <f t="shared" ca="1" si="36"/>
        <v>1.3563352258941119E-2</v>
      </c>
      <c r="D176" s="3">
        <f t="shared" ca="1" si="36"/>
        <v>-1.449275362318847E-2</v>
      </c>
      <c r="E176" s="3">
        <f t="shared" ca="1" si="36"/>
        <v>5.4263565891472965E-2</v>
      </c>
      <c r="F176" s="3"/>
      <c r="G176" s="3"/>
      <c r="I176" s="2" vm="135">
        <f t="shared" ca="1" si="32"/>
        <v>176.17</v>
      </c>
      <c r="J176" s="2" t="str">
        <f t="shared" ca="1" si="33"/>
        <v/>
      </c>
      <c r="K176" s="4" t="str">
        <f t="shared" ca="1" si="34"/>
        <v/>
      </c>
      <c r="L176" s="10">
        <f t="shared" ca="1" si="35"/>
        <v>100</v>
      </c>
    </row>
    <row r="177" spans="1:12" x14ac:dyDescent="0.2">
      <c r="A177" s="5">
        <f>A176-14</f>
        <v>44420</v>
      </c>
      <c r="B177" s="3" t="str">
        <f t="shared" ca="1" si="31"/>
        <v>NIFTYBEES</v>
      </c>
      <c r="C177" s="3">
        <f t="shared" ca="1" si="36"/>
        <v>1.2265582921216378E-2</v>
      </c>
      <c r="D177" s="3">
        <f t="shared" ca="1" si="36"/>
        <v>-2.2650602409638454E-2</v>
      </c>
      <c r="E177" s="3">
        <f t="shared" ca="1" si="36"/>
        <v>4.217936583057269E-2</v>
      </c>
      <c r="F177" s="3"/>
      <c r="G177" s="3"/>
      <c r="I177" s="2" vm="135">
        <f t="shared" ca="1" si="32"/>
        <v>176.17</v>
      </c>
      <c r="K177" s="4" t="str">
        <f t="shared" si="34"/>
        <v/>
      </c>
      <c r="L177" s="10">
        <v>100</v>
      </c>
    </row>
    <row r="178" spans="1:12" x14ac:dyDescent="0.2">
      <c r="A178" s="5"/>
      <c r="B178" s="3"/>
      <c r="C178" s="3"/>
      <c r="D178" s="3"/>
      <c r="E178" s="3"/>
      <c r="F178" s="3"/>
      <c r="G178" s="3"/>
    </row>
    <row r="179" spans="1:12" x14ac:dyDescent="0.2">
      <c r="A179" s="5"/>
      <c r="B179" s="3"/>
      <c r="C179" s="3"/>
      <c r="D179" s="3"/>
      <c r="E179" s="3"/>
      <c r="F179" s="3"/>
      <c r="G179" s="3"/>
    </row>
    <row r="180" spans="1:12" x14ac:dyDescent="0.2">
      <c r="A180" s="5"/>
      <c r="B180" s="3"/>
      <c r="C180" s="3"/>
      <c r="D180" s="3"/>
      <c r="E180" s="3"/>
      <c r="F180" s="3"/>
      <c r="G180" s="3"/>
    </row>
    <row r="181" spans="1:12" x14ac:dyDescent="0.2">
      <c r="A181" s="5"/>
      <c r="B181" s="3"/>
      <c r="C181" s="3"/>
      <c r="D181" s="3"/>
      <c r="E181" s="3"/>
      <c r="F181" s="3"/>
      <c r="G181" s="3"/>
    </row>
    <row r="182" spans="1:12" x14ac:dyDescent="0.2">
      <c r="A182" s="5"/>
      <c r="B182" s="3"/>
      <c r="C182" s="3"/>
      <c r="D182" s="3"/>
      <c r="E182" s="3"/>
      <c r="F182" s="3"/>
      <c r="G182" s="3"/>
    </row>
    <row r="183" spans="1:12" x14ac:dyDescent="0.2">
      <c r="A183" s="5"/>
      <c r="B183" s="3"/>
      <c r="C183" s="3"/>
      <c r="D183" s="3"/>
      <c r="E183" s="3"/>
      <c r="F183" s="3"/>
      <c r="G183" s="3"/>
    </row>
    <row r="184" spans="1:12" x14ac:dyDescent="0.2">
      <c r="A184" s="5"/>
      <c r="B184" s="3"/>
      <c r="C184" s="3"/>
      <c r="D184" s="3"/>
      <c r="E184" s="3"/>
      <c r="F184" s="3"/>
      <c r="G184" s="3"/>
    </row>
    <row r="185" spans="1:12" x14ac:dyDescent="0.2">
      <c r="A185" s="5"/>
      <c r="B185" s="3"/>
      <c r="C185" s="3"/>
      <c r="D185" s="3"/>
      <c r="E185" s="3"/>
      <c r="F185" s="3"/>
      <c r="G185" s="3"/>
    </row>
    <row r="186" spans="1:12" x14ac:dyDescent="0.2">
      <c r="A186" s="5"/>
      <c r="B186" s="3"/>
      <c r="C186" s="3"/>
      <c r="D186" s="3"/>
      <c r="E186" s="3"/>
      <c r="F186" s="3"/>
      <c r="G186" s="3"/>
    </row>
    <row r="187" spans="1:12" x14ac:dyDescent="0.2">
      <c r="A187" s="5"/>
      <c r="B187" s="3"/>
      <c r="C187" s="3"/>
      <c r="D187" s="3"/>
      <c r="E187" s="3"/>
      <c r="F187" s="3"/>
      <c r="G187" s="3"/>
    </row>
    <row r="188" spans="1:12" x14ac:dyDescent="0.2">
      <c r="A188" s="5"/>
      <c r="B188" s="3"/>
      <c r="C188" s="3"/>
      <c r="D188" s="3"/>
      <c r="E188" s="3"/>
      <c r="F188" s="3"/>
      <c r="G188" s="3"/>
    </row>
    <row r="189" spans="1:12" x14ac:dyDescent="0.2">
      <c r="A189" s="5"/>
      <c r="B189" s="3"/>
      <c r="C189" s="3"/>
      <c r="D189" s="3"/>
      <c r="E189" s="3"/>
      <c r="F189" s="3"/>
      <c r="G189" s="3"/>
    </row>
    <row r="190" spans="1:12" x14ac:dyDescent="0.2">
      <c r="A190" s="5"/>
      <c r="B190" s="3"/>
      <c r="C190" s="3"/>
      <c r="D190" s="3"/>
      <c r="E190" s="3"/>
      <c r="F190" s="3"/>
      <c r="G190" s="3"/>
    </row>
    <row r="191" spans="1:12" x14ac:dyDescent="0.2">
      <c r="A191" s="5"/>
      <c r="B191" s="3"/>
      <c r="C191" s="3"/>
      <c r="D191" s="3"/>
      <c r="E191" s="3"/>
      <c r="F191" s="3"/>
      <c r="G191" s="3"/>
    </row>
    <row r="192" spans="1:12" x14ac:dyDescent="0.2">
      <c r="A192" s="5"/>
      <c r="B192" s="3"/>
      <c r="C192" s="3"/>
      <c r="D192" s="3"/>
      <c r="E192" s="3"/>
      <c r="F192" s="3"/>
      <c r="G192" s="3"/>
    </row>
    <row r="193" spans="1:7" x14ac:dyDescent="0.2">
      <c r="A193" s="5"/>
      <c r="B193" s="3"/>
      <c r="C193" s="3"/>
      <c r="D193" s="3"/>
      <c r="E193" s="3"/>
      <c r="F193" s="3"/>
      <c r="G193" s="3"/>
    </row>
    <row r="194" spans="1:7" x14ac:dyDescent="0.2">
      <c r="A194" s="5"/>
      <c r="B194" s="3"/>
      <c r="C194" s="3"/>
      <c r="D194" s="3"/>
      <c r="E194" s="3"/>
      <c r="F194" s="3"/>
      <c r="G194" s="3"/>
    </row>
    <row r="195" spans="1:7" x14ac:dyDescent="0.2">
      <c r="A195" s="5"/>
      <c r="B195" s="3"/>
      <c r="C195" s="3"/>
      <c r="D195" s="3"/>
      <c r="E195" s="3"/>
      <c r="F195" s="3"/>
      <c r="G195" s="3"/>
    </row>
    <row r="196" spans="1:7" x14ac:dyDescent="0.2">
      <c r="A196" s="5"/>
      <c r="B196" s="3"/>
      <c r="C196" s="3"/>
      <c r="D196" s="3"/>
      <c r="E196" s="3"/>
      <c r="F196" s="3"/>
      <c r="G196" s="3"/>
    </row>
    <row r="197" spans="1:7" x14ac:dyDescent="0.2">
      <c r="A197" s="5"/>
      <c r="B197" s="3"/>
      <c r="C197" s="3"/>
      <c r="D197" s="3"/>
      <c r="E197" s="3"/>
      <c r="F197" s="3"/>
      <c r="G197" s="3"/>
    </row>
    <row r="198" spans="1:7" x14ac:dyDescent="0.2">
      <c r="A198" s="5"/>
      <c r="B198" s="3"/>
      <c r="C198" s="3"/>
      <c r="D198" s="3"/>
      <c r="E198" s="3"/>
      <c r="F198" s="3"/>
      <c r="G198" s="3"/>
    </row>
    <row r="199" spans="1:7" x14ac:dyDescent="0.2">
      <c r="A199" s="5"/>
      <c r="B199" s="3"/>
      <c r="C199" s="3"/>
      <c r="D199" s="3"/>
      <c r="E199" s="3"/>
      <c r="F199" s="3"/>
      <c r="G199" s="3"/>
    </row>
    <row r="200" spans="1:7" x14ac:dyDescent="0.2">
      <c r="A200" s="5"/>
      <c r="B200" s="3"/>
      <c r="C200" s="3"/>
      <c r="D200" s="3"/>
      <c r="E200" s="3"/>
      <c r="F200" s="3"/>
      <c r="G200" s="3"/>
    </row>
    <row r="201" spans="1:7" x14ac:dyDescent="0.2">
      <c r="A201" s="5"/>
      <c r="B201" s="3"/>
      <c r="C201" s="3"/>
      <c r="D201" s="3"/>
      <c r="E201" s="3"/>
      <c r="F201" s="3"/>
      <c r="G201" s="3"/>
    </row>
    <row r="202" spans="1:7" x14ac:dyDescent="0.2">
      <c r="A202" s="5"/>
      <c r="B202" s="3"/>
      <c r="C202" s="3"/>
      <c r="D202" s="3"/>
      <c r="E202" s="3"/>
      <c r="F202" s="3"/>
      <c r="G202" s="3"/>
    </row>
    <row r="203" spans="1:7" x14ac:dyDescent="0.2">
      <c r="A203" s="5"/>
      <c r="B203" s="3"/>
      <c r="C203" s="3"/>
      <c r="D203" s="3"/>
      <c r="E203" s="3"/>
      <c r="F203" s="3"/>
      <c r="G203" s="3"/>
    </row>
    <row r="204" spans="1:7" x14ac:dyDescent="0.2">
      <c r="A204" s="5"/>
      <c r="B204" s="3"/>
      <c r="C204" s="3"/>
      <c r="D204" s="3"/>
      <c r="E204" s="3"/>
      <c r="F204" s="3"/>
      <c r="G204" s="3"/>
    </row>
    <row r="205" spans="1:7" x14ac:dyDescent="0.2">
      <c r="A205" s="5"/>
      <c r="B205" s="3"/>
      <c r="C205" s="3"/>
      <c r="D205" s="3"/>
      <c r="E205" s="3"/>
      <c r="F205" s="3"/>
      <c r="G205" s="3"/>
    </row>
    <row r="206" spans="1:7" x14ac:dyDescent="0.2">
      <c r="A206" s="5"/>
      <c r="B206" s="3"/>
      <c r="C206" s="3"/>
      <c r="D206" s="3"/>
      <c r="E206" s="3"/>
      <c r="F206" s="3"/>
      <c r="G206" s="3"/>
    </row>
    <row r="207" spans="1:7" x14ac:dyDescent="0.2">
      <c r="A207" s="5"/>
      <c r="B207" s="3"/>
      <c r="C207" s="3"/>
      <c r="D207" s="3"/>
      <c r="E207" s="3"/>
      <c r="F207" s="3"/>
      <c r="G207" s="3"/>
    </row>
    <row r="208" spans="1:7" x14ac:dyDescent="0.2">
      <c r="A208" s="5"/>
      <c r="B208" s="3"/>
      <c r="C208" s="3"/>
      <c r="D208" s="3"/>
      <c r="E208" s="3"/>
      <c r="F208" s="3"/>
      <c r="G208" s="3"/>
    </row>
    <row r="209" spans="1:7" x14ac:dyDescent="0.2">
      <c r="A209" s="5"/>
      <c r="B209" s="3"/>
      <c r="C209" s="3"/>
      <c r="D209" s="3"/>
      <c r="E209" s="3"/>
      <c r="F209" s="3"/>
      <c r="G209" s="3"/>
    </row>
    <row r="210" spans="1:7" x14ac:dyDescent="0.2">
      <c r="A210" s="5"/>
      <c r="B210" s="3"/>
      <c r="C210" s="3"/>
      <c r="D210" s="3"/>
      <c r="E210" s="3"/>
      <c r="F210" s="3"/>
      <c r="G210" s="3"/>
    </row>
    <row r="211" spans="1:7" x14ac:dyDescent="0.2">
      <c r="A211" s="5"/>
      <c r="B211" s="3"/>
      <c r="C211" s="3"/>
      <c r="D211" s="3"/>
      <c r="E211" s="3"/>
      <c r="F211" s="3"/>
      <c r="G211" s="3"/>
    </row>
    <row r="212" spans="1:7" x14ac:dyDescent="0.2">
      <c r="A212" s="5"/>
      <c r="B212" s="3"/>
      <c r="C212" s="3"/>
      <c r="D212" s="3"/>
      <c r="E212" s="3"/>
      <c r="F212" s="3"/>
      <c r="G212" s="3"/>
    </row>
    <row r="213" spans="1:7" x14ac:dyDescent="0.2">
      <c r="A213" s="5"/>
      <c r="B213" s="3"/>
      <c r="C213" s="3"/>
      <c r="D213" s="3"/>
      <c r="E213" s="3"/>
      <c r="F213" s="3"/>
      <c r="G213" s="3"/>
    </row>
    <row r="214" spans="1:7" x14ac:dyDescent="0.2">
      <c r="A214" s="5"/>
      <c r="B214" s="3"/>
      <c r="C214" s="3"/>
      <c r="D214" s="3"/>
      <c r="E214" s="3"/>
      <c r="F214" s="3"/>
      <c r="G214" s="3"/>
    </row>
    <row r="215" spans="1:7" x14ac:dyDescent="0.2">
      <c r="A215" s="5"/>
      <c r="B215" s="3"/>
      <c r="C215" s="3"/>
      <c r="D215" s="3"/>
      <c r="E215" s="3"/>
      <c r="F215" s="3"/>
      <c r="G215" s="3"/>
    </row>
    <row r="216" spans="1:7" x14ac:dyDescent="0.2">
      <c r="A216" s="5"/>
      <c r="B216" s="3"/>
      <c r="C216" s="3"/>
      <c r="D216" s="3"/>
      <c r="E216" s="3"/>
      <c r="F216" s="3"/>
      <c r="G216" s="3"/>
    </row>
    <row r="217" spans="1:7" x14ac:dyDescent="0.2">
      <c r="A217" s="5"/>
      <c r="B217" s="3"/>
      <c r="C217" s="3"/>
      <c r="D217" s="3"/>
      <c r="E217" s="3"/>
      <c r="F217" s="3"/>
      <c r="G217" s="3"/>
    </row>
    <row r="218" spans="1:7" x14ac:dyDescent="0.2">
      <c r="A218" s="5"/>
      <c r="B218" s="3"/>
      <c r="C218" s="3"/>
      <c r="D218" s="3"/>
      <c r="E218" s="3"/>
      <c r="F218" s="3"/>
      <c r="G218" s="3"/>
    </row>
    <row r="219" spans="1:7" x14ac:dyDescent="0.2">
      <c r="A219" s="5"/>
      <c r="B219" s="3"/>
      <c r="C219" s="3"/>
      <c r="D219" s="3"/>
      <c r="E219" s="3"/>
      <c r="F219" s="3"/>
      <c r="G219" s="3"/>
    </row>
    <row r="220" spans="1:7" x14ac:dyDescent="0.2">
      <c r="A220" s="5"/>
      <c r="B220" s="3"/>
      <c r="C220" s="3"/>
      <c r="D220" s="3"/>
      <c r="E220" s="3"/>
      <c r="F220" s="3"/>
      <c r="G220" s="3"/>
    </row>
    <row r="221" spans="1:7" x14ac:dyDescent="0.2">
      <c r="A221" s="5"/>
      <c r="B221" s="3"/>
      <c r="C221" s="3"/>
      <c r="D221" s="3"/>
      <c r="E221" s="3"/>
      <c r="F221" s="3"/>
      <c r="G221" s="3"/>
    </row>
    <row r="222" spans="1:7" x14ac:dyDescent="0.2">
      <c r="A222" s="5"/>
      <c r="B222" s="3"/>
      <c r="C222" s="3"/>
      <c r="D222" s="3"/>
      <c r="E222" s="3"/>
      <c r="F222" s="3"/>
      <c r="G222" s="3"/>
    </row>
    <row r="223" spans="1:7" x14ac:dyDescent="0.2">
      <c r="A223" s="5"/>
      <c r="B223" s="3"/>
      <c r="C223" s="3"/>
      <c r="D223" s="3"/>
      <c r="E223" s="3"/>
      <c r="F223" s="3"/>
      <c r="G223" s="3"/>
    </row>
    <row r="224" spans="1:7" x14ac:dyDescent="0.2">
      <c r="A224" s="5"/>
      <c r="B224" s="3"/>
      <c r="C224" s="3"/>
      <c r="D224" s="3"/>
      <c r="E224" s="3"/>
      <c r="F224" s="3"/>
      <c r="G224" s="3"/>
    </row>
    <row r="225" spans="1:7" x14ac:dyDescent="0.2">
      <c r="A225" s="5"/>
      <c r="B225" s="3"/>
      <c r="C225" s="3"/>
      <c r="D225" s="3"/>
      <c r="E225" s="3"/>
      <c r="F225" s="3"/>
      <c r="G225" s="3"/>
    </row>
    <row r="226" spans="1:7" x14ac:dyDescent="0.2">
      <c r="A226" s="5"/>
      <c r="B226" s="3"/>
      <c r="C226" s="3"/>
      <c r="D226" s="3"/>
      <c r="E226" s="3"/>
      <c r="F226" s="3"/>
      <c r="G226" s="3"/>
    </row>
    <row r="227" spans="1:7" x14ac:dyDescent="0.2">
      <c r="A227" s="5"/>
      <c r="B227" s="3"/>
      <c r="C227" s="3"/>
      <c r="D227" s="3"/>
      <c r="E227" s="3"/>
      <c r="F227" s="3"/>
      <c r="G227" s="3"/>
    </row>
    <row r="228" spans="1:7" x14ac:dyDescent="0.2">
      <c r="A228" s="5"/>
      <c r="B228" s="3"/>
      <c r="C228" s="3"/>
      <c r="D228" s="3"/>
      <c r="E228" s="3"/>
      <c r="F228" s="3"/>
      <c r="G228" s="3"/>
    </row>
    <row r="229" spans="1:7" x14ac:dyDescent="0.2">
      <c r="A229" s="5"/>
      <c r="B229" s="3"/>
      <c r="C229" s="3"/>
      <c r="D229" s="3"/>
      <c r="E229" s="3"/>
      <c r="F229" s="3"/>
      <c r="G229" s="3"/>
    </row>
    <row r="230" spans="1:7" x14ac:dyDescent="0.2">
      <c r="A230" s="5"/>
      <c r="B230" s="3"/>
      <c r="C230" s="3"/>
      <c r="D230" s="3"/>
      <c r="E230" s="3"/>
      <c r="F230" s="3"/>
      <c r="G230" s="3"/>
    </row>
    <row r="231" spans="1:7" x14ac:dyDescent="0.2">
      <c r="A231" s="5"/>
      <c r="B231" s="3"/>
      <c r="C231" s="3"/>
      <c r="D231" s="3"/>
      <c r="E231" s="3"/>
      <c r="F231" s="3"/>
      <c r="G231" s="3"/>
    </row>
    <row r="232" spans="1:7" x14ac:dyDescent="0.2">
      <c r="A232" s="5"/>
      <c r="B232" s="3"/>
      <c r="C232" s="3"/>
      <c r="D232" s="3"/>
      <c r="E232" s="3"/>
      <c r="F232" s="3"/>
      <c r="G232" s="3"/>
    </row>
    <row r="233" spans="1:7" x14ac:dyDescent="0.2">
      <c r="A233" s="5"/>
      <c r="B233" s="3"/>
      <c r="C233" s="3"/>
      <c r="D233" s="3"/>
      <c r="E233" s="3"/>
      <c r="F233" s="3"/>
      <c r="G233" s="3"/>
    </row>
    <row r="234" spans="1:7" x14ac:dyDescent="0.2">
      <c r="A234" s="5"/>
      <c r="B234" s="3"/>
      <c r="C234" s="3"/>
      <c r="D234" s="3"/>
      <c r="E234" s="3"/>
      <c r="F234" s="3"/>
      <c r="G234" s="3"/>
    </row>
    <row r="235" spans="1:7" x14ac:dyDescent="0.2">
      <c r="A235" s="5"/>
      <c r="B235" s="3"/>
      <c r="C235" s="3"/>
      <c r="D235" s="3"/>
      <c r="E235" s="3"/>
      <c r="F235" s="3"/>
      <c r="G235" s="3"/>
    </row>
    <row r="236" spans="1:7" x14ac:dyDescent="0.2">
      <c r="A236" s="5"/>
      <c r="B236" s="3"/>
      <c r="C236" s="3"/>
      <c r="D236" s="3"/>
      <c r="E236" s="3"/>
      <c r="F236" s="3"/>
      <c r="G236" s="3"/>
    </row>
    <row r="237" spans="1:7" x14ac:dyDescent="0.2">
      <c r="A237" s="5"/>
      <c r="B237" s="3"/>
      <c r="C237" s="3"/>
      <c r="D237" s="3"/>
      <c r="E237" s="3"/>
      <c r="F237" s="3"/>
      <c r="G237" s="3"/>
    </row>
    <row r="238" spans="1:7" x14ac:dyDescent="0.2">
      <c r="A238" s="5"/>
      <c r="B238" s="3"/>
      <c r="C238" s="3"/>
      <c r="D238" s="3"/>
      <c r="E238" s="3"/>
      <c r="F238" s="3"/>
      <c r="G238" s="3"/>
    </row>
    <row r="239" spans="1:7" x14ac:dyDescent="0.2">
      <c r="A239" s="5"/>
      <c r="B239" s="3"/>
      <c r="C239" s="3"/>
      <c r="D239" s="3"/>
      <c r="E239" s="3"/>
      <c r="F239" s="3"/>
      <c r="G239" s="3"/>
    </row>
    <row r="240" spans="1:7" x14ac:dyDescent="0.2">
      <c r="A240" s="5"/>
      <c r="B240" s="3"/>
      <c r="C240" s="3"/>
      <c r="D240" s="3"/>
      <c r="E240" s="3"/>
      <c r="F240" s="3"/>
      <c r="G240" s="3"/>
    </row>
    <row r="241" spans="1:7" x14ac:dyDescent="0.2">
      <c r="A241" s="5"/>
      <c r="B241" s="3"/>
      <c r="C241" s="3"/>
      <c r="D241" s="3"/>
      <c r="E241" s="3"/>
      <c r="F241" s="3"/>
      <c r="G241" s="3"/>
    </row>
    <row r="242" spans="1:7" x14ac:dyDescent="0.2">
      <c r="A242" s="5"/>
      <c r="B242" s="3"/>
      <c r="C242" s="3"/>
      <c r="D242" s="3"/>
      <c r="E242" s="3"/>
      <c r="F242" s="3"/>
      <c r="G242" s="3"/>
    </row>
    <row r="243" spans="1:7" x14ac:dyDescent="0.2">
      <c r="A243" s="5"/>
      <c r="B243" s="3"/>
      <c r="C243" s="3"/>
      <c r="D243" s="3"/>
      <c r="E243" s="3"/>
      <c r="F243" s="3"/>
      <c r="G243" s="3"/>
    </row>
    <row r="244" spans="1:7" x14ac:dyDescent="0.2">
      <c r="A244" s="5"/>
      <c r="B244" s="3"/>
      <c r="C244" s="3"/>
      <c r="D244" s="3"/>
      <c r="E244" s="3"/>
      <c r="F244" s="3"/>
      <c r="G244" s="3"/>
    </row>
    <row r="245" spans="1:7" x14ac:dyDescent="0.2">
      <c r="A245" s="5"/>
      <c r="B245" s="3"/>
      <c r="C245" s="3"/>
      <c r="D245" s="3"/>
      <c r="E245" s="3"/>
      <c r="F245" s="3"/>
      <c r="G245" s="3"/>
    </row>
    <row r="246" spans="1:7" x14ac:dyDescent="0.2">
      <c r="A246" s="5"/>
      <c r="B246" s="3"/>
      <c r="C246" s="3"/>
      <c r="D246" s="3"/>
      <c r="E246" s="3"/>
      <c r="F246" s="3"/>
      <c r="G246" s="3"/>
    </row>
    <row r="247" spans="1:7" x14ac:dyDescent="0.2">
      <c r="A247" s="5"/>
      <c r="B247" s="3"/>
      <c r="C247" s="3"/>
      <c r="D247" s="3"/>
      <c r="E247" s="3"/>
      <c r="F247" s="3"/>
      <c r="G247" s="3"/>
    </row>
    <row r="248" spans="1:7" x14ac:dyDescent="0.2">
      <c r="A248" s="5"/>
      <c r="B248" s="3"/>
      <c r="C248" s="3"/>
      <c r="D248" s="3"/>
      <c r="E248" s="3"/>
      <c r="F248" s="3"/>
      <c r="G248" s="3"/>
    </row>
    <row r="249" spans="1:7" x14ac:dyDescent="0.2">
      <c r="A249" s="5"/>
      <c r="B249" s="3"/>
      <c r="C249" s="3"/>
      <c r="D249" s="3"/>
      <c r="E249" s="3"/>
      <c r="F249" s="3"/>
      <c r="G249" s="3"/>
    </row>
    <row r="250" spans="1:7" x14ac:dyDescent="0.2">
      <c r="A250" s="5"/>
      <c r="B250" s="3"/>
      <c r="C250" s="3"/>
      <c r="D250" s="3"/>
      <c r="E250" s="3"/>
      <c r="F250" s="3"/>
      <c r="G250" s="3"/>
    </row>
    <row r="251" spans="1:7" x14ac:dyDescent="0.2">
      <c r="A251" s="5"/>
      <c r="B251" s="3"/>
      <c r="C251" s="3"/>
      <c r="D251" s="3"/>
      <c r="E251" s="3"/>
      <c r="F251" s="3"/>
      <c r="G251" s="3"/>
    </row>
    <row r="252" spans="1:7" x14ac:dyDescent="0.2">
      <c r="A252" s="5"/>
      <c r="B252" s="3"/>
      <c r="C252" s="3"/>
      <c r="D252" s="3"/>
      <c r="E252" s="3"/>
      <c r="F252" s="3"/>
      <c r="G252" s="3"/>
    </row>
    <row r="253" spans="1:7" x14ac:dyDescent="0.2">
      <c r="A253" s="5"/>
      <c r="B253" s="3"/>
      <c r="C253" s="3"/>
      <c r="D253" s="3"/>
      <c r="E253" s="3"/>
      <c r="F253" s="3"/>
      <c r="G253" s="3"/>
    </row>
    <row r="254" spans="1:7" x14ac:dyDescent="0.2">
      <c r="A254" s="5"/>
      <c r="B254" s="3"/>
      <c r="C254" s="3"/>
      <c r="D254" s="3"/>
      <c r="E254" s="3"/>
      <c r="F254" s="3"/>
      <c r="G254" s="3"/>
    </row>
    <row r="255" spans="1:7" x14ac:dyDescent="0.2">
      <c r="A255" s="5"/>
      <c r="B255" s="3"/>
      <c r="C255" s="3"/>
      <c r="D255" s="3"/>
      <c r="E255" s="3"/>
      <c r="F255" s="3"/>
      <c r="G255" s="3"/>
    </row>
    <row r="256" spans="1:7" x14ac:dyDescent="0.2">
      <c r="A256" s="5"/>
      <c r="B256" s="3"/>
      <c r="C256" s="3"/>
      <c r="D256" s="3"/>
      <c r="E256" s="3"/>
      <c r="F256" s="3"/>
      <c r="G256" s="3"/>
    </row>
    <row r="257" spans="1:7" x14ac:dyDescent="0.2">
      <c r="A257" s="5"/>
      <c r="B257" s="3"/>
      <c r="C257" s="3"/>
      <c r="D257" s="3"/>
      <c r="E257" s="3"/>
      <c r="F257" s="3"/>
      <c r="G257" s="3"/>
    </row>
    <row r="258" spans="1:7" x14ac:dyDescent="0.2">
      <c r="A258" s="5"/>
      <c r="B258" s="3"/>
      <c r="C258" s="3"/>
      <c r="D258" s="3"/>
      <c r="E258" s="3"/>
      <c r="F258" s="3"/>
      <c r="G258" s="3"/>
    </row>
    <row r="259" spans="1:7" x14ac:dyDescent="0.2">
      <c r="A259" s="5"/>
      <c r="B259" s="3"/>
      <c r="C259" s="3"/>
      <c r="D259" s="3"/>
      <c r="E259" s="3"/>
      <c r="F259" s="3"/>
      <c r="G259" s="3"/>
    </row>
    <row r="260" spans="1:7" x14ac:dyDescent="0.2">
      <c r="A260" s="5"/>
      <c r="B260" s="3"/>
      <c r="C260" s="3"/>
      <c r="D260" s="3"/>
      <c r="E260" s="3"/>
      <c r="F260" s="3"/>
      <c r="G260" s="3"/>
    </row>
    <row r="261" spans="1:7" x14ac:dyDescent="0.2">
      <c r="A261" s="5"/>
      <c r="B261" s="3"/>
      <c r="C261" s="3"/>
      <c r="D261" s="3"/>
      <c r="E261" s="3"/>
      <c r="F261" s="3"/>
      <c r="G261" s="3"/>
    </row>
    <row r="262" spans="1:7" x14ac:dyDescent="0.2">
      <c r="A262" s="5"/>
      <c r="B262" s="3"/>
      <c r="C262" s="3"/>
      <c r="D262" s="3"/>
      <c r="E262" s="3"/>
      <c r="F262" s="3"/>
      <c r="G262" s="3"/>
    </row>
    <row r="263" spans="1:7" x14ac:dyDescent="0.2">
      <c r="A263" s="5"/>
      <c r="B263" s="3"/>
      <c r="C263" s="3"/>
      <c r="D263" s="3"/>
      <c r="E263" s="3"/>
      <c r="F263" s="3"/>
      <c r="G263" s="3"/>
    </row>
    <row r="264" spans="1:7" x14ac:dyDescent="0.2">
      <c r="A264" s="5"/>
      <c r="B264" s="3"/>
      <c r="C264" s="3"/>
      <c r="D264" s="3"/>
      <c r="E264" s="3"/>
      <c r="F264" s="3"/>
      <c r="G264" s="3"/>
    </row>
    <row r="265" spans="1:7" x14ac:dyDescent="0.2">
      <c r="A265" s="5"/>
      <c r="B265" s="3"/>
      <c r="C265" s="3"/>
      <c r="D265" s="3"/>
      <c r="E265" s="3"/>
      <c r="F265" s="3"/>
      <c r="G265" s="3"/>
    </row>
    <row r="266" spans="1:7" x14ac:dyDescent="0.2">
      <c r="A266" s="5"/>
      <c r="B266" s="3"/>
      <c r="C266" s="3"/>
      <c r="D266" s="3"/>
      <c r="E266" s="3"/>
      <c r="F266" s="3"/>
      <c r="G266" s="3"/>
    </row>
    <row r="267" spans="1:7" x14ac:dyDescent="0.2">
      <c r="A267" s="5"/>
      <c r="B267" s="3"/>
      <c r="C267" s="3"/>
      <c r="D267" s="3"/>
      <c r="E267" s="3"/>
      <c r="F267" s="3"/>
      <c r="G267" s="3"/>
    </row>
    <row r="268" spans="1:7" x14ac:dyDescent="0.2">
      <c r="A268" s="5"/>
      <c r="B268" s="3"/>
      <c r="C268" s="3"/>
      <c r="D268" s="3"/>
      <c r="E268" s="3"/>
      <c r="F268" s="3"/>
      <c r="G268" s="3"/>
    </row>
    <row r="269" spans="1:7" x14ac:dyDescent="0.2">
      <c r="A269" s="5"/>
      <c r="B269" s="3"/>
      <c r="C269" s="3"/>
      <c r="D269" s="3"/>
      <c r="E269" s="3"/>
      <c r="F269" s="3"/>
      <c r="G269" s="3"/>
    </row>
    <row r="270" spans="1:7" x14ac:dyDescent="0.2">
      <c r="A270" s="5"/>
      <c r="B270" s="3"/>
      <c r="C270" s="3"/>
      <c r="D270" s="3"/>
      <c r="E270" s="3"/>
      <c r="F270" s="3"/>
      <c r="G270" s="3"/>
    </row>
    <row r="271" spans="1:7" x14ac:dyDescent="0.2">
      <c r="A271" s="5"/>
      <c r="B271" s="3"/>
      <c r="C271" s="3"/>
      <c r="D271" s="3"/>
      <c r="E271" s="3"/>
      <c r="F271" s="3"/>
      <c r="G271" s="3"/>
    </row>
    <row r="272" spans="1:7" x14ac:dyDescent="0.2">
      <c r="A272" s="5"/>
      <c r="B272" s="3"/>
      <c r="C272" s="3"/>
      <c r="D272" s="3"/>
      <c r="E272" s="3"/>
      <c r="F272" s="3"/>
      <c r="G272" s="3"/>
    </row>
    <row r="273" spans="1:7" x14ac:dyDescent="0.2">
      <c r="A273" s="5"/>
      <c r="B273" s="3"/>
      <c r="C273" s="3"/>
      <c r="D273" s="3"/>
      <c r="E273" s="3"/>
      <c r="F273" s="3"/>
      <c r="G273" s="3"/>
    </row>
    <row r="274" spans="1:7" x14ac:dyDescent="0.2">
      <c r="A274" s="5"/>
      <c r="B274" s="3"/>
      <c r="C274" s="3"/>
      <c r="D274" s="3"/>
      <c r="E274" s="3"/>
      <c r="F274" s="3"/>
      <c r="G274" s="3"/>
    </row>
    <row r="275" spans="1:7" x14ac:dyDescent="0.2">
      <c r="A275" s="5"/>
      <c r="B275" s="3"/>
      <c r="C275" s="3"/>
      <c r="D275" s="3"/>
      <c r="E275" s="3"/>
      <c r="F275" s="3"/>
      <c r="G275" s="3"/>
    </row>
    <row r="276" spans="1:7" x14ac:dyDescent="0.2">
      <c r="A276" s="5"/>
      <c r="B276" s="3"/>
      <c r="C276" s="3"/>
      <c r="D276" s="3"/>
      <c r="E276" s="3"/>
      <c r="F276" s="3"/>
      <c r="G276" s="3"/>
    </row>
    <row r="277" spans="1:7" x14ac:dyDescent="0.2">
      <c r="A277" s="5"/>
      <c r="B277" s="3"/>
      <c r="C277" s="3"/>
      <c r="D277" s="3"/>
      <c r="E277" s="3"/>
      <c r="F277" s="3"/>
      <c r="G277" s="3"/>
    </row>
    <row r="278" spans="1:7" x14ac:dyDescent="0.2">
      <c r="A278" s="5"/>
      <c r="B278" s="3"/>
      <c r="C278" s="3"/>
      <c r="D278" s="3"/>
      <c r="E278" s="3"/>
      <c r="F278" s="3"/>
      <c r="G278" s="3"/>
    </row>
    <row r="279" spans="1:7" x14ac:dyDescent="0.2">
      <c r="A279" s="5"/>
      <c r="B279" s="3"/>
      <c r="C279" s="3"/>
      <c r="D279" s="3"/>
      <c r="E279" s="3"/>
      <c r="F279" s="3"/>
      <c r="G279" s="3"/>
    </row>
    <row r="280" spans="1:7" x14ac:dyDescent="0.2">
      <c r="A280" s="5"/>
      <c r="B280" s="3"/>
      <c r="C280" s="3"/>
      <c r="D280" s="3"/>
      <c r="E280" s="3"/>
      <c r="F280" s="3"/>
      <c r="G280" s="3"/>
    </row>
    <row r="281" spans="1:7" x14ac:dyDescent="0.2">
      <c r="A281" s="5"/>
      <c r="B281" s="3"/>
      <c r="C281" s="3"/>
      <c r="D281" s="3"/>
      <c r="E281" s="3"/>
      <c r="F281" s="3"/>
      <c r="G281" s="3"/>
    </row>
    <row r="282" spans="1:7" x14ac:dyDescent="0.2">
      <c r="A282" s="5"/>
      <c r="B282" s="3"/>
      <c r="C282" s="3"/>
      <c r="D282" s="3"/>
      <c r="E282" s="3"/>
      <c r="F282" s="3"/>
      <c r="G282" s="3"/>
    </row>
    <row r="283" spans="1:7" x14ac:dyDescent="0.2">
      <c r="A283" s="5"/>
      <c r="B283" s="3"/>
      <c r="C283" s="3"/>
      <c r="D283" s="3"/>
      <c r="E283" s="3"/>
      <c r="F283" s="3"/>
      <c r="G283" s="3"/>
    </row>
    <row r="284" spans="1:7" x14ac:dyDescent="0.2">
      <c r="A284" s="5"/>
      <c r="B284" s="3"/>
      <c r="C284" s="3"/>
      <c r="D284" s="3"/>
      <c r="E284" s="3"/>
      <c r="F284" s="3"/>
      <c r="G284" s="3"/>
    </row>
    <row r="285" spans="1:7" x14ac:dyDescent="0.2">
      <c r="A285" s="5"/>
      <c r="B285" s="3"/>
      <c r="C285" s="3"/>
      <c r="D285" s="3"/>
      <c r="E285" s="3"/>
      <c r="F285" s="3"/>
      <c r="G285" s="3"/>
    </row>
    <row r="286" spans="1:7" x14ac:dyDescent="0.2">
      <c r="A286" s="5"/>
      <c r="B286" s="3"/>
      <c r="C286" s="3"/>
      <c r="D286" s="3"/>
      <c r="E286" s="3"/>
      <c r="F286" s="3"/>
      <c r="G286" s="3"/>
    </row>
    <row r="287" spans="1:7" x14ac:dyDescent="0.2">
      <c r="A287" s="5"/>
      <c r="B287" s="3"/>
      <c r="C287" s="3"/>
      <c r="D287" s="3"/>
      <c r="E287" s="3"/>
      <c r="F287" s="3"/>
      <c r="G287" s="3"/>
    </row>
    <row r="288" spans="1:7" x14ac:dyDescent="0.2">
      <c r="A288" s="5"/>
      <c r="B288" s="3"/>
      <c r="C288" s="3"/>
      <c r="D288" s="3"/>
      <c r="E288" s="3"/>
      <c r="F288" s="3"/>
      <c r="G288" s="3"/>
    </row>
    <row r="289" spans="1:7" x14ac:dyDescent="0.2">
      <c r="A289" s="5"/>
      <c r="B289" s="3"/>
      <c r="C289" s="3"/>
      <c r="D289" s="3"/>
      <c r="E289" s="3"/>
      <c r="F289" s="3"/>
      <c r="G289" s="3"/>
    </row>
    <row r="290" spans="1:7" x14ac:dyDescent="0.2">
      <c r="A290" s="5"/>
      <c r="B290" s="3"/>
      <c r="C290" s="3"/>
      <c r="D290" s="3"/>
      <c r="E290" s="3"/>
      <c r="F290" s="3"/>
      <c r="G290" s="3"/>
    </row>
    <row r="291" spans="1:7" x14ac:dyDescent="0.2">
      <c r="A291" s="5"/>
      <c r="B291" s="3"/>
      <c r="C291" s="3"/>
      <c r="D291" s="3"/>
      <c r="E291" s="3"/>
      <c r="F291" s="3"/>
      <c r="G291" s="3"/>
    </row>
    <row r="292" spans="1:7" x14ac:dyDescent="0.2">
      <c r="A292" s="5"/>
      <c r="B292" s="3"/>
      <c r="C292" s="3"/>
      <c r="D292" s="3"/>
      <c r="E292" s="3"/>
      <c r="F292" s="3"/>
      <c r="G292" s="3"/>
    </row>
    <row r="293" spans="1:7" x14ac:dyDescent="0.2">
      <c r="A293" s="5"/>
      <c r="B293" s="3"/>
      <c r="C293" s="3"/>
      <c r="D293" s="3"/>
      <c r="E293" s="3"/>
      <c r="F293" s="3"/>
      <c r="G293" s="3"/>
    </row>
    <row r="294" spans="1:7" x14ac:dyDescent="0.2">
      <c r="A294" s="5"/>
      <c r="B294" s="3"/>
      <c r="C294" s="3"/>
      <c r="D294" s="3"/>
      <c r="E294" s="3"/>
      <c r="F294" s="3"/>
      <c r="G294" s="3"/>
    </row>
    <row r="295" spans="1:7" x14ac:dyDescent="0.2">
      <c r="A295" s="5"/>
      <c r="B295" s="3"/>
      <c r="C295" s="3"/>
      <c r="D295" s="3"/>
      <c r="E295" s="3"/>
      <c r="F295" s="3"/>
      <c r="G295" s="3"/>
    </row>
    <row r="296" spans="1:7" x14ac:dyDescent="0.2">
      <c r="A296" s="5"/>
      <c r="B296" s="3"/>
      <c r="C296" s="3"/>
      <c r="D296" s="3"/>
      <c r="E296" s="3"/>
      <c r="F296" s="3"/>
      <c r="G296" s="3"/>
    </row>
    <row r="297" spans="1:7" x14ac:dyDescent="0.2">
      <c r="A297" s="5"/>
      <c r="B297" s="3"/>
      <c r="C297" s="3"/>
      <c r="D297" s="3"/>
      <c r="E297" s="3"/>
      <c r="F297" s="3"/>
      <c r="G297" s="3"/>
    </row>
    <row r="298" spans="1:7" x14ac:dyDescent="0.2">
      <c r="A298" s="5"/>
      <c r="B298" s="3"/>
      <c r="C298" s="3"/>
      <c r="D298" s="3"/>
      <c r="E298" s="3"/>
      <c r="F298" s="3"/>
      <c r="G298" s="3"/>
    </row>
    <row r="299" spans="1:7" x14ac:dyDescent="0.2">
      <c r="A299" s="5"/>
      <c r="B299" s="3"/>
      <c r="C299" s="3"/>
      <c r="D299" s="3"/>
      <c r="E299" s="3"/>
      <c r="F299" s="3"/>
      <c r="G299" s="3"/>
    </row>
    <row r="300" spans="1:7" x14ac:dyDescent="0.2">
      <c r="A300" s="5"/>
      <c r="B300" s="3"/>
      <c r="C300" s="3"/>
      <c r="D300" s="3"/>
      <c r="E300" s="3"/>
      <c r="F300" s="3"/>
      <c r="G300" s="3"/>
    </row>
    <row r="301" spans="1:7" x14ac:dyDescent="0.2">
      <c r="A301" s="5"/>
      <c r="B301" s="3"/>
      <c r="C301" s="3"/>
      <c r="D301" s="3"/>
      <c r="E301" s="3"/>
      <c r="F301" s="3"/>
      <c r="G301" s="3"/>
    </row>
    <row r="302" spans="1:7" x14ac:dyDescent="0.2">
      <c r="A302" s="5"/>
      <c r="B302" s="3"/>
      <c r="C302" s="3"/>
      <c r="D302" s="3"/>
      <c r="E302" s="3"/>
      <c r="F302" s="3"/>
      <c r="G302" s="3"/>
    </row>
    <row r="303" spans="1:7" x14ac:dyDescent="0.2">
      <c r="A303" s="5"/>
      <c r="B303" s="3"/>
      <c r="C303" s="3"/>
      <c r="D303" s="3"/>
      <c r="E303" s="3"/>
      <c r="F303" s="3"/>
      <c r="G303" s="3"/>
    </row>
    <row r="304" spans="1:7" x14ac:dyDescent="0.2">
      <c r="A304" s="5"/>
      <c r="B304" s="3"/>
      <c r="C304" s="3"/>
      <c r="D304" s="3"/>
      <c r="E304" s="3"/>
      <c r="F304" s="3"/>
      <c r="G304" s="3"/>
    </row>
    <row r="305" spans="1:7" x14ac:dyDescent="0.2">
      <c r="A305" s="5"/>
      <c r="B305" s="3"/>
      <c r="C305" s="3"/>
      <c r="D305" s="3"/>
      <c r="E305" s="3"/>
      <c r="F305" s="3"/>
      <c r="G305" s="3"/>
    </row>
    <row r="306" spans="1:7" x14ac:dyDescent="0.2">
      <c r="A306" s="5"/>
      <c r="B306" s="3"/>
      <c r="C306" s="3"/>
      <c r="D306" s="3"/>
      <c r="E306" s="3"/>
      <c r="F306" s="3"/>
      <c r="G306" s="3"/>
    </row>
    <row r="307" spans="1:7" x14ac:dyDescent="0.2">
      <c r="A307" s="5"/>
      <c r="B307" s="3"/>
      <c r="C307" s="3"/>
      <c r="D307" s="3"/>
      <c r="E307" s="3"/>
      <c r="F307" s="3"/>
      <c r="G307" s="3"/>
    </row>
    <row r="308" spans="1:7" x14ac:dyDescent="0.2">
      <c r="A308" s="5"/>
      <c r="B308" s="3"/>
      <c r="C308" s="3"/>
      <c r="D308" s="3"/>
      <c r="E308" s="3"/>
      <c r="F308" s="3"/>
      <c r="G308" s="3"/>
    </row>
    <row r="309" spans="1:7" x14ac:dyDescent="0.2">
      <c r="A309" s="5"/>
      <c r="B309" s="3"/>
      <c r="C309" s="3"/>
      <c r="D309" s="3"/>
      <c r="E309" s="3"/>
      <c r="F309" s="3"/>
      <c r="G309" s="3"/>
    </row>
    <row r="310" spans="1:7" x14ac:dyDescent="0.2">
      <c r="A310" s="5"/>
      <c r="B310" s="3"/>
      <c r="C310" s="3"/>
      <c r="D310" s="3"/>
      <c r="E310" s="3"/>
      <c r="F310" s="3"/>
      <c r="G310" s="3"/>
    </row>
    <row r="311" spans="1:7" x14ac:dyDescent="0.2">
      <c r="A311" s="5"/>
      <c r="B311" s="3"/>
      <c r="C311" s="3"/>
      <c r="D311" s="3"/>
      <c r="E311" s="3"/>
      <c r="F311" s="3"/>
      <c r="G311" s="3"/>
    </row>
    <row r="312" spans="1:7" x14ac:dyDescent="0.2">
      <c r="A312" s="5"/>
      <c r="B312" s="3"/>
      <c r="C312" s="3"/>
      <c r="D312" s="3"/>
      <c r="E312" s="3"/>
      <c r="F312" s="3"/>
      <c r="G312" s="3"/>
    </row>
    <row r="313" spans="1:7" x14ac:dyDescent="0.2">
      <c r="A313" s="5"/>
      <c r="B313" s="3"/>
      <c r="C313" s="3"/>
      <c r="D313" s="3"/>
      <c r="E313" s="3"/>
      <c r="F313" s="3"/>
      <c r="G313" s="3"/>
    </row>
    <row r="314" spans="1:7" x14ac:dyDescent="0.2">
      <c r="A314" s="5"/>
      <c r="B314" s="3"/>
      <c r="C314" s="3"/>
      <c r="D314" s="3"/>
      <c r="E314" s="3"/>
      <c r="F314" s="3"/>
      <c r="G314" s="3"/>
    </row>
    <row r="315" spans="1:7" x14ac:dyDescent="0.2">
      <c r="A315" s="5"/>
      <c r="B315" s="3"/>
      <c r="C315" s="3"/>
      <c r="D315" s="3"/>
      <c r="E315" s="3"/>
      <c r="F315" s="3"/>
      <c r="G315" s="3"/>
    </row>
    <row r="316" spans="1:7" x14ac:dyDescent="0.2">
      <c r="A316" s="5"/>
      <c r="B316" s="3"/>
      <c r="C316" s="3"/>
      <c r="D316" s="3"/>
      <c r="E316" s="3"/>
      <c r="F316" s="3"/>
      <c r="G316" s="3"/>
    </row>
    <row r="317" spans="1:7" x14ac:dyDescent="0.2">
      <c r="A317" s="5"/>
      <c r="B317" s="3"/>
      <c r="C317" s="3"/>
      <c r="D317" s="3"/>
      <c r="E317" s="3"/>
      <c r="F317" s="3"/>
      <c r="G317" s="3"/>
    </row>
    <row r="318" spans="1:7" x14ac:dyDescent="0.2">
      <c r="A318" s="5"/>
      <c r="B318" s="3"/>
      <c r="C318" s="3"/>
      <c r="D318" s="3"/>
      <c r="E318" s="3"/>
      <c r="F318" s="3"/>
      <c r="G318" s="3"/>
    </row>
    <row r="319" spans="1:7" x14ac:dyDescent="0.2">
      <c r="A319" s="5"/>
      <c r="B319" s="3"/>
      <c r="C319" s="3"/>
      <c r="D319" s="3"/>
      <c r="E319" s="3"/>
      <c r="F319" s="3"/>
      <c r="G319" s="3"/>
    </row>
    <row r="320" spans="1:7" x14ac:dyDescent="0.2">
      <c r="A320" s="5"/>
      <c r="B320" s="3"/>
      <c r="C320" s="3"/>
      <c r="D320" s="3"/>
      <c r="E320" s="3"/>
      <c r="F320" s="3"/>
      <c r="G320" s="3"/>
    </row>
    <row r="321" spans="1:7" x14ac:dyDescent="0.2">
      <c r="A321" s="5"/>
      <c r="B321" s="3"/>
      <c r="C321" s="3"/>
      <c r="D321" s="3"/>
      <c r="E321" s="3"/>
      <c r="F321" s="3"/>
      <c r="G321" s="3"/>
    </row>
    <row r="322" spans="1:7" x14ac:dyDescent="0.2">
      <c r="A322" s="5"/>
      <c r="B322" s="3"/>
      <c r="C322" s="3"/>
      <c r="D322" s="3"/>
      <c r="E322" s="3"/>
      <c r="F322" s="3"/>
      <c r="G322" s="3"/>
    </row>
    <row r="323" spans="1:7" x14ac:dyDescent="0.2">
      <c r="A323" s="5"/>
      <c r="B323" s="3"/>
      <c r="C323" s="3"/>
      <c r="D323" s="3"/>
      <c r="E323" s="3"/>
      <c r="F323" s="3"/>
      <c r="G323" s="3"/>
    </row>
    <row r="324" spans="1:7" x14ac:dyDescent="0.2">
      <c r="A324" s="5"/>
      <c r="B324" s="3"/>
      <c r="C324" s="3"/>
      <c r="D324" s="3"/>
      <c r="E324" s="3"/>
      <c r="F324" s="3"/>
      <c r="G324" s="3"/>
    </row>
    <row r="325" spans="1:7" x14ac:dyDescent="0.2">
      <c r="A325" s="5"/>
      <c r="B325" s="3"/>
      <c r="C325" s="3"/>
      <c r="D325" s="3"/>
      <c r="E325" s="3"/>
      <c r="F325" s="3"/>
      <c r="G325" s="3"/>
    </row>
    <row r="326" spans="1:7" x14ac:dyDescent="0.2">
      <c r="A326" s="5"/>
      <c r="B326" s="3"/>
      <c r="C326" s="3"/>
      <c r="D326" s="3"/>
      <c r="E326" s="3"/>
      <c r="F326" s="3"/>
      <c r="G326" s="3"/>
    </row>
    <row r="327" spans="1:7" x14ac:dyDescent="0.2">
      <c r="A327" s="5"/>
      <c r="B327" s="3"/>
      <c r="C327" s="3"/>
      <c r="D327" s="3"/>
      <c r="E327" s="3"/>
      <c r="F327" s="3"/>
      <c r="G327" s="3"/>
    </row>
    <row r="328" spans="1:7" x14ac:dyDescent="0.2">
      <c r="A328" s="5"/>
      <c r="B328" s="3"/>
      <c r="C328" s="3"/>
      <c r="D328" s="3"/>
      <c r="E328" s="3"/>
      <c r="F328" s="3"/>
      <c r="G328" s="3"/>
    </row>
    <row r="329" spans="1:7" x14ac:dyDescent="0.2">
      <c r="A329" s="5"/>
      <c r="B329" s="3"/>
      <c r="C329" s="3"/>
      <c r="D329" s="3"/>
      <c r="E329" s="3"/>
      <c r="F329" s="3"/>
      <c r="G329" s="3"/>
    </row>
    <row r="330" spans="1:7" x14ac:dyDescent="0.2">
      <c r="A330" s="5"/>
      <c r="B330" s="3"/>
      <c r="C330" s="3"/>
      <c r="D330" s="3"/>
      <c r="E330" s="3"/>
      <c r="F330" s="3"/>
      <c r="G330" s="3"/>
    </row>
    <row r="331" spans="1:7" x14ac:dyDescent="0.2">
      <c r="A331" s="5"/>
      <c r="B331" s="3"/>
      <c r="C331" s="3"/>
      <c r="D331" s="3"/>
      <c r="E331" s="3"/>
      <c r="F331" s="3"/>
      <c r="G331" s="3"/>
    </row>
    <row r="332" spans="1:7" x14ac:dyDescent="0.2">
      <c r="A332" s="5"/>
      <c r="B332" s="3"/>
      <c r="C332" s="3"/>
      <c r="D332" s="3"/>
      <c r="E332" s="3"/>
      <c r="F332" s="3"/>
      <c r="G332" s="3"/>
    </row>
    <row r="333" spans="1:7" x14ac:dyDescent="0.2">
      <c r="A333" s="5"/>
      <c r="B333" s="3"/>
      <c r="C333" s="3"/>
      <c r="D333" s="3"/>
      <c r="E333" s="3"/>
      <c r="F333" s="3"/>
      <c r="G333" s="3"/>
    </row>
    <row r="334" spans="1:7" x14ac:dyDescent="0.2">
      <c r="A334" s="5"/>
      <c r="B334" s="3"/>
      <c r="C334" s="3"/>
      <c r="D334" s="3"/>
      <c r="E334" s="3"/>
      <c r="F334" s="3"/>
      <c r="G334" s="3"/>
    </row>
    <row r="335" spans="1:7" x14ac:dyDescent="0.2">
      <c r="A335" s="5"/>
      <c r="B335" s="3"/>
      <c r="C335" s="3"/>
      <c r="D335" s="3"/>
      <c r="E335" s="3"/>
      <c r="F335" s="3"/>
      <c r="G335" s="3"/>
    </row>
    <row r="336" spans="1:7" x14ac:dyDescent="0.2">
      <c r="A336" s="5"/>
      <c r="B336" s="3"/>
      <c r="C336" s="3"/>
      <c r="D336" s="3"/>
      <c r="E336" s="3"/>
      <c r="F336" s="3"/>
      <c r="G336" s="3"/>
    </row>
    <row r="337" spans="1:7" x14ac:dyDescent="0.2">
      <c r="A337" s="5"/>
      <c r="B337" s="3"/>
      <c r="C337" s="3"/>
      <c r="D337" s="3"/>
      <c r="E337" s="3"/>
      <c r="F337" s="3"/>
      <c r="G337" s="3"/>
    </row>
    <row r="338" spans="1:7" x14ac:dyDescent="0.2">
      <c r="A338" s="5"/>
      <c r="B338" s="3"/>
      <c r="C338" s="3"/>
      <c r="D338" s="3"/>
      <c r="E338" s="3"/>
      <c r="F338" s="3"/>
      <c r="G338" s="3"/>
    </row>
    <row r="339" spans="1:7" x14ac:dyDescent="0.2">
      <c r="A339" s="5"/>
      <c r="B339" s="3"/>
      <c r="C339" s="3"/>
      <c r="D339" s="3"/>
      <c r="E339" s="3"/>
      <c r="F339" s="3"/>
      <c r="G339" s="3"/>
    </row>
    <row r="340" spans="1:7" x14ac:dyDescent="0.2">
      <c r="A340" s="5"/>
      <c r="B340" s="3"/>
      <c r="C340" s="3"/>
      <c r="D340" s="3"/>
      <c r="E340" s="3"/>
      <c r="F340" s="3"/>
      <c r="G340" s="3"/>
    </row>
    <row r="341" spans="1:7" x14ac:dyDescent="0.2">
      <c r="A341" s="5"/>
      <c r="B341" s="3"/>
      <c r="C341" s="3"/>
      <c r="D341" s="3"/>
      <c r="E341" s="3"/>
      <c r="F341" s="3"/>
      <c r="G341" s="3"/>
    </row>
    <row r="342" spans="1:7" x14ac:dyDescent="0.2">
      <c r="A342" s="5"/>
      <c r="B342" s="3"/>
      <c r="C342" s="3"/>
      <c r="D342" s="3"/>
      <c r="E342" s="3"/>
      <c r="F342" s="3"/>
      <c r="G342" s="3"/>
    </row>
    <row r="343" spans="1:7" x14ac:dyDescent="0.2">
      <c r="A343" s="5"/>
      <c r="B343" s="3"/>
      <c r="C343" s="3"/>
      <c r="D343" s="3"/>
      <c r="E343" s="3"/>
      <c r="F343" s="3"/>
      <c r="G343" s="3"/>
    </row>
    <row r="344" spans="1:7" x14ac:dyDescent="0.2">
      <c r="A344" s="5"/>
      <c r="B344" s="3"/>
      <c r="C344" s="3"/>
      <c r="D344" s="3"/>
      <c r="E344" s="3"/>
      <c r="F344" s="3"/>
      <c r="G344" s="3"/>
    </row>
    <row r="345" spans="1:7" x14ac:dyDescent="0.2">
      <c r="A345" s="5"/>
      <c r="B345" s="3"/>
      <c r="C345" s="3"/>
      <c r="D345" s="3"/>
      <c r="E345" s="3"/>
      <c r="F345" s="3"/>
      <c r="G345" s="3"/>
    </row>
    <row r="346" spans="1:7" x14ac:dyDescent="0.2">
      <c r="A346" s="5"/>
      <c r="B346" s="3"/>
      <c r="C346" s="3"/>
      <c r="D346" s="3"/>
      <c r="E346" s="3"/>
      <c r="F346" s="3"/>
      <c r="G346" s="3"/>
    </row>
    <row r="347" spans="1:7" x14ac:dyDescent="0.2">
      <c r="A347" s="5"/>
      <c r="B347" s="3"/>
      <c r="C347" s="3"/>
      <c r="D347" s="3"/>
      <c r="E347" s="3"/>
      <c r="F347" s="3"/>
      <c r="G347" s="3"/>
    </row>
    <row r="348" spans="1:7" x14ac:dyDescent="0.2">
      <c r="A348" s="5"/>
      <c r="B348" s="3"/>
      <c r="C348" s="3"/>
      <c r="D348" s="3"/>
      <c r="E348" s="3"/>
      <c r="F348" s="3"/>
      <c r="G348" s="3"/>
    </row>
    <row r="349" spans="1:7" x14ac:dyDescent="0.2">
      <c r="A349" s="5"/>
      <c r="B349" s="3"/>
      <c r="C349" s="3"/>
      <c r="D349" s="3"/>
      <c r="E349" s="3"/>
      <c r="F349" s="3"/>
      <c r="G349" s="3"/>
    </row>
    <row r="350" spans="1:7" x14ac:dyDescent="0.2">
      <c r="A350" s="5"/>
      <c r="B350" s="3"/>
      <c r="C350" s="3"/>
      <c r="D350" s="3"/>
      <c r="E350" s="3"/>
      <c r="F350" s="3"/>
      <c r="G350" s="3"/>
    </row>
    <row r="351" spans="1:7" x14ac:dyDescent="0.2">
      <c r="A351" s="5"/>
      <c r="B351" s="3"/>
      <c r="C351" s="3"/>
      <c r="D351" s="3"/>
      <c r="E351" s="3"/>
      <c r="F351" s="3"/>
      <c r="G351" s="3"/>
    </row>
    <row r="352" spans="1:7" x14ac:dyDescent="0.2">
      <c r="A352" s="5"/>
      <c r="B352" s="3"/>
      <c r="C352" s="3"/>
      <c r="D352" s="3"/>
      <c r="E352" s="3"/>
      <c r="F352" s="3"/>
      <c r="G352" s="3"/>
    </row>
    <row r="353" spans="1:7" x14ac:dyDescent="0.2">
      <c r="A353" s="5"/>
      <c r="B353" s="3"/>
      <c r="C353" s="3"/>
      <c r="D353" s="3"/>
      <c r="E353" s="3"/>
      <c r="F353" s="3"/>
      <c r="G353" s="3"/>
    </row>
    <row r="354" spans="1:7" x14ac:dyDescent="0.2">
      <c r="A354" s="5"/>
      <c r="B354" s="3"/>
      <c r="C354" s="3"/>
      <c r="D354" s="3"/>
      <c r="E354" s="3"/>
      <c r="F354" s="3"/>
      <c r="G354" s="3"/>
    </row>
    <row r="355" spans="1:7" x14ac:dyDescent="0.2">
      <c r="A355" s="5"/>
      <c r="B355" s="3"/>
      <c r="C355" s="3"/>
      <c r="D355" s="3"/>
      <c r="E355" s="3"/>
      <c r="F355" s="3"/>
      <c r="G355" s="3"/>
    </row>
    <row r="356" spans="1:7" x14ac:dyDescent="0.2">
      <c r="A356" s="5"/>
      <c r="B356" s="3"/>
      <c r="C356" s="3"/>
      <c r="D356" s="3"/>
      <c r="E356" s="3"/>
      <c r="F356" s="3"/>
      <c r="G356" s="3"/>
    </row>
    <row r="357" spans="1:7" x14ac:dyDescent="0.2">
      <c r="A357" s="5"/>
      <c r="B357" s="3"/>
      <c r="C357" s="3"/>
      <c r="D357" s="3"/>
      <c r="E357" s="3"/>
      <c r="F357" s="3"/>
      <c r="G357" s="3"/>
    </row>
    <row r="358" spans="1:7" x14ac:dyDescent="0.2">
      <c r="A358" s="5"/>
      <c r="B358" s="3"/>
      <c r="C358" s="3"/>
      <c r="D358" s="3"/>
      <c r="E358" s="3"/>
      <c r="F358" s="3"/>
      <c r="G358" s="3"/>
    </row>
    <row r="359" spans="1:7" x14ac:dyDescent="0.2">
      <c r="A359" s="5"/>
      <c r="B359" s="3"/>
      <c r="C359" s="3"/>
      <c r="D359" s="3"/>
      <c r="E359" s="3"/>
      <c r="F359" s="3"/>
      <c r="G359" s="3"/>
    </row>
    <row r="360" spans="1:7" x14ac:dyDescent="0.2">
      <c r="A360" s="5"/>
      <c r="B360" s="3"/>
      <c r="C360" s="3"/>
      <c r="D360" s="3"/>
      <c r="E360" s="3"/>
      <c r="F360" s="3"/>
      <c r="G360" s="3"/>
    </row>
    <row r="361" spans="1:7" x14ac:dyDescent="0.2">
      <c r="A361" s="5"/>
      <c r="B361" s="3"/>
      <c r="C361" s="3"/>
      <c r="D361" s="3"/>
      <c r="E361" s="3"/>
      <c r="F361" s="3"/>
      <c r="G361" s="3"/>
    </row>
    <row r="362" spans="1:7" x14ac:dyDescent="0.2">
      <c r="A362" s="5"/>
      <c r="B362" s="3"/>
      <c r="C362" s="3"/>
      <c r="D362" s="3"/>
      <c r="E362" s="3"/>
      <c r="F362" s="3"/>
      <c r="G362" s="3"/>
    </row>
    <row r="363" spans="1:7" x14ac:dyDescent="0.2">
      <c r="A363" s="5"/>
      <c r="B363" s="3"/>
      <c r="C363" s="3"/>
      <c r="D363" s="3"/>
      <c r="E363" s="3"/>
      <c r="F363" s="3"/>
      <c r="G363" s="3"/>
    </row>
    <row r="364" spans="1:7" x14ac:dyDescent="0.2">
      <c r="A364" s="5"/>
      <c r="B364" s="3"/>
      <c r="C364" s="3"/>
      <c r="D364" s="3"/>
      <c r="E364" s="3"/>
      <c r="F364" s="3"/>
      <c r="G364" s="3"/>
    </row>
    <row r="365" spans="1:7" x14ac:dyDescent="0.2">
      <c r="A365" s="5"/>
      <c r="B365" s="3"/>
      <c r="C365" s="3"/>
      <c r="D365" s="3"/>
      <c r="E365" s="3"/>
      <c r="F365" s="3"/>
      <c r="G365" s="3"/>
    </row>
    <row r="366" spans="1:7" x14ac:dyDescent="0.2">
      <c r="A366" s="5"/>
      <c r="B366" s="3"/>
      <c r="C366" s="3"/>
      <c r="D366" s="3"/>
      <c r="E366" s="3"/>
      <c r="F366" s="3"/>
      <c r="G366" s="3"/>
    </row>
    <row r="367" spans="1:7" x14ac:dyDescent="0.2">
      <c r="A367" s="5"/>
      <c r="B367" s="3"/>
      <c r="C367" s="3"/>
      <c r="D367" s="3"/>
      <c r="E367" s="3"/>
      <c r="F367" s="3"/>
      <c r="G367" s="3"/>
    </row>
    <row r="368" spans="1:7" x14ac:dyDescent="0.2">
      <c r="A368" s="5"/>
      <c r="B368" s="3"/>
      <c r="C368" s="3"/>
      <c r="D368" s="3"/>
      <c r="E368" s="3"/>
      <c r="F368" s="3"/>
      <c r="G368" s="3"/>
    </row>
    <row r="369" spans="1:7" x14ac:dyDescent="0.2">
      <c r="A369" s="5"/>
      <c r="B369" s="3"/>
      <c r="C369" s="3"/>
      <c r="D369" s="3"/>
      <c r="E369" s="3"/>
      <c r="F369" s="3"/>
      <c r="G369" s="3"/>
    </row>
    <row r="370" spans="1:7" x14ac:dyDescent="0.2">
      <c r="A370" s="5"/>
      <c r="B370" s="3"/>
      <c r="C370" s="3"/>
      <c r="D370" s="3"/>
      <c r="E370" s="3"/>
      <c r="F370" s="3"/>
      <c r="G370" s="3"/>
    </row>
    <row r="371" spans="1:7" x14ac:dyDescent="0.2">
      <c r="A371" s="5"/>
      <c r="B371" s="3"/>
      <c r="C371" s="3"/>
      <c r="D371" s="3"/>
      <c r="E371" s="3"/>
      <c r="F371" s="3"/>
      <c r="G371" s="3"/>
    </row>
    <row r="372" spans="1:7" x14ac:dyDescent="0.2">
      <c r="A372" s="5"/>
      <c r="B372" s="3"/>
      <c r="C372" s="3"/>
      <c r="D372" s="3"/>
      <c r="E372" s="3"/>
      <c r="F372" s="3"/>
      <c r="G372" s="3"/>
    </row>
    <row r="373" spans="1:7" x14ac:dyDescent="0.2">
      <c r="A373" s="5"/>
      <c r="B373" s="3"/>
      <c r="C373" s="3"/>
      <c r="D373" s="3"/>
      <c r="E373" s="3"/>
      <c r="F373" s="3"/>
      <c r="G373" s="3"/>
    </row>
    <row r="374" spans="1:7" x14ac:dyDescent="0.2">
      <c r="A374" s="5"/>
      <c r="B374" s="3"/>
      <c r="C374" s="3"/>
      <c r="D374" s="3"/>
      <c r="E374" s="3"/>
      <c r="F374" s="3"/>
      <c r="G374" s="3"/>
    </row>
    <row r="375" spans="1:7" x14ac:dyDescent="0.2">
      <c r="A375" s="5"/>
      <c r="B375" s="3"/>
      <c r="C375" s="3"/>
      <c r="D375" s="3"/>
      <c r="E375" s="3"/>
      <c r="F375" s="3"/>
      <c r="G375" s="3"/>
    </row>
    <row r="376" spans="1:7" x14ac:dyDescent="0.2">
      <c r="A376" s="5"/>
      <c r="B376" s="3"/>
      <c r="C376" s="3"/>
      <c r="D376" s="3"/>
      <c r="E376" s="3"/>
      <c r="F376" s="3"/>
      <c r="G376" s="3"/>
    </row>
    <row r="377" spans="1:7" x14ac:dyDescent="0.2">
      <c r="A377" s="5"/>
      <c r="B377" s="3"/>
      <c r="C377" s="3"/>
      <c r="D377" s="3"/>
      <c r="E377" s="3"/>
      <c r="F377" s="3"/>
      <c r="G377" s="3"/>
    </row>
    <row r="378" spans="1:7" x14ac:dyDescent="0.2">
      <c r="A378" s="5"/>
      <c r="B378" s="3"/>
      <c r="C378" s="3"/>
      <c r="D378" s="3"/>
      <c r="E378" s="3"/>
      <c r="F378" s="3"/>
      <c r="G378" s="3"/>
    </row>
    <row r="379" spans="1:7" x14ac:dyDescent="0.2">
      <c r="A379" s="5"/>
      <c r="B379" s="3"/>
      <c r="C379" s="3"/>
      <c r="D379" s="3"/>
      <c r="E379" s="3"/>
      <c r="F379" s="3"/>
      <c r="G379" s="3"/>
    </row>
    <row r="380" spans="1:7" x14ac:dyDescent="0.2">
      <c r="A380" s="5"/>
      <c r="B380" s="3"/>
      <c r="C380" s="3"/>
      <c r="D380" s="3"/>
      <c r="E380" s="3"/>
      <c r="F380" s="3"/>
      <c r="G380" s="3"/>
    </row>
    <row r="381" spans="1:7" x14ac:dyDescent="0.2">
      <c r="A381" s="5"/>
      <c r="B381" s="3"/>
      <c r="C381" s="3"/>
      <c r="D381" s="3"/>
      <c r="E381" s="3"/>
      <c r="F381" s="3"/>
      <c r="G381" s="3"/>
    </row>
    <row r="382" spans="1:7" x14ac:dyDescent="0.2">
      <c r="A382" s="5"/>
      <c r="B382" s="3"/>
      <c r="C382" s="3"/>
      <c r="D382" s="3"/>
      <c r="E382" s="3"/>
      <c r="F382" s="3"/>
      <c r="G382" s="3"/>
    </row>
    <row r="383" spans="1:7" x14ac:dyDescent="0.2">
      <c r="A383" s="5"/>
      <c r="B383" s="3"/>
      <c r="C383" s="3"/>
      <c r="D383" s="3"/>
      <c r="E383" s="3"/>
      <c r="F383" s="3"/>
      <c r="G383" s="3"/>
    </row>
    <row r="384" spans="1:7" x14ac:dyDescent="0.2">
      <c r="A384" s="5"/>
      <c r="B384" s="3"/>
      <c r="C384" s="3"/>
      <c r="D384" s="3"/>
      <c r="E384" s="3"/>
      <c r="F384" s="3"/>
      <c r="G384" s="3"/>
    </row>
    <row r="385" spans="1:7" x14ac:dyDescent="0.2">
      <c r="A385" s="5"/>
      <c r="B385" s="3"/>
      <c r="C385" s="3"/>
      <c r="D385" s="3"/>
      <c r="E385" s="3"/>
      <c r="F385" s="3"/>
      <c r="G385" s="3"/>
    </row>
    <row r="386" spans="1:7" x14ac:dyDescent="0.2">
      <c r="A386" s="5"/>
      <c r="B386" s="3"/>
      <c r="C386" s="3"/>
      <c r="D386" s="3"/>
      <c r="E386" s="3"/>
      <c r="F386" s="3"/>
      <c r="G386" s="3"/>
    </row>
    <row r="387" spans="1:7" x14ac:dyDescent="0.2">
      <c r="A387" s="5"/>
      <c r="B387" s="3"/>
      <c r="C387" s="3"/>
      <c r="D387" s="3"/>
      <c r="E387" s="3"/>
      <c r="F387" s="3"/>
      <c r="G387" s="3"/>
    </row>
    <row r="388" spans="1:7" x14ac:dyDescent="0.2">
      <c r="A388" s="5"/>
      <c r="B388" s="3"/>
      <c r="C388" s="3"/>
      <c r="D388" s="3"/>
      <c r="E388" s="3"/>
      <c r="F388" s="3"/>
      <c r="G388" s="3"/>
    </row>
    <row r="389" spans="1:7" x14ac:dyDescent="0.2">
      <c r="A389" s="5"/>
      <c r="B389" s="3"/>
      <c r="C389" s="3"/>
      <c r="D389" s="3"/>
      <c r="E389" s="3"/>
      <c r="F389" s="3"/>
      <c r="G389" s="3"/>
    </row>
    <row r="390" spans="1:7" x14ac:dyDescent="0.2">
      <c r="A390" s="5"/>
      <c r="B390" s="3"/>
      <c r="C390" s="3"/>
      <c r="D390" s="3"/>
      <c r="E390" s="3"/>
      <c r="F390" s="3"/>
      <c r="G390" s="3"/>
    </row>
    <row r="391" spans="1:7" x14ac:dyDescent="0.2">
      <c r="A391" s="5"/>
      <c r="B391" s="3"/>
      <c r="C391" s="3"/>
      <c r="D391" s="3"/>
      <c r="E391" s="3"/>
      <c r="F391" s="3"/>
      <c r="G391" s="3"/>
    </row>
    <row r="392" spans="1:7" x14ac:dyDescent="0.2">
      <c r="A392" s="5"/>
      <c r="B392" s="3"/>
      <c r="C392" s="3"/>
      <c r="D392" s="3"/>
      <c r="E392" s="3"/>
      <c r="F392" s="3"/>
      <c r="G392" s="3"/>
    </row>
    <row r="393" spans="1:7" x14ac:dyDescent="0.2">
      <c r="A393" s="5"/>
      <c r="B393" s="3"/>
      <c r="C393" s="3"/>
      <c r="D393" s="3"/>
      <c r="E393" s="3"/>
      <c r="F393" s="3"/>
      <c r="G393" s="3"/>
    </row>
    <row r="394" spans="1:7" x14ac:dyDescent="0.2">
      <c r="A394" s="5"/>
      <c r="B394" s="3"/>
      <c r="C394" s="3"/>
      <c r="D394" s="3"/>
      <c r="E394" s="3"/>
      <c r="F394" s="3"/>
      <c r="G394" s="3"/>
    </row>
    <row r="395" spans="1:7" x14ac:dyDescent="0.2">
      <c r="A395" s="5"/>
      <c r="B395" s="3"/>
      <c r="C395" s="3"/>
      <c r="D395" s="3"/>
      <c r="E395" s="3"/>
      <c r="F395" s="3"/>
      <c r="G395" s="3"/>
    </row>
    <row r="396" spans="1:7" x14ac:dyDescent="0.2">
      <c r="A396" s="5"/>
      <c r="B396" s="3"/>
      <c r="C396" s="3"/>
      <c r="D396" s="3"/>
      <c r="E396" s="3"/>
      <c r="F396" s="3"/>
      <c r="G396" s="3"/>
    </row>
    <row r="397" spans="1:7" x14ac:dyDescent="0.2">
      <c r="A397" s="5"/>
      <c r="B397" s="3"/>
      <c r="C397" s="3"/>
      <c r="D397" s="3"/>
      <c r="E397" s="3"/>
      <c r="F397" s="3"/>
      <c r="G397" s="3"/>
    </row>
    <row r="398" spans="1:7" x14ac:dyDescent="0.2">
      <c r="A398" s="5"/>
      <c r="B398" s="3"/>
      <c r="C398" s="3"/>
      <c r="D398" s="3"/>
      <c r="E398" s="3"/>
      <c r="F398" s="3"/>
      <c r="G398" s="3"/>
    </row>
    <row r="399" spans="1:7" x14ac:dyDescent="0.2">
      <c r="A399" s="5"/>
      <c r="B399" s="3"/>
      <c r="C399" s="3"/>
      <c r="D399" s="3"/>
      <c r="E399" s="3"/>
      <c r="F399" s="3"/>
      <c r="G399" s="3"/>
    </row>
    <row r="400" spans="1:7" x14ac:dyDescent="0.2">
      <c r="A400" s="5"/>
      <c r="B400" s="3"/>
      <c r="C400" s="3"/>
      <c r="D400" s="3"/>
      <c r="E400" s="3"/>
      <c r="F400" s="3"/>
      <c r="G400" s="3"/>
    </row>
    <row r="401" spans="1:7" x14ac:dyDescent="0.2">
      <c r="A401" s="5"/>
      <c r="B401" s="3"/>
      <c r="C401" s="3"/>
      <c r="D401" s="3"/>
      <c r="E401" s="3"/>
      <c r="F401" s="3"/>
      <c r="G401" s="3"/>
    </row>
    <row r="402" spans="1:7" x14ac:dyDescent="0.2">
      <c r="A402" s="5"/>
      <c r="B402" s="3"/>
      <c r="C402" s="3"/>
      <c r="D402" s="3"/>
      <c r="E402" s="3"/>
      <c r="F402" s="3"/>
      <c r="G402" s="3"/>
    </row>
    <row r="403" spans="1:7" x14ac:dyDescent="0.2">
      <c r="A403" s="5"/>
      <c r="B403" s="3"/>
      <c r="C403" s="3"/>
      <c r="D403" s="3"/>
      <c r="E403" s="3"/>
      <c r="F403" s="3"/>
      <c r="G403" s="3"/>
    </row>
    <row r="404" spans="1:7" x14ac:dyDescent="0.2">
      <c r="A404" s="5"/>
      <c r="B404" s="3"/>
      <c r="C404" s="3"/>
      <c r="D404" s="3"/>
      <c r="E404" s="3"/>
      <c r="F404" s="3"/>
      <c r="G404" s="3"/>
    </row>
    <row r="405" spans="1:7" x14ac:dyDescent="0.2">
      <c r="A405" s="5"/>
      <c r="B405" s="3"/>
      <c r="C405" s="3"/>
      <c r="D405" s="3"/>
      <c r="E405" s="3"/>
      <c r="F405" s="3"/>
      <c r="G405" s="3"/>
    </row>
    <row r="406" spans="1:7" x14ac:dyDescent="0.2">
      <c r="A406" s="5"/>
      <c r="B406" s="3"/>
      <c r="C406" s="3"/>
      <c r="D406" s="3"/>
      <c r="E406" s="3"/>
      <c r="F406" s="3"/>
      <c r="G406" s="3"/>
    </row>
    <row r="407" spans="1:7" x14ac:dyDescent="0.2">
      <c r="A407" s="5"/>
      <c r="B407" s="3"/>
      <c r="C407" s="3"/>
      <c r="D407" s="3"/>
      <c r="E407" s="3"/>
      <c r="F407" s="3"/>
      <c r="G407" s="3"/>
    </row>
    <row r="408" spans="1:7" x14ac:dyDescent="0.2">
      <c r="A408" s="5"/>
      <c r="B408" s="3"/>
      <c r="C408" s="3"/>
      <c r="D408" s="3"/>
      <c r="E408" s="3"/>
      <c r="F408" s="3"/>
      <c r="G408" s="3"/>
    </row>
    <row r="409" spans="1:7" x14ac:dyDescent="0.2">
      <c r="A409" s="5"/>
      <c r="B409" s="3"/>
      <c r="C409" s="3"/>
      <c r="D409" s="3"/>
      <c r="E409" s="3"/>
      <c r="F409" s="3"/>
      <c r="G409" s="3"/>
    </row>
    <row r="410" spans="1:7" x14ac:dyDescent="0.2">
      <c r="A410" s="5"/>
      <c r="B410" s="3"/>
      <c r="C410" s="3"/>
      <c r="D410" s="3"/>
      <c r="E410" s="3"/>
      <c r="F410" s="3"/>
      <c r="G410" s="3"/>
    </row>
    <row r="411" spans="1:7" x14ac:dyDescent="0.2">
      <c r="A411" s="5"/>
      <c r="B411" s="3"/>
      <c r="C411" s="3"/>
      <c r="D411" s="3"/>
      <c r="E411" s="3"/>
      <c r="F411" s="3"/>
      <c r="G411" s="3"/>
    </row>
    <row r="412" spans="1:7" x14ac:dyDescent="0.2">
      <c r="A412" s="5"/>
      <c r="B412" s="3"/>
      <c r="C412" s="3"/>
      <c r="D412" s="3"/>
      <c r="E412" s="3"/>
      <c r="F412" s="3"/>
      <c r="G412" s="3"/>
    </row>
    <row r="413" spans="1:7" x14ac:dyDescent="0.2">
      <c r="A413" s="5"/>
      <c r="B413" s="3"/>
      <c r="C413" s="3"/>
      <c r="D413" s="3"/>
      <c r="E413" s="3"/>
      <c r="F413" s="3"/>
      <c r="G413" s="3"/>
    </row>
    <row r="414" spans="1:7" x14ac:dyDescent="0.2">
      <c r="A414" s="5"/>
      <c r="B414" s="3"/>
      <c r="C414" s="3"/>
      <c r="D414" s="3"/>
      <c r="E414" s="3"/>
      <c r="F414" s="3"/>
      <c r="G414" s="3"/>
    </row>
    <row r="415" spans="1:7" x14ac:dyDescent="0.2">
      <c r="A415" s="5"/>
      <c r="B415" s="3"/>
      <c r="C415" s="3"/>
      <c r="D415" s="3"/>
      <c r="E415" s="3"/>
      <c r="F415" s="3"/>
      <c r="G415" s="3"/>
    </row>
    <row r="416" spans="1:7" x14ac:dyDescent="0.2">
      <c r="A416" s="5"/>
      <c r="B416" s="3"/>
      <c r="C416" s="3"/>
      <c r="D416" s="3"/>
      <c r="E416" s="3"/>
      <c r="F416" s="3"/>
      <c r="G416" s="3"/>
    </row>
    <row r="417" spans="1:7" x14ac:dyDescent="0.2">
      <c r="A417" s="5"/>
      <c r="B417" s="3"/>
      <c r="C417" s="3"/>
      <c r="D417" s="3"/>
      <c r="E417" s="3"/>
      <c r="F417" s="3"/>
      <c r="G417" s="3"/>
    </row>
    <row r="418" spans="1:7" x14ac:dyDescent="0.2">
      <c r="A418" s="5"/>
      <c r="B418" s="3"/>
      <c r="C418" s="3"/>
      <c r="D418" s="3"/>
      <c r="E418" s="3"/>
      <c r="F418" s="3"/>
      <c r="G418" s="3"/>
    </row>
    <row r="419" spans="1:7" x14ac:dyDescent="0.2">
      <c r="A419" s="5"/>
      <c r="B419" s="3"/>
      <c r="C419" s="3"/>
      <c r="D419" s="3"/>
      <c r="E419" s="3"/>
      <c r="F419" s="3"/>
      <c r="G419" s="3"/>
    </row>
    <row r="420" spans="1:7" x14ac:dyDescent="0.2">
      <c r="A420" s="5"/>
      <c r="B420" s="3"/>
      <c r="C420" s="3"/>
      <c r="D420" s="3"/>
      <c r="E420" s="3"/>
      <c r="F420" s="3"/>
      <c r="G420" s="3"/>
    </row>
    <row r="421" spans="1:7" x14ac:dyDescent="0.2">
      <c r="A421" s="5"/>
      <c r="B421" s="3"/>
      <c r="C421" s="3"/>
      <c r="D421" s="3"/>
      <c r="E421" s="3"/>
      <c r="F421" s="3"/>
      <c r="G421" s="3"/>
    </row>
    <row r="422" spans="1:7" x14ac:dyDescent="0.2">
      <c r="A422" s="5"/>
      <c r="B422" s="3"/>
      <c r="C422" s="3"/>
      <c r="D422" s="3"/>
      <c r="E422" s="3"/>
      <c r="F422" s="3"/>
      <c r="G422" s="3"/>
    </row>
    <row r="423" spans="1:7" x14ac:dyDescent="0.2">
      <c r="A423" s="5"/>
      <c r="B423" s="3"/>
      <c r="C423" s="3"/>
      <c r="D423" s="3"/>
      <c r="E423" s="3"/>
      <c r="F423" s="3"/>
      <c r="G423" s="3"/>
    </row>
    <row r="424" spans="1:7" x14ac:dyDescent="0.2">
      <c r="A424" s="5"/>
      <c r="B424" s="3"/>
      <c r="C424" s="3"/>
      <c r="D424" s="3"/>
      <c r="E424" s="3"/>
      <c r="F424" s="3"/>
      <c r="G424" s="3"/>
    </row>
    <row r="425" spans="1:7" x14ac:dyDescent="0.2">
      <c r="A425" s="5"/>
      <c r="B425" s="3"/>
      <c r="C425" s="3"/>
      <c r="D425" s="3"/>
      <c r="E425" s="3"/>
      <c r="F425" s="3"/>
      <c r="G425" s="3"/>
    </row>
    <row r="426" spans="1:7" x14ac:dyDescent="0.2">
      <c r="A426" s="5"/>
      <c r="B426" s="3"/>
      <c r="C426" s="3"/>
      <c r="D426" s="3"/>
      <c r="E426" s="3"/>
      <c r="F426" s="3"/>
      <c r="G426" s="3"/>
    </row>
    <row r="427" spans="1:7" x14ac:dyDescent="0.2">
      <c r="A427" s="5"/>
      <c r="B427" s="3"/>
      <c r="C427" s="3"/>
      <c r="D427" s="3"/>
      <c r="E427" s="3"/>
      <c r="F427" s="3"/>
      <c r="G427" s="3"/>
    </row>
    <row r="428" spans="1:7" x14ac:dyDescent="0.2">
      <c r="A428" s="5"/>
      <c r="B428" s="3"/>
      <c r="C428" s="3"/>
      <c r="D428" s="3"/>
      <c r="E428" s="3"/>
      <c r="F428" s="3"/>
      <c r="G428" s="3"/>
    </row>
    <row r="429" spans="1:7" x14ac:dyDescent="0.2">
      <c r="A429" s="5"/>
      <c r="B429" s="3"/>
      <c r="C429" s="3"/>
      <c r="D429" s="3"/>
      <c r="E429" s="3"/>
      <c r="F429" s="3"/>
      <c r="G429" s="3"/>
    </row>
    <row r="430" spans="1:7" x14ac:dyDescent="0.2">
      <c r="A430" s="5"/>
      <c r="B430" s="3"/>
      <c r="C430" s="3"/>
      <c r="D430" s="3"/>
      <c r="E430" s="3"/>
      <c r="F430" s="3"/>
      <c r="G430" s="3"/>
    </row>
    <row r="431" spans="1:7" x14ac:dyDescent="0.2">
      <c r="A431" s="5"/>
      <c r="B431" s="3"/>
      <c r="C431" s="3"/>
      <c r="D431" s="3"/>
      <c r="E431" s="3"/>
      <c r="F431" s="3"/>
      <c r="G431" s="3"/>
    </row>
    <row r="432" spans="1:7" x14ac:dyDescent="0.2">
      <c r="A432" s="5"/>
      <c r="B432" s="3"/>
      <c r="C432" s="3"/>
      <c r="D432" s="3"/>
      <c r="E432" s="3"/>
      <c r="F432" s="3"/>
      <c r="G432" s="3"/>
    </row>
    <row r="433" spans="1:7" x14ac:dyDescent="0.2">
      <c r="A433" s="5"/>
      <c r="B433" s="3"/>
      <c r="C433" s="3"/>
      <c r="D433" s="3"/>
      <c r="E433" s="3"/>
      <c r="F433" s="3"/>
      <c r="G433" s="3"/>
    </row>
    <row r="434" spans="1:7" x14ac:dyDescent="0.2">
      <c r="A434" s="5"/>
      <c r="B434" s="3"/>
      <c r="C434" s="3"/>
      <c r="D434" s="3"/>
      <c r="E434" s="3"/>
      <c r="F434" s="3"/>
      <c r="G434" s="3"/>
    </row>
    <row r="435" spans="1:7" x14ac:dyDescent="0.2">
      <c r="A435" s="5"/>
      <c r="B435" s="3"/>
      <c r="C435" s="3"/>
      <c r="D435" s="3"/>
      <c r="E435" s="3"/>
      <c r="F435" s="3"/>
      <c r="G435" s="3"/>
    </row>
    <row r="436" spans="1:7" x14ac:dyDescent="0.2">
      <c r="A436" s="5"/>
      <c r="B436" s="3"/>
      <c r="C436" s="3"/>
      <c r="D436" s="3"/>
      <c r="E436" s="3"/>
      <c r="F436" s="3"/>
      <c r="G436" s="3"/>
    </row>
    <row r="437" spans="1:7" x14ac:dyDescent="0.2">
      <c r="A437" s="5"/>
      <c r="B437" s="3"/>
      <c r="C437" s="3"/>
      <c r="D437" s="3"/>
      <c r="E437" s="3"/>
      <c r="F437" s="3"/>
      <c r="G437" s="3"/>
    </row>
    <row r="438" spans="1:7" x14ac:dyDescent="0.2">
      <c r="A438" s="5"/>
      <c r="B438" s="3"/>
      <c r="C438" s="3"/>
      <c r="D438" s="3"/>
      <c r="E438" s="3"/>
      <c r="F438" s="3"/>
      <c r="G438" s="3"/>
    </row>
    <row r="439" spans="1:7" x14ac:dyDescent="0.2">
      <c r="A439" s="5"/>
      <c r="B439" s="3"/>
      <c r="C439" s="3"/>
      <c r="D439" s="3"/>
      <c r="E439" s="3"/>
      <c r="F439" s="3"/>
      <c r="G439" s="3"/>
    </row>
    <row r="440" spans="1:7" x14ac:dyDescent="0.2">
      <c r="A440" s="5"/>
      <c r="B440" s="3"/>
      <c r="C440" s="3"/>
      <c r="D440" s="3"/>
      <c r="E440" s="3"/>
      <c r="F440" s="3"/>
      <c r="G440" s="3"/>
    </row>
    <row r="441" spans="1:7" x14ac:dyDescent="0.2">
      <c r="A441" s="5"/>
      <c r="B441" s="3"/>
      <c r="C441" s="3"/>
      <c r="D441" s="3"/>
      <c r="E441" s="3"/>
      <c r="F441" s="3"/>
      <c r="G441" s="3"/>
    </row>
    <row r="442" spans="1:7" x14ac:dyDescent="0.2">
      <c r="A442" s="5"/>
      <c r="B442" s="3"/>
      <c r="C442" s="3"/>
      <c r="D442" s="3"/>
      <c r="E442" s="3"/>
      <c r="F442" s="3"/>
      <c r="G442" s="3"/>
    </row>
    <row r="443" spans="1:7" x14ac:dyDescent="0.2">
      <c r="A443" s="5"/>
      <c r="B443" s="3"/>
      <c r="C443" s="3"/>
      <c r="D443" s="3"/>
      <c r="E443" s="3"/>
      <c r="F443" s="3"/>
      <c r="G443" s="3"/>
    </row>
    <row r="444" spans="1:7" x14ac:dyDescent="0.2">
      <c r="A444" s="5"/>
      <c r="B444" s="3"/>
      <c r="C444" s="3"/>
      <c r="D444" s="3"/>
      <c r="E444" s="3"/>
      <c r="F444" s="3"/>
      <c r="G444" s="3"/>
    </row>
    <row r="445" spans="1:7" x14ac:dyDescent="0.2">
      <c r="A445" s="5"/>
      <c r="B445" s="3"/>
      <c r="C445" s="3"/>
      <c r="D445" s="3"/>
      <c r="E445" s="3"/>
      <c r="F445" s="3"/>
      <c r="G445" s="3"/>
    </row>
    <row r="446" spans="1:7" x14ac:dyDescent="0.2">
      <c r="A446" s="5"/>
      <c r="B446" s="3"/>
      <c r="C446" s="3"/>
      <c r="D446" s="3"/>
      <c r="E446" s="3"/>
      <c r="F446" s="3"/>
      <c r="G446" s="3"/>
    </row>
    <row r="447" spans="1:7" x14ac:dyDescent="0.2">
      <c r="A447" s="5"/>
      <c r="B447" s="3"/>
      <c r="C447" s="3"/>
      <c r="D447" s="3"/>
      <c r="E447" s="3"/>
      <c r="F447" s="3"/>
      <c r="G447" s="3"/>
    </row>
    <row r="448" spans="1:7" x14ac:dyDescent="0.2">
      <c r="A448" s="5"/>
      <c r="B448" s="3"/>
      <c r="C448" s="3"/>
      <c r="D448" s="3"/>
      <c r="E448" s="3"/>
      <c r="F448" s="3"/>
      <c r="G448" s="3"/>
    </row>
    <row r="449" spans="1:7" x14ac:dyDescent="0.2">
      <c r="A449" s="5"/>
      <c r="B449" s="3"/>
      <c r="C449" s="3"/>
      <c r="D449" s="3"/>
      <c r="E449" s="3"/>
      <c r="F449" s="3"/>
      <c r="G449" s="3"/>
    </row>
    <row r="450" spans="1:7" x14ac:dyDescent="0.2">
      <c r="A450" s="5"/>
      <c r="B450" s="3"/>
      <c r="C450" s="3"/>
      <c r="D450" s="3"/>
      <c r="E450" s="3"/>
      <c r="F450" s="3"/>
      <c r="G450" s="3"/>
    </row>
    <row r="451" spans="1:7" x14ac:dyDescent="0.2">
      <c r="A451" s="5"/>
      <c r="B451" s="3"/>
      <c r="C451" s="3"/>
      <c r="D451" s="3"/>
      <c r="E451" s="3"/>
      <c r="F451" s="3"/>
      <c r="G451" s="3"/>
    </row>
    <row r="452" spans="1:7" x14ac:dyDescent="0.2">
      <c r="A452" s="5"/>
      <c r="B452" s="3"/>
      <c r="C452" s="3"/>
      <c r="D452" s="3"/>
      <c r="E452" s="3"/>
      <c r="F452" s="3"/>
      <c r="G452" s="3"/>
    </row>
    <row r="453" spans="1:7" x14ac:dyDescent="0.2">
      <c r="A453" s="5"/>
      <c r="B453" s="3"/>
      <c r="C453" s="3"/>
      <c r="D453" s="3"/>
      <c r="E453" s="3"/>
      <c r="F453" s="3"/>
      <c r="G453" s="3"/>
    </row>
    <row r="454" spans="1:7" x14ac:dyDescent="0.2">
      <c r="A454" s="5"/>
      <c r="B454" s="3"/>
      <c r="C454" s="3"/>
      <c r="D454" s="3"/>
      <c r="E454" s="3"/>
      <c r="F454" s="3"/>
      <c r="G454" s="3"/>
    </row>
    <row r="455" spans="1:7" x14ac:dyDescent="0.2">
      <c r="A455" s="5"/>
      <c r="B455" s="3"/>
      <c r="C455" s="3"/>
      <c r="D455" s="3"/>
      <c r="E455" s="3"/>
      <c r="F455" s="3"/>
      <c r="G455" s="3"/>
    </row>
    <row r="456" spans="1:7" x14ac:dyDescent="0.2">
      <c r="A456" s="5"/>
      <c r="B456" s="3"/>
      <c r="C456" s="3"/>
      <c r="D456" s="3"/>
      <c r="E456" s="3"/>
      <c r="F456" s="3"/>
      <c r="G456" s="3"/>
    </row>
    <row r="457" spans="1:7" x14ac:dyDescent="0.2">
      <c r="A457" s="5"/>
      <c r="B457" s="3"/>
      <c r="C457" s="3"/>
      <c r="D457" s="3"/>
      <c r="E457" s="3"/>
      <c r="F457" s="3"/>
      <c r="G457" s="3"/>
    </row>
    <row r="458" spans="1:7" x14ac:dyDescent="0.2">
      <c r="A458" s="5"/>
      <c r="B458" s="3"/>
      <c r="C458" s="3"/>
      <c r="D458" s="3"/>
      <c r="E458" s="3"/>
      <c r="F458" s="3"/>
      <c r="G458" s="3"/>
    </row>
    <row r="459" spans="1:7" x14ac:dyDescent="0.2">
      <c r="A459" s="5"/>
      <c r="B459" s="3"/>
      <c r="C459" s="3"/>
      <c r="D459" s="3"/>
      <c r="E459" s="3"/>
      <c r="F459" s="3"/>
      <c r="G459" s="3"/>
    </row>
    <row r="460" spans="1:7" x14ac:dyDescent="0.2">
      <c r="A460" s="5"/>
      <c r="B460" s="3"/>
      <c r="C460" s="3"/>
      <c r="D460" s="3"/>
      <c r="E460" s="3"/>
      <c r="F460" s="3"/>
      <c r="G460" s="3"/>
    </row>
    <row r="461" spans="1:7" x14ac:dyDescent="0.2">
      <c r="A461" s="5"/>
      <c r="B461" s="3"/>
      <c r="C461" s="3"/>
      <c r="D461" s="3"/>
      <c r="E461" s="3"/>
      <c r="F461" s="3"/>
      <c r="G461" s="3"/>
    </row>
    <row r="462" spans="1:7" x14ac:dyDescent="0.2">
      <c r="A462" s="5"/>
      <c r="B462" s="3"/>
      <c r="C462" s="3"/>
      <c r="D462" s="3"/>
      <c r="E462" s="3"/>
      <c r="F462" s="3"/>
      <c r="G462" s="3"/>
    </row>
    <row r="463" spans="1:7" x14ac:dyDescent="0.2">
      <c r="A463" s="5"/>
      <c r="B463" s="3"/>
      <c r="C463" s="3"/>
      <c r="D463" s="3"/>
      <c r="E463" s="3"/>
      <c r="F463" s="3"/>
      <c r="G463" s="3"/>
    </row>
    <row r="464" spans="1:7" x14ac:dyDescent="0.2">
      <c r="A464" s="5"/>
      <c r="B464" s="3"/>
      <c r="C464" s="3"/>
      <c r="D464" s="3"/>
      <c r="E464" s="3"/>
      <c r="F464" s="3"/>
      <c r="G464" s="3"/>
    </row>
    <row r="465" spans="1:7" x14ac:dyDescent="0.2">
      <c r="A465" s="5"/>
      <c r="B465" s="3"/>
      <c r="C465" s="3"/>
      <c r="D465" s="3"/>
      <c r="E465" s="3"/>
      <c r="F465" s="3"/>
      <c r="G465" s="3"/>
    </row>
    <row r="466" spans="1:7" x14ac:dyDescent="0.2">
      <c r="A466" s="5"/>
      <c r="B466" s="3"/>
      <c r="C466" s="3"/>
      <c r="D466" s="3"/>
      <c r="E466" s="3"/>
      <c r="F466" s="3"/>
      <c r="G466" s="3"/>
    </row>
    <row r="467" spans="1:7" x14ac:dyDescent="0.2">
      <c r="A467" s="5"/>
      <c r="B467" s="3"/>
      <c r="C467" s="3"/>
      <c r="D467" s="3"/>
      <c r="E467" s="3"/>
      <c r="F467" s="3"/>
      <c r="G467" s="3"/>
    </row>
    <row r="468" spans="1:7" x14ac:dyDescent="0.2">
      <c r="A468" s="5"/>
      <c r="B468" s="3"/>
      <c r="C468" s="3"/>
      <c r="D468" s="3"/>
      <c r="E468" s="3"/>
      <c r="F468" s="3"/>
      <c r="G468" s="3"/>
    </row>
    <row r="469" spans="1:7" x14ac:dyDescent="0.2">
      <c r="A469" s="5"/>
      <c r="B469" s="3"/>
      <c r="C469" s="3"/>
      <c r="D469" s="3"/>
      <c r="E469" s="3"/>
      <c r="F469" s="3"/>
      <c r="G469" s="3"/>
    </row>
    <row r="470" spans="1:7" x14ac:dyDescent="0.2">
      <c r="A470" s="5"/>
      <c r="B470" s="3"/>
      <c r="C470" s="3"/>
      <c r="D470" s="3"/>
      <c r="E470" s="3"/>
      <c r="F470" s="3"/>
      <c r="G470" s="3"/>
    </row>
    <row r="471" spans="1:7" x14ac:dyDescent="0.2">
      <c r="A471" s="5"/>
      <c r="B471" s="3"/>
      <c r="C471" s="3"/>
      <c r="D471" s="3"/>
      <c r="E471" s="3"/>
      <c r="F471" s="3"/>
      <c r="G471" s="3"/>
    </row>
    <row r="472" spans="1:7" x14ac:dyDescent="0.2">
      <c r="A472" s="5"/>
      <c r="B472" s="3"/>
      <c r="C472" s="3"/>
      <c r="D472" s="3"/>
      <c r="E472" s="3"/>
      <c r="F472" s="3"/>
      <c r="G472" s="3"/>
    </row>
    <row r="473" spans="1:7" x14ac:dyDescent="0.2">
      <c r="A473" s="5"/>
      <c r="B473" s="3"/>
      <c r="C473" s="3"/>
      <c r="D473" s="3"/>
      <c r="E473" s="3"/>
      <c r="F473" s="3"/>
      <c r="G473" s="3"/>
    </row>
    <row r="474" spans="1:7" x14ac:dyDescent="0.2">
      <c r="A474" s="5"/>
      <c r="B474" s="3"/>
      <c r="C474" s="3"/>
      <c r="D474" s="3"/>
      <c r="E474" s="3"/>
      <c r="F474" s="3"/>
      <c r="G474" s="3"/>
    </row>
    <row r="475" spans="1:7" x14ac:dyDescent="0.2">
      <c r="A475" s="5"/>
      <c r="B475" s="3"/>
      <c r="C475" s="3"/>
      <c r="D475" s="3"/>
      <c r="E475" s="3"/>
      <c r="F475" s="3"/>
      <c r="G475" s="3"/>
    </row>
    <row r="476" spans="1:7" x14ac:dyDescent="0.2">
      <c r="A476" s="5"/>
      <c r="B476" s="3"/>
      <c r="C476" s="3"/>
      <c r="D476" s="3"/>
      <c r="E476" s="3"/>
      <c r="F476" s="3"/>
      <c r="G476" s="3"/>
    </row>
    <row r="477" spans="1:7" x14ac:dyDescent="0.2">
      <c r="A477" s="5"/>
      <c r="B477" s="3"/>
      <c r="C477" s="3"/>
      <c r="D477" s="3"/>
      <c r="E477" s="3"/>
      <c r="F477" s="3"/>
      <c r="G477" s="3"/>
    </row>
    <row r="478" spans="1:7" x14ac:dyDescent="0.2">
      <c r="A478" s="5"/>
      <c r="B478" s="3"/>
      <c r="C478" s="3"/>
      <c r="D478" s="3"/>
      <c r="E478" s="3"/>
      <c r="F478" s="3"/>
      <c r="G478" s="3"/>
    </row>
    <row r="479" spans="1:7" x14ac:dyDescent="0.2">
      <c r="A479" s="5"/>
      <c r="B479" s="3"/>
      <c r="C479" s="3"/>
      <c r="D479" s="3"/>
      <c r="E479" s="3"/>
      <c r="F479" s="3"/>
      <c r="G479" s="3"/>
    </row>
    <row r="480" spans="1:7" x14ac:dyDescent="0.2">
      <c r="A480" s="5"/>
      <c r="B480" s="3"/>
      <c r="C480" s="3"/>
      <c r="D480" s="3"/>
      <c r="E480" s="3"/>
      <c r="F480" s="3"/>
      <c r="G480" s="3"/>
    </row>
    <row r="481" spans="1:7" x14ac:dyDescent="0.2">
      <c r="A481" s="5"/>
      <c r="B481" s="3"/>
      <c r="C481" s="3"/>
      <c r="D481" s="3"/>
      <c r="E481" s="3"/>
      <c r="F481" s="3"/>
      <c r="G481" s="3"/>
    </row>
    <row r="482" spans="1:7" x14ac:dyDescent="0.2">
      <c r="A482" s="5"/>
      <c r="B482" s="3"/>
      <c r="C482" s="3"/>
      <c r="D482" s="3"/>
      <c r="E482" s="3"/>
      <c r="F482" s="3"/>
      <c r="G482" s="3"/>
    </row>
    <row r="483" spans="1:7" x14ac:dyDescent="0.2">
      <c r="A483" s="5"/>
      <c r="B483" s="3"/>
      <c r="C483" s="3"/>
      <c r="D483" s="3"/>
      <c r="E483" s="3"/>
      <c r="F483" s="3"/>
      <c r="G483" s="3"/>
    </row>
    <row r="484" spans="1:7" x14ac:dyDescent="0.2">
      <c r="A484" s="5"/>
      <c r="B484" s="3"/>
      <c r="C484" s="3"/>
      <c r="D484" s="3"/>
      <c r="E484" s="3"/>
      <c r="F484" s="3"/>
      <c r="G484" s="3"/>
    </row>
    <row r="485" spans="1:7" x14ac:dyDescent="0.2">
      <c r="A485" s="5"/>
      <c r="B485" s="3"/>
      <c r="C485" s="3"/>
      <c r="D485" s="3"/>
      <c r="E485" s="3"/>
      <c r="F485" s="3"/>
      <c r="G485" s="3"/>
    </row>
    <row r="486" spans="1:7" x14ac:dyDescent="0.2">
      <c r="A486" s="5"/>
      <c r="B486" s="3"/>
      <c r="C486" s="3"/>
      <c r="D486" s="3"/>
      <c r="E486" s="3"/>
      <c r="F486" s="3"/>
      <c r="G486" s="3"/>
    </row>
    <row r="487" spans="1:7" x14ac:dyDescent="0.2">
      <c r="A487" s="5"/>
      <c r="B487" s="3"/>
      <c r="C487" s="3"/>
      <c r="D487" s="3"/>
      <c r="E487" s="3"/>
      <c r="F487" s="3"/>
      <c r="G487" s="3"/>
    </row>
    <row r="488" spans="1:7" x14ac:dyDescent="0.2">
      <c r="A488" s="5"/>
      <c r="B488" s="3"/>
      <c r="C488" s="3"/>
      <c r="D488" s="3"/>
      <c r="E488" s="3"/>
      <c r="F488" s="3"/>
      <c r="G488" s="3"/>
    </row>
    <row r="489" spans="1:7" x14ac:dyDescent="0.2">
      <c r="A489" s="5"/>
      <c r="B489" s="3"/>
      <c r="C489" s="3"/>
      <c r="D489" s="3"/>
      <c r="E489" s="3"/>
      <c r="F489" s="3"/>
      <c r="G489" s="3"/>
    </row>
    <row r="490" spans="1:7" x14ac:dyDescent="0.2">
      <c r="A490" s="5"/>
      <c r="B490" s="3"/>
      <c r="C490" s="3"/>
      <c r="D490" s="3"/>
      <c r="E490" s="3"/>
      <c r="F490" s="3"/>
      <c r="G490" s="3"/>
    </row>
    <row r="491" spans="1:7" x14ac:dyDescent="0.2">
      <c r="A491" s="5"/>
      <c r="B491" s="3"/>
      <c r="C491" s="3"/>
      <c r="D491" s="3"/>
      <c r="E491" s="3"/>
      <c r="F491" s="3"/>
      <c r="G491" s="3"/>
    </row>
    <row r="492" spans="1:7" x14ac:dyDescent="0.2">
      <c r="A492" s="5"/>
      <c r="B492" s="3"/>
      <c r="C492" s="3"/>
      <c r="D492" s="3"/>
      <c r="E492" s="3"/>
      <c r="F492" s="3"/>
      <c r="G492" s="3"/>
    </row>
    <row r="493" spans="1:7" x14ac:dyDescent="0.2">
      <c r="A493" s="5"/>
      <c r="B493" s="3"/>
      <c r="C493" s="3"/>
      <c r="D493" s="3"/>
      <c r="E493" s="3"/>
      <c r="F493" s="3"/>
      <c r="G493" s="3"/>
    </row>
    <row r="494" spans="1:7" x14ac:dyDescent="0.2">
      <c r="A494" s="5"/>
      <c r="B494" s="3"/>
      <c r="C494" s="3"/>
      <c r="D494" s="3"/>
      <c r="E494" s="3"/>
      <c r="F494" s="3"/>
      <c r="G494" s="3"/>
    </row>
    <row r="495" spans="1:7" x14ac:dyDescent="0.2">
      <c r="A495" s="5"/>
      <c r="B495" s="3"/>
      <c r="C495" s="3"/>
      <c r="D495" s="3"/>
      <c r="E495" s="3"/>
      <c r="F495" s="3"/>
      <c r="G495" s="3"/>
    </row>
    <row r="496" spans="1:7" x14ac:dyDescent="0.2">
      <c r="A496" s="5"/>
      <c r="B496" s="3"/>
      <c r="C496" s="3"/>
      <c r="D496" s="3"/>
      <c r="E496" s="3"/>
      <c r="F496" s="3"/>
      <c r="G496" s="3"/>
    </row>
    <row r="497" spans="1:7" x14ac:dyDescent="0.2">
      <c r="A497" s="5"/>
      <c r="B497" s="3"/>
      <c r="C497" s="3"/>
      <c r="D497" s="3"/>
      <c r="E497" s="3"/>
      <c r="F497" s="3"/>
      <c r="G497" s="3"/>
    </row>
    <row r="498" spans="1:7" x14ac:dyDescent="0.2">
      <c r="A498" s="5"/>
      <c r="B498" s="3"/>
      <c r="C498" s="3"/>
      <c r="D498" s="3"/>
      <c r="E498" s="3"/>
      <c r="F498" s="3"/>
      <c r="G498" s="3"/>
    </row>
    <row r="499" spans="1:7" x14ac:dyDescent="0.2">
      <c r="A499" s="5"/>
      <c r="B499" s="3"/>
      <c r="C499" s="3"/>
      <c r="D499" s="3"/>
      <c r="E499" s="3"/>
      <c r="F499" s="3"/>
      <c r="G499" s="3"/>
    </row>
    <row r="500" spans="1:7" x14ac:dyDescent="0.2">
      <c r="A500" s="5"/>
      <c r="B500" s="3"/>
      <c r="C500" s="3"/>
      <c r="D500" s="3"/>
      <c r="E500" s="3"/>
      <c r="F500" s="3"/>
      <c r="G500" s="3"/>
    </row>
    <row r="501" spans="1:7" x14ac:dyDescent="0.2">
      <c r="A501" s="5"/>
      <c r="B501" s="3"/>
      <c r="C501" s="3"/>
      <c r="D501" s="3"/>
      <c r="E501" s="3"/>
      <c r="F501" s="3"/>
      <c r="G501" s="3"/>
    </row>
    <row r="502" spans="1:7" x14ac:dyDescent="0.2">
      <c r="A502" s="5"/>
      <c r="B502" s="3"/>
      <c r="C502" s="3"/>
      <c r="D502" s="3"/>
      <c r="E502" s="3"/>
      <c r="F502" s="3"/>
      <c r="G502" s="3"/>
    </row>
    <row r="503" spans="1:7" x14ac:dyDescent="0.2">
      <c r="A503" s="5"/>
      <c r="B503" s="3"/>
      <c r="C503" s="3"/>
      <c r="D503" s="3"/>
      <c r="E503" s="3"/>
      <c r="F503" s="3"/>
      <c r="G503" s="3"/>
    </row>
    <row r="504" spans="1:7" x14ac:dyDescent="0.2">
      <c r="A504" s="5"/>
      <c r="B504" s="3"/>
      <c r="C504" s="3"/>
      <c r="D504" s="3"/>
      <c r="E504" s="3"/>
      <c r="F504" s="3"/>
      <c r="G504" s="3"/>
    </row>
    <row r="505" spans="1:7" x14ac:dyDescent="0.2">
      <c r="A505" s="5"/>
      <c r="B505" s="3"/>
      <c r="C505" s="3"/>
      <c r="D505" s="3"/>
      <c r="E505" s="3"/>
      <c r="F505" s="3"/>
      <c r="G505" s="3"/>
    </row>
    <row r="506" spans="1:7" x14ac:dyDescent="0.2">
      <c r="A506" s="5"/>
      <c r="B506" s="3"/>
      <c r="C506" s="3"/>
      <c r="D506" s="3"/>
      <c r="E506" s="3"/>
      <c r="F506" s="3"/>
      <c r="G506" s="3"/>
    </row>
    <row r="507" spans="1:7" x14ac:dyDescent="0.2">
      <c r="A507" s="5"/>
      <c r="B507" s="3"/>
      <c r="C507" s="3"/>
      <c r="D507" s="3"/>
      <c r="E507" s="3"/>
      <c r="F507" s="3"/>
      <c r="G507" s="3"/>
    </row>
    <row r="508" spans="1:7" x14ac:dyDescent="0.2">
      <c r="A508" s="5"/>
      <c r="B508" s="3"/>
      <c r="C508" s="3"/>
      <c r="D508" s="3"/>
      <c r="E508" s="3"/>
      <c r="F508" s="3"/>
      <c r="G508" s="3"/>
    </row>
    <row r="509" spans="1:7" x14ac:dyDescent="0.2">
      <c r="A509" s="5"/>
      <c r="B509" s="3"/>
      <c r="C509" s="3"/>
      <c r="D509" s="3"/>
      <c r="E509" s="3"/>
      <c r="F509" s="3"/>
      <c r="G509" s="3"/>
    </row>
    <row r="510" spans="1:7" x14ac:dyDescent="0.2">
      <c r="A510" s="5"/>
      <c r="B510" s="3"/>
      <c r="C510" s="3"/>
      <c r="D510" s="3"/>
      <c r="E510" s="3"/>
      <c r="F510" s="3"/>
      <c r="G510" s="3"/>
    </row>
    <row r="511" spans="1:7" x14ac:dyDescent="0.2">
      <c r="A511" s="5"/>
      <c r="B511" s="3"/>
      <c r="C511" s="3"/>
      <c r="D511" s="3"/>
      <c r="E511" s="3"/>
      <c r="F511" s="3"/>
      <c r="G511" s="3"/>
    </row>
    <row r="512" spans="1:7" x14ac:dyDescent="0.2">
      <c r="A512" s="5"/>
      <c r="B512" s="3"/>
      <c r="C512" s="3"/>
      <c r="D512" s="3"/>
      <c r="E512" s="3"/>
      <c r="F512" s="3"/>
      <c r="G512" s="3"/>
    </row>
    <row r="513" spans="1:7" x14ac:dyDescent="0.2">
      <c r="A513" s="5"/>
      <c r="B513" s="3"/>
      <c r="C513" s="3"/>
      <c r="D513" s="3"/>
      <c r="E513" s="3"/>
      <c r="F513" s="3"/>
      <c r="G513" s="3"/>
    </row>
    <row r="514" spans="1:7" x14ac:dyDescent="0.2">
      <c r="A514" s="5"/>
      <c r="B514" s="3"/>
      <c r="C514" s="3"/>
      <c r="D514" s="3"/>
      <c r="E514" s="3"/>
      <c r="F514" s="3"/>
      <c r="G514" s="3"/>
    </row>
    <row r="515" spans="1:7" x14ac:dyDescent="0.2">
      <c r="A515" s="5"/>
      <c r="B515" s="3"/>
      <c r="C515" s="3"/>
      <c r="D515" s="3"/>
      <c r="E515" s="3"/>
      <c r="F515" s="3"/>
      <c r="G515" s="3"/>
    </row>
    <row r="516" spans="1:7" x14ac:dyDescent="0.2">
      <c r="A516" s="5"/>
      <c r="B516" s="3"/>
      <c r="C516" s="3"/>
      <c r="D516" s="3"/>
      <c r="E516" s="3"/>
      <c r="F516" s="3"/>
      <c r="G516" s="3"/>
    </row>
    <row r="517" spans="1:7" x14ac:dyDescent="0.2">
      <c r="A517" s="5"/>
      <c r="B517" s="3"/>
      <c r="C517" s="3"/>
      <c r="D517" s="3"/>
      <c r="E517" s="3"/>
      <c r="F517" s="3"/>
      <c r="G517" s="3"/>
    </row>
    <row r="518" spans="1:7" x14ac:dyDescent="0.2">
      <c r="A518" s="5"/>
      <c r="B518" s="3"/>
      <c r="C518" s="3"/>
      <c r="D518" s="3"/>
      <c r="E518" s="3"/>
      <c r="F518" s="3"/>
      <c r="G518" s="3"/>
    </row>
    <row r="519" spans="1:7" x14ac:dyDescent="0.2">
      <c r="A519" s="5"/>
      <c r="B519" s="3"/>
      <c r="C519" s="3"/>
      <c r="D519" s="3"/>
      <c r="E519" s="3"/>
      <c r="F519" s="3"/>
      <c r="G519" s="3"/>
    </row>
    <row r="520" spans="1:7" x14ac:dyDescent="0.2">
      <c r="A520" s="5"/>
      <c r="B520" s="3"/>
      <c r="C520" s="3"/>
      <c r="D520" s="3"/>
      <c r="E520" s="3"/>
      <c r="F520" s="3"/>
      <c r="G520" s="3"/>
    </row>
    <row r="521" spans="1:7" x14ac:dyDescent="0.2">
      <c r="A521" s="5"/>
      <c r="B521" s="3"/>
      <c r="C521" s="3"/>
      <c r="D521" s="3"/>
      <c r="E521" s="3"/>
      <c r="F521" s="3"/>
      <c r="G521" s="3"/>
    </row>
    <row r="522" spans="1:7" x14ac:dyDescent="0.2">
      <c r="A522" s="5"/>
      <c r="B522" s="3"/>
      <c r="C522" s="3"/>
      <c r="D522" s="3"/>
      <c r="E522" s="3"/>
      <c r="F522" s="3"/>
      <c r="G522" s="3"/>
    </row>
    <row r="523" spans="1:7" x14ac:dyDescent="0.2">
      <c r="A523" s="5"/>
      <c r="B523" s="3"/>
      <c r="C523" s="3"/>
      <c r="D523" s="3"/>
      <c r="E523" s="3"/>
      <c r="F523" s="3"/>
      <c r="G523" s="3"/>
    </row>
    <row r="524" spans="1:7" x14ac:dyDescent="0.2">
      <c r="A524" s="5"/>
      <c r="B524" s="3"/>
      <c r="C524" s="3"/>
      <c r="D524" s="3"/>
      <c r="E524" s="3"/>
      <c r="F524" s="3"/>
      <c r="G524" s="3"/>
    </row>
    <row r="525" spans="1:7" x14ac:dyDescent="0.2">
      <c r="A525" s="5"/>
      <c r="B525" s="3"/>
      <c r="C525" s="3"/>
      <c r="D525" s="3"/>
      <c r="E525" s="3"/>
      <c r="F525" s="3"/>
      <c r="G525" s="3"/>
    </row>
    <row r="526" spans="1:7" x14ac:dyDescent="0.2">
      <c r="A526" s="5"/>
      <c r="B526" s="3"/>
      <c r="C526" s="3"/>
      <c r="D526" s="3"/>
      <c r="E526" s="3"/>
      <c r="F526" s="3"/>
      <c r="G526" s="3"/>
    </row>
    <row r="527" spans="1:7" x14ac:dyDescent="0.2">
      <c r="A527" s="5"/>
      <c r="B527" s="3"/>
      <c r="C527" s="3"/>
      <c r="D527" s="3"/>
      <c r="E527" s="3"/>
      <c r="F527" s="3"/>
      <c r="G527" s="3"/>
    </row>
    <row r="528" spans="1:7" x14ac:dyDescent="0.2">
      <c r="A528" s="5"/>
      <c r="B528" s="3"/>
      <c r="C528" s="3"/>
      <c r="D528" s="3"/>
      <c r="E528" s="3"/>
      <c r="F528" s="3"/>
      <c r="G528" s="3"/>
    </row>
    <row r="529" spans="1:7" x14ac:dyDescent="0.2">
      <c r="A529" s="5"/>
      <c r="B529" s="3"/>
      <c r="C529" s="3"/>
      <c r="D529" s="3"/>
      <c r="E529" s="3"/>
      <c r="F529" s="3"/>
      <c r="G529" s="3"/>
    </row>
    <row r="530" spans="1:7" x14ac:dyDescent="0.2">
      <c r="A530" s="5"/>
      <c r="B530" s="3"/>
      <c r="C530" s="3"/>
      <c r="D530" s="3"/>
      <c r="E530" s="3"/>
      <c r="F530" s="3"/>
      <c r="G530" s="3"/>
    </row>
    <row r="531" spans="1:7" x14ac:dyDescent="0.2">
      <c r="A531" s="5"/>
      <c r="B531" s="3"/>
      <c r="C531" s="3"/>
      <c r="D531" s="3"/>
      <c r="E531" s="3"/>
      <c r="F531" s="3"/>
      <c r="G531" s="3"/>
    </row>
    <row r="532" spans="1:7" x14ac:dyDescent="0.2">
      <c r="A532" s="5"/>
      <c r="B532" s="3"/>
      <c r="C532" s="3"/>
      <c r="D532" s="3"/>
      <c r="E532" s="3"/>
      <c r="F532" s="3"/>
      <c r="G532" s="3"/>
    </row>
    <row r="533" spans="1:7" x14ac:dyDescent="0.2">
      <c r="A533" s="5"/>
      <c r="B533" s="3"/>
      <c r="C533" s="3"/>
      <c r="D533" s="3"/>
      <c r="E533" s="3"/>
      <c r="F533" s="3"/>
      <c r="G533" s="3"/>
    </row>
    <row r="534" spans="1:7" x14ac:dyDescent="0.2">
      <c r="A534" s="5"/>
      <c r="B534" s="3"/>
      <c r="C534" s="3"/>
      <c r="D534" s="3"/>
      <c r="E534" s="3"/>
      <c r="F534" s="3"/>
      <c r="G534" s="3"/>
    </row>
    <row r="535" spans="1:7" x14ac:dyDescent="0.2">
      <c r="A535" s="5"/>
      <c r="B535" s="3"/>
      <c r="C535" s="3"/>
      <c r="D535" s="3"/>
      <c r="E535" s="3"/>
      <c r="F535" s="3"/>
      <c r="G535" s="3"/>
    </row>
    <row r="536" spans="1:7" x14ac:dyDescent="0.2">
      <c r="A536" s="5"/>
      <c r="B536" s="3"/>
      <c r="C536" s="3"/>
      <c r="D536" s="3"/>
      <c r="E536" s="3"/>
      <c r="F536" s="3"/>
      <c r="G536" s="3"/>
    </row>
    <row r="537" spans="1:7" x14ac:dyDescent="0.2">
      <c r="A537" s="5"/>
      <c r="B537" s="3"/>
      <c r="C537" s="3"/>
      <c r="D537" s="3"/>
      <c r="E537" s="3"/>
      <c r="F537" s="3"/>
      <c r="G537" s="3"/>
    </row>
    <row r="538" spans="1:7" x14ac:dyDescent="0.2">
      <c r="A538" s="5"/>
      <c r="B538" s="3"/>
      <c r="C538" s="3"/>
      <c r="D538" s="3"/>
      <c r="E538" s="3"/>
      <c r="F538" s="3"/>
      <c r="G538" s="3"/>
    </row>
    <row r="539" spans="1:7" x14ac:dyDescent="0.2">
      <c r="A539" s="5"/>
      <c r="B539" s="3"/>
      <c r="C539" s="3"/>
      <c r="D539" s="3"/>
      <c r="E539" s="3"/>
      <c r="F539" s="3"/>
      <c r="G539" s="3"/>
    </row>
    <row r="540" spans="1:7" x14ac:dyDescent="0.2">
      <c r="A540" s="5"/>
      <c r="B540" s="3"/>
      <c r="C540" s="3"/>
      <c r="D540" s="3"/>
      <c r="E540" s="3"/>
      <c r="F540" s="3"/>
      <c r="G540" s="3"/>
    </row>
    <row r="541" spans="1:7" x14ac:dyDescent="0.2">
      <c r="A541" s="5"/>
      <c r="B541" s="3"/>
      <c r="C541" s="3"/>
      <c r="D541" s="3"/>
      <c r="E541" s="3"/>
      <c r="F541" s="3"/>
      <c r="G541" s="3"/>
    </row>
    <row r="542" spans="1:7" x14ac:dyDescent="0.2">
      <c r="A542" s="5"/>
      <c r="B542" s="3"/>
      <c r="C542" s="3"/>
      <c r="D542" s="3"/>
      <c r="E542" s="3"/>
      <c r="F542" s="3"/>
      <c r="G542" s="3"/>
    </row>
    <row r="543" spans="1:7" x14ac:dyDescent="0.2">
      <c r="A543" s="5"/>
      <c r="B543" s="3"/>
      <c r="C543" s="3"/>
      <c r="D543" s="3"/>
      <c r="E543" s="3"/>
      <c r="F543" s="3"/>
      <c r="G543" s="3"/>
    </row>
    <row r="544" spans="1:7" x14ac:dyDescent="0.2">
      <c r="A544" s="5"/>
      <c r="B544" s="3"/>
      <c r="C544" s="3"/>
      <c r="D544" s="3"/>
      <c r="E544" s="3"/>
      <c r="F544" s="3"/>
      <c r="G544" s="3"/>
    </row>
    <row r="545" spans="1:7" x14ac:dyDescent="0.2">
      <c r="A545" s="5"/>
      <c r="B545" s="3"/>
      <c r="C545" s="3"/>
      <c r="D545" s="3"/>
      <c r="E545" s="3"/>
      <c r="F545" s="3"/>
      <c r="G545" s="3"/>
    </row>
    <row r="546" spans="1:7" x14ac:dyDescent="0.2">
      <c r="A546" s="5"/>
      <c r="B546" s="3"/>
      <c r="C546" s="3"/>
      <c r="D546" s="3"/>
      <c r="E546" s="3"/>
      <c r="F546" s="3"/>
      <c r="G546" s="3"/>
    </row>
    <row r="547" spans="1:7" x14ac:dyDescent="0.2">
      <c r="A547" s="5"/>
      <c r="B547" s="3"/>
      <c r="C547" s="3"/>
      <c r="D547" s="3"/>
      <c r="E547" s="3"/>
      <c r="F547" s="3"/>
      <c r="G547" s="3"/>
    </row>
    <row r="548" spans="1:7" x14ac:dyDescent="0.2">
      <c r="A548" s="5"/>
      <c r="B548" s="3"/>
      <c r="C548" s="3"/>
      <c r="D548" s="3"/>
      <c r="E548" s="3"/>
      <c r="F548" s="3"/>
      <c r="G548" s="3"/>
    </row>
    <row r="549" spans="1:7" x14ac:dyDescent="0.2">
      <c r="A549" s="5"/>
      <c r="B549" s="3"/>
      <c r="C549" s="3"/>
      <c r="D549" s="3"/>
      <c r="E549" s="3"/>
      <c r="F549" s="3"/>
      <c r="G549" s="3"/>
    </row>
    <row r="550" spans="1:7" x14ac:dyDescent="0.2">
      <c r="A550" s="5"/>
      <c r="B550" s="3"/>
      <c r="C550" s="3"/>
      <c r="D550" s="3"/>
      <c r="E550" s="3"/>
      <c r="F550" s="3"/>
      <c r="G550" s="3"/>
    </row>
    <row r="551" spans="1:7" x14ac:dyDescent="0.2">
      <c r="A551" s="5"/>
      <c r="B551" s="3"/>
      <c r="C551" s="3"/>
      <c r="D551" s="3"/>
      <c r="E551" s="3"/>
      <c r="F551" s="3"/>
      <c r="G551" s="3"/>
    </row>
    <row r="552" spans="1:7" x14ac:dyDescent="0.2">
      <c r="A552" s="5"/>
      <c r="B552" s="3"/>
      <c r="C552" s="3"/>
      <c r="D552" s="3"/>
      <c r="E552" s="3"/>
      <c r="F552" s="3"/>
      <c r="G552" s="3"/>
    </row>
    <row r="553" spans="1:7" x14ac:dyDescent="0.2">
      <c r="A553" s="5"/>
      <c r="B553" s="3"/>
      <c r="C553" s="3"/>
      <c r="D553" s="3"/>
      <c r="E553" s="3"/>
      <c r="F553" s="3"/>
      <c r="G553" s="3"/>
    </row>
    <row r="554" spans="1:7" x14ac:dyDescent="0.2">
      <c r="A554" s="5"/>
      <c r="B554" s="3"/>
      <c r="C554" s="3"/>
      <c r="D554" s="3"/>
      <c r="E554" s="3"/>
      <c r="F554" s="3"/>
      <c r="G554" s="3"/>
    </row>
    <row r="555" spans="1:7" x14ac:dyDescent="0.2">
      <c r="A555" s="5"/>
      <c r="B555" s="3"/>
      <c r="C555" s="3"/>
      <c r="D555" s="3"/>
      <c r="E555" s="3"/>
      <c r="F555" s="3"/>
      <c r="G555" s="3"/>
    </row>
    <row r="556" spans="1:7" x14ac:dyDescent="0.2">
      <c r="A556" s="5"/>
      <c r="B556" s="3"/>
      <c r="C556" s="3"/>
      <c r="D556" s="3"/>
      <c r="E556" s="3"/>
      <c r="F556" s="3"/>
      <c r="G556" s="3"/>
    </row>
    <row r="557" spans="1:7" x14ac:dyDescent="0.2">
      <c r="A557" s="5"/>
      <c r="B557" s="3"/>
      <c r="C557" s="3"/>
      <c r="D557" s="3"/>
      <c r="E557" s="3"/>
      <c r="F557" s="3"/>
      <c r="G557" s="3"/>
    </row>
    <row r="558" spans="1:7" x14ac:dyDescent="0.2">
      <c r="A558" s="5"/>
      <c r="B558" s="3"/>
      <c r="C558" s="3"/>
      <c r="D558" s="3"/>
      <c r="E558" s="3"/>
      <c r="F558" s="3"/>
      <c r="G558" s="3"/>
    </row>
    <row r="559" spans="1:7" x14ac:dyDescent="0.2">
      <c r="A559" s="5"/>
      <c r="B559" s="3"/>
      <c r="C559" s="3"/>
      <c r="D559" s="3"/>
      <c r="E559" s="3"/>
      <c r="F559" s="3"/>
      <c r="G559" s="3"/>
    </row>
    <row r="560" spans="1:7" x14ac:dyDescent="0.2">
      <c r="A560" s="5"/>
      <c r="B560" s="3"/>
      <c r="C560" s="3"/>
      <c r="D560" s="3"/>
      <c r="E560" s="3"/>
      <c r="F560" s="3"/>
      <c r="G560" s="3"/>
    </row>
    <row r="561" spans="1:7" x14ac:dyDescent="0.2">
      <c r="A561" s="5"/>
      <c r="B561" s="3"/>
      <c r="C561" s="3"/>
      <c r="D561" s="3"/>
      <c r="E561" s="3"/>
      <c r="F561" s="3"/>
      <c r="G561" s="3"/>
    </row>
    <row r="562" spans="1:7" x14ac:dyDescent="0.2">
      <c r="A562" s="5"/>
      <c r="B562" s="3"/>
      <c r="C562" s="3"/>
      <c r="D562" s="3"/>
      <c r="E562" s="3"/>
      <c r="F562" s="3"/>
      <c r="G562" s="3"/>
    </row>
    <row r="563" spans="1:7" x14ac:dyDescent="0.2">
      <c r="A563" s="5"/>
      <c r="B563" s="3"/>
      <c r="C563" s="3"/>
      <c r="D563" s="3"/>
      <c r="E563" s="3"/>
      <c r="F563" s="3"/>
      <c r="G563" s="3"/>
    </row>
    <row r="564" spans="1:7" x14ac:dyDescent="0.2">
      <c r="A564" s="5"/>
      <c r="B564" s="3"/>
      <c r="C564" s="3"/>
      <c r="D564" s="3"/>
      <c r="E564" s="3"/>
      <c r="F564" s="3"/>
      <c r="G564" s="3"/>
    </row>
    <row r="565" spans="1:7" x14ac:dyDescent="0.2">
      <c r="A565" s="5"/>
      <c r="B565" s="3"/>
      <c r="C565" s="3"/>
      <c r="D565" s="3"/>
      <c r="E565" s="3"/>
      <c r="F565" s="3"/>
      <c r="G565" s="3"/>
    </row>
    <row r="566" spans="1:7" x14ac:dyDescent="0.2">
      <c r="A566" s="5"/>
      <c r="B566" s="3"/>
      <c r="C566" s="3"/>
      <c r="D566" s="3"/>
      <c r="E566" s="3"/>
      <c r="F566" s="3"/>
      <c r="G566" s="3"/>
    </row>
    <row r="567" spans="1:7" x14ac:dyDescent="0.2">
      <c r="A567" s="5"/>
      <c r="B567" s="3"/>
      <c r="C567" s="3"/>
      <c r="D567" s="3"/>
      <c r="E567" s="3"/>
      <c r="F567" s="3"/>
      <c r="G567" s="3"/>
    </row>
    <row r="568" spans="1:7" x14ac:dyDescent="0.2">
      <c r="A568" s="5"/>
      <c r="B568" s="3"/>
      <c r="C568" s="3"/>
      <c r="D568" s="3"/>
      <c r="E568" s="3"/>
      <c r="F568" s="3"/>
      <c r="G568" s="3"/>
    </row>
    <row r="569" spans="1:7" x14ac:dyDescent="0.2">
      <c r="A569" s="5"/>
      <c r="B569" s="3"/>
      <c r="C569" s="3"/>
      <c r="D569" s="3"/>
      <c r="E569" s="3"/>
      <c r="F569" s="3"/>
      <c r="G569" s="3"/>
    </row>
    <row r="570" spans="1:7" x14ac:dyDescent="0.2">
      <c r="A570" s="5"/>
      <c r="B570" s="3"/>
      <c r="C570" s="3"/>
      <c r="D570" s="3"/>
      <c r="E570" s="3"/>
      <c r="F570" s="3"/>
      <c r="G570" s="3"/>
    </row>
    <row r="571" spans="1:7" x14ac:dyDescent="0.2">
      <c r="A571" s="5"/>
      <c r="B571" s="3"/>
      <c r="C571" s="3"/>
      <c r="D571" s="3"/>
      <c r="E571" s="3"/>
      <c r="F571" s="3"/>
      <c r="G571" s="3"/>
    </row>
    <row r="572" spans="1:7" x14ac:dyDescent="0.2">
      <c r="A572" s="5"/>
      <c r="B572" s="3"/>
      <c r="C572" s="3"/>
      <c r="D572" s="3"/>
      <c r="E572" s="3"/>
      <c r="F572" s="3"/>
      <c r="G572" s="3"/>
    </row>
    <row r="573" spans="1:7" x14ac:dyDescent="0.2">
      <c r="A573" s="5"/>
      <c r="B573" s="3"/>
      <c r="C573" s="3"/>
      <c r="D573" s="3"/>
      <c r="E573" s="3"/>
      <c r="F573" s="3"/>
      <c r="G573" s="3"/>
    </row>
    <row r="574" spans="1:7" x14ac:dyDescent="0.2">
      <c r="A574" s="5"/>
      <c r="B574" s="3"/>
      <c r="C574" s="3"/>
      <c r="D574" s="3"/>
      <c r="E574" s="3"/>
      <c r="F574" s="3"/>
      <c r="G574" s="3"/>
    </row>
    <row r="575" spans="1:7" x14ac:dyDescent="0.2">
      <c r="A575" s="5"/>
      <c r="B575" s="3"/>
      <c r="C575" s="3"/>
      <c r="D575" s="3"/>
      <c r="E575" s="3"/>
      <c r="F575" s="3"/>
      <c r="G575" s="3"/>
    </row>
    <row r="576" spans="1:7" x14ac:dyDescent="0.2">
      <c r="A576" s="5"/>
      <c r="B576" s="3"/>
      <c r="C576" s="3"/>
      <c r="D576" s="3"/>
      <c r="E576" s="3"/>
      <c r="F576" s="3"/>
      <c r="G576" s="3"/>
    </row>
    <row r="577" spans="1:7" x14ac:dyDescent="0.2">
      <c r="A577" s="5"/>
      <c r="B577" s="3"/>
      <c r="C577" s="3"/>
      <c r="D577" s="3"/>
      <c r="E577" s="3"/>
      <c r="F577" s="3"/>
      <c r="G577" s="3"/>
    </row>
    <row r="578" spans="1:7" x14ac:dyDescent="0.2">
      <c r="A578" s="5"/>
      <c r="B578" s="3"/>
      <c r="C578" s="3"/>
      <c r="D578" s="3"/>
      <c r="E578" s="3"/>
      <c r="F578" s="3"/>
      <c r="G578" s="3"/>
    </row>
    <row r="579" spans="1:7" x14ac:dyDescent="0.2">
      <c r="A579" s="5"/>
      <c r="B579" s="3"/>
      <c r="C579" s="3"/>
      <c r="D579" s="3"/>
      <c r="E579" s="3"/>
      <c r="F579" s="3"/>
      <c r="G579" s="3"/>
    </row>
    <row r="580" spans="1:7" x14ac:dyDescent="0.2">
      <c r="A580" s="5"/>
      <c r="B580" s="3"/>
      <c r="C580" s="3"/>
      <c r="D580" s="3"/>
      <c r="E580" s="3"/>
      <c r="F580" s="3"/>
      <c r="G580" s="3"/>
    </row>
    <row r="581" spans="1:7" x14ac:dyDescent="0.2">
      <c r="A581" s="5"/>
      <c r="B581" s="3"/>
      <c r="C581" s="3"/>
      <c r="D581" s="3"/>
      <c r="E581" s="3"/>
      <c r="F581" s="3"/>
      <c r="G581" s="3"/>
    </row>
    <row r="582" spans="1:7" x14ac:dyDescent="0.2">
      <c r="A582" s="5"/>
      <c r="B582" s="3"/>
      <c r="C582" s="3"/>
      <c r="D582" s="3"/>
      <c r="E582" s="3"/>
      <c r="F582" s="3"/>
      <c r="G582" s="3"/>
    </row>
    <row r="583" spans="1:7" x14ac:dyDescent="0.2">
      <c r="A583" s="5"/>
      <c r="B583" s="3"/>
      <c r="C583" s="3"/>
      <c r="D583" s="3"/>
      <c r="E583" s="3"/>
      <c r="F583" s="3"/>
      <c r="G583" s="3"/>
    </row>
    <row r="584" spans="1:7" x14ac:dyDescent="0.2">
      <c r="A584" s="5"/>
      <c r="B584" s="3"/>
      <c r="C584" s="3"/>
      <c r="D584" s="3"/>
      <c r="E584" s="3"/>
      <c r="F584" s="3"/>
      <c r="G584" s="3"/>
    </row>
    <row r="585" spans="1:7" x14ac:dyDescent="0.2">
      <c r="A585" s="5"/>
      <c r="B585" s="3"/>
      <c r="C585" s="3"/>
      <c r="D585" s="3"/>
      <c r="E585" s="3"/>
      <c r="F585" s="3"/>
      <c r="G585" s="3"/>
    </row>
    <row r="586" spans="1:7" x14ac:dyDescent="0.2">
      <c r="A586" s="5"/>
      <c r="B586" s="3"/>
      <c r="C586" s="3"/>
      <c r="D586" s="3"/>
      <c r="E586" s="3"/>
      <c r="F586" s="3"/>
      <c r="G586" s="3"/>
    </row>
    <row r="587" spans="1:7" x14ac:dyDescent="0.2">
      <c r="A587" s="5"/>
      <c r="B587" s="3"/>
      <c r="C587" s="3"/>
      <c r="D587" s="3"/>
      <c r="E587" s="3"/>
      <c r="F587" s="3"/>
      <c r="G587" s="3"/>
    </row>
    <row r="588" spans="1:7" x14ac:dyDescent="0.2">
      <c r="A588" s="5"/>
      <c r="B588" s="3"/>
      <c r="C588" s="3"/>
      <c r="D588" s="3"/>
      <c r="E588" s="3"/>
      <c r="F588" s="3"/>
      <c r="G588" s="3"/>
    </row>
    <row r="589" spans="1:7" x14ac:dyDescent="0.2">
      <c r="A589" s="5"/>
      <c r="B589" s="3"/>
      <c r="C589" s="3"/>
      <c r="D589" s="3"/>
      <c r="E589" s="3"/>
      <c r="F589" s="3"/>
      <c r="G589" s="3"/>
    </row>
    <row r="590" spans="1:7" x14ac:dyDescent="0.2">
      <c r="A590" s="5"/>
      <c r="B590" s="3"/>
      <c r="C590" s="3"/>
      <c r="D590" s="3"/>
      <c r="E590" s="3"/>
      <c r="F590" s="3"/>
      <c r="G590" s="3"/>
    </row>
    <row r="591" spans="1:7" x14ac:dyDescent="0.2">
      <c r="A591" s="5"/>
      <c r="B591" s="3"/>
      <c r="C591" s="3"/>
      <c r="D591" s="3"/>
      <c r="E591" s="3"/>
      <c r="F591" s="3"/>
      <c r="G591" s="3"/>
    </row>
    <row r="592" spans="1:7" x14ac:dyDescent="0.2">
      <c r="A592" s="5"/>
      <c r="B592" s="3"/>
      <c r="C592" s="3"/>
      <c r="D592" s="3"/>
      <c r="E592" s="3"/>
      <c r="F592" s="3"/>
      <c r="G592" s="3"/>
    </row>
    <row r="593" spans="1:7" x14ac:dyDescent="0.2">
      <c r="A593" s="5"/>
      <c r="B593" s="3"/>
      <c r="C593" s="3"/>
      <c r="D593" s="3"/>
      <c r="E593" s="3"/>
      <c r="F593" s="3"/>
      <c r="G593" s="3"/>
    </row>
    <row r="594" spans="1:7" x14ac:dyDescent="0.2">
      <c r="A594" s="5"/>
      <c r="B594" s="3"/>
      <c r="C594" s="3"/>
      <c r="D594" s="3"/>
      <c r="E594" s="3"/>
      <c r="F594" s="3"/>
      <c r="G594" s="3"/>
    </row>
    <row r="595" spans="1:7" x14ac:dyDescent="0.2">
      <c r="A595" s="5"/>
      <c r="B595" s="3"/>
      <c r="C595" s="3"/>
      <c r="D595" s="3"/>
      <c r="E595" s="3"/>
      <c r="F595" s="3"/>
      <c r="G595" s="3"/>
    </row>
    <row r="596" spans="1:7" x14ac:dyDescent="0.2">
      <c r="A596" s="5"/>
      <c r="B596" s="3"/>
      <c r="C596" s="3"/>
      <c r="D596" s="3"/>
      <c r="E596" s="3"/>
      <c r="F596" s="3"/>
      <c r="G596" s="3"/>
    </row>
    <row r="597" spans="1:7" x14ac:dyDescent="0.2">
      <c r="A597" s="5"/>
      <c r="B597" s="3"/>
      <c r="C597" s="3"/>
      <c r="D597" s="3"/>
      <c r="E597" s="3"/>
      <c r="F597" s="3"/>
      <c r="G597" s="3"/>
    </row>
    <row r="598" spans="1:7" x14ac:dyDescent="0.2">
      <c r="A598" s="5"/>
      <c r="B598" s="3"/>
      <c r="C598" s="3"/>
      <c r="D598" s="3"/>
      <c r="E598" s="3"/>
      <c r="F598" s="3"/>
      <c r="G598" s="3"/>
    </row>
    <row r="599" spans="1:7" x14ac:dyDescent="0.2">
      <c r="A599" s="5"/>
      <c r="B599" s="3"/>
      <c r="C599" s="3"/>
      <c r="D599" s="3"/>
      <c r="E599" s="3"/>
      <c r="F599" s="3"/>
      <c r="G599" s="3"/>
    </row>
    <row r="600" spans="1:7" x14ac:dyDescent="0.2">
      <c r="A600" s="5"/>
      <c r="B600" s="3"/>
      <c r="C600" s="3"/>
      <c r="D600" s="3"/>
      <c r="E600" s="3"/>
      <c r="F600" s="3"/>
      <c r="G600" s="3"/>
    </row>
    <row r="601" spans="1:7" x14ac:dyDescent="0.2">
      <c r="A601" s="5"/>
      <c r="B601" s="3"/>
      <c r="C601" s="3"/>
      <c r="D601" s="3"/>
      <c r="E601" s="3"/>
      <c r="F601" s="3"/>
      <c r="G601" s="3"/>
    </row>
    <row r="602" spans="1:7" x14ac:dyDescent="0.2">
      <c r="A602" s="5"/>
      <c r="B602" s="3"/>
      <c r="C602" s="3"/>
      <c r="D602" s="3"/>
      <c r="E602" s="3"/>
      <c r="F602" s="3"/>
      <c r="G602" s="3"/>
    </row>
    <row r="603" spans="1:7" x14ac:dyDescent="0.2">
      <c r="A603" s="5"/>
      <c r="B603" s="3"/>
      <c r="C603" s="3"/>
      <c r="D603" s="3"/>
      <c r="E603" s="3"/>
      <c r="F603" s="3"/>
      <c r="G603" s="3"/>
    </row>
    <row r="604" spans="1:7" x14ac:dyDescent="0.2">
      <c r="A604" s="5"/>
      <c r="B604" s="3"/>
      <c r="C604" s="3"/>
      <c r="D604" s="3"/>
      <c r="E604" s="3"/>
      <c r="F604" s="3"/>
      <c r="G604" s="3"/>
    </row>
    <row r="605" spans="1:7" x14ac:dyDescent="0.2">
      <c r="A605" s="5"/>
      <c r="B605" s="3"/>
      <c r="C605" s="3"/>
      <c r="D605" s="3"/>
      <c r="E605" s="3"/>
      <c r="F605" s="3"/>
      <c r="G605" s="3"/>
    </row>
    <row r="606" spans="1:7" x14ac:dyDescent="0.2">
      <c r="A606" s="5"/>
      <c r="B606" s="3"/>
      <c r="C606" s="3"/>
      <c r="D606" s="3"/>
      <c r="E606" s="3"/>
      <c r="F606" s="3"/>
      <c r="G606" s="3"/>
    </row>
    <row r="607" spans="1:7" x14ac:dyDescent="0.2">
      <c r="A607" s="5"/>
      <c r="B607" s="3"/>
      <c r="C607" s="3"/>
      <c r="D607" s="3"/>
      <c r="E607" s="3"/>
      <c r="F607" s="3"/>
      <c r="G607" s="3"/>
    </row>
    <row r="608" spans="1:7" x14ac:dyDescent="0.2">
      <c r="A608" s="5"/>
      <c r="B608" s="3"/>
      <c r="C608" s="3"/>
      <c r="D608" s="3"/>
      <c r="E608" s="3"/>
      <c r="F608" s="3"/>
      <c r="G608" s="3"/>
    </row>
    <row r="609" spans="1:7" x14ac:dyDescent="0.2">
      <c r="A609" s="5"/>
      <c r="B609" s="3"/>
      <c r="C609" s="3"/>
      <c r="D609" s="3"/>
      <c r="E609" s="3"/>
      <c r="F609" s="3"/>
      <c r="G609" s="3"/>
    </row>
    <row r="610" spans="1:7" x14ac:dyDescent="0.2">
      <c r="A610" s="5"/>
      <c r="B610" s="3"/>
      <c r="C610" s="3"/>
      <c r="D610" s="3"/>
      <c r="E610" s="3"/>
      <c r="F610" s="3"/>
      <c r="G610" s="3"/>
    </row>
    <row r="611" spans="1:7" x14ac:dyDescent="0.2">
      <c r="A611" s="5"/>
      <c r="B611" s="3"/>
      <c r="C611" s="3"/>
      <c r="D611" s="3"/>
      <c r="E611" s="3"/>
      <c r="F611" s="3"/>
      <c r="G611" s="3"/>
    </row>
    <row r="612" spans="1:7" x14ac:dyDescent="0.2">
      <c r="A612" s="5"/>
      <c r="B612" s="3"/>
      <c r="C612" s="3"/>
      <c r="D612" s="3"/>
      <c r="E612" s="3"/>
      <c r="F612" s="3"/>
      <c r="G612" s="3"/>
    </row>
    <row r="613" spans="1:7" x14ac:dyDescent="0.2">
      <c r="A613" s="5"/>
      <c r="B613" s="3"/>
      <c r="C613" s="3"/>
      <c r="D613" s="3"/>
      <c r="E613" s="3"/>
      <c r="F613" s="3"/>
      <c r="G613" s="3"/>
    </row>
    <row r="614" spans="1:7" x14ac:dyDescent="0.2">
      <c r="A614" s="5"/>
      <c r="B614" s="3"/>
      <c r="C614" s="3"/>
      <c r="D614" s="3"/>
      <c r="E614" s="3"/>
      <c r="F614" s="3"/>
      <c r="G614" s="3"/>
    </row>
    <row r="615" spans="1:7" x14ac:dyDescent="0.2">
      <c r="A615" s="5"/>
      <c r="B615" s="3"/>
      <c r="C615" s="3"/>
      <c r="D615" s="3"/>
      <c r="E615" s="3"/>
      <c r="F615" s="3"/>
      <c r="G615" s="3"/>
    </row>
    <row r="616" spans="1:7" x14ac:dyDescent="0.2">
      <c r="A616" s="5"/>
      <c r="B616" s="3"/>
      <c r="C616" s="3"/>
      <c r="D616" s="3"/>
      <c r="E616" s="3"/>
      <c r="F616" s="3"/>
      <c r="G616" s="3"/>
    </row>
    <row r="617" spans="1:7" x14ac:dyDescent="0.2">
      <c r="A617" s="5"/>
      <c r="B617" s="3"/>
      <c r="C617" s="3"/>
      <c r="D617" s="3"/>
      <c r="E617" s="3"/>
      <c r="F617" s="3"/>
      <c r="G617" s="3"/>
    </row>
    <row r="618" spans="1:7" x14ac:dyDescent="0.2">
      <c r="A618" s="5"/>
      <c r="B618" s="3"/>
      <c r="C618" s="3"/>
      <c r="D618" s="3"/>
      <c r="E618" s="3"/>
      <c r="F618" s="3"/>
      <c r="G618" s="3"/>
    </row>
    <row r="619" spans="1:7" x14ac:dyDescent="0.2">
      <c r="A619" s="5"/>
      <c r="B619" s="3"/>
      <c r="C619" s="3"/>
      <c r="D619" s="3"/>
      <c r="E619" s="3"/>
      <c r="F619" s="3"/>
      <c r="G619" s="3"/>
    </row>
    <row r="620" spans="1:7" x14ac:dyDescent="0.2">
      <c r="A620" s="5"/>
      <c r="B620" s="3"/>
      <c r="C620" s="3"/>
      <c r="D620" s="3"/>
      <c r="E620" s="3"/>
      <c r="F620" s="3"/>
      <c r="G620" s="3"/>
    </row>
    <row r="621" spans="1:7" x14ac:dyDescent="0.2">
      <c r="A621" s="5"/>
      <c r="B621" s="3"/>
      <c r="C621" s="3"/>
      <c r="D621" s="3"/>
      <c r="E621" s="3"/>
      <c r="F621" s="3"/>
      <c r="G621" s="3"/>
    </row>
    <row r="622" spans="1:7" x14ac:dyDescent="0.2">
      <c r="A622" s="5"/>
      <c r="B622" s="3"/>
      <c r="C622" s="3"/>
      <c r="D622" s="3"/>
      <c r="E622" s="3"/>
      <c r="F622" s="3"/>
      <c r="G622" s="3"/>
    </row>
    <row r="623" spans="1:7" x14ac:dyDescent="0.2">
      <c r="A623" s="5"/>
      <c r="B623" s="3"/>
      <c r="C623" s="3"/>
      <c r="D623" s="3"/>
      <c r="E623" s="3"/>
      <c r="F623" s="3"/>
      <c r="G623" s="3"/>
    </row>
    <row r="624" spans="1:7" x14ac:dyDescent="0.2">
      <c r="A624" s="5"/>
      <c r="B624" s="3"/>
      <c r="C624" s="3"/>
      <c r="D624" s="3"/>
      <c r="E624" s="3"/>
      <c r="F624" s="3"/>
      <c r="G624" s="3"/>
    </row>
    <row r="625" spans="1:7" x14ac:dyDescent="0.2">
      <c r="A625" s="5"/>
      <c r="B625" s="3"/>
      <c r="C625" s="3"/>
      <c r="D625" s="3"/>
      <c r="E625" s="3"/>
      <c r="F625" s="3"/>
      <c r="G625" s="3"/>
    </row>
    <row r="626" spans="1:7" x14ac:dyDescent="0.2">
      <c r="A626" s="5"/>
      <c r="B626" s="3"/>
      <c r="C626" s="3"/>
      <c r="D626" s="3"/>
      <c r="E626" s="3"/>
      <c r="F626" s="3"/>
      <c r="G626" s="3"/>
    </row>
    <row r="627" spans="1:7" x14ac:dyDescent="0.2">
      <c r="A627" s="5"/>
      <c r="B627" s="3"/>
      <c r="C627" s="3"/>
      <c r="D627" s="3"/>
      <c r="E627" s="3"/>
      <c r="F627" s="3"/>
      <c r="G627" s="3"/>
    </row>
    <row r="628" spans="1:7" x14ac:dyDescent="0.2">
      <c r="A628" s="5"/>
      <c r="B628" s="3"/>
      <c r="C628" s="3"/>
      <c r="D628" s="3"/>
      <c r="E628" s="3"/>
      <c r="F628" s="3"/>
      <c r="G628" s="3"/>
    </row>
    <row r="629" spans="1:7" x14ac:dyDescent="0.2">
      <c r="A629" s="5"/>
      <c r="B629" s="3"/>
      <c r="C629" s="3"/>
      <c r="D629" s="3"/>
      <c r="E629" s="3"/>
      <c r="F629" s="3"/>
      <c r="G629" s="3"/>
    </row>
    <row r="630" spans="1:7" x14ac:dyDescent="0.2">
      <c r="A630" s="5"/>
      <c r="B630" s="3"/>
      <c r="C630" s="3"/>
      <c r="D630" s="3"/>
      <c r="E630" s="3"/>
      <c r="F630" s="3"/>
      <c r="G630" s="3"/>
    </row>
    <row r="631" spans="1:7" x14ac:dyDescent="0.2">
      <c r="A631" s="5"/>
      <c r="B631" s="3"/>
      <c r="C631" s="3"/>
      <c r="D631" s="3"/>
      <c r="E631" s="3"/>
      <c r="F631" s="3"/>
      <c r="G631" s="3"/>
    </row>
    <row r="632" spans="1:7" x14ac:dyDescent="0.2">
      <c r="A632" s="5"/>
      <c r="B632" s="3"/>
      <c r="C632" s="3"/>
      <c r="D632" s="3"/>
      <c r="E632" s="3"/>
      <c r="F632" s="3"/>
      <c r="G632" s="3"/>
    </row>
    <row r="633" spans="1:7" x14ac:dyDescent="0.2">
      <c r="A633" s="5"/>
      <c r="B633" s="3"/>
      <c r="C633" s="3"/>
      <c r="D633" s="3"/>
      <c r="E633" s="3"/>
      <c r="F633" s="3"/>
      <c r="G633" s="3"/>
    </row>
    <row r="634" spans="1:7" x14ac:dyDescent="0.2">
      <c r="A634" s="5"/>
      <c r="B634" s="3"/>
      <c r="C634" s="3"/>
      <c r="D634" s="3"/>
      <c r="E634" s="3"/>
      <c r="F634" s="3"/>
      <c r="G634" s="3"/>
    </row>
    <row r="635" spans="1:7" x14ac:dyDescent="0.2">
      <c r="A635" s="5"/>
      <c r="B635" s="3"/>
      <c r="C635" s="3"/>
      <c r="D635" s="3"/>
      <c r="E635" s="3"/>
      <c r="F635" s="3"/>
      <c r="G635" s="3"/>
    </row>
    <row r="636" spans="1:7" x14ac:dyDescent="0.2">
      <c r="A636" s="5"/>
      <c r="B636" s="3"/>
      <c r="C636" s="3"/>
      <c r="D636" s="3"/>
      <c r="E636" s="3"/>
      <c r="F636" s="3"/>
      <c r="G636" s="3"/>
    </row>
    <row r="637" spans="1:7" x14ac:dyDescent="0.2">
      <c r="A637" s="5"/>
      <c r="B637" s="3"/>
      <c r="C637" s="3"/>
      <c r="D637" s="3"/>
      <c r="E637" s="3"/>
      <c r="F637" s="3"/>
      <c r="G637" s="3"/>
    </row>
    <row r="638" spans="1:7" x14ac:dyDescent="0.2">
      <c r="A638" s="5"/>
      <c r="B638" s="3"/>
      <c r="C638" s="3"/>
      <c r="D638" s="3"/>
      <c r="E638" s="3"/>
      <c r="F638" s="3"/>
      <c r="G638" s="3"/>
    </row>
    <row r="639" spans="1:7" x14ac:dyDescent="0.2">
      <c r="A639" s="5"/>
      <c r="B639" s="3"/>
      <c r="C639" s="3"/>
      <c r="D639" s="3"/>
      <c r="E639" s="3"/>
      <c r="F639" s="3"/>
      <c r="G639" s="3"/>
    </row>
    <row r="640" spans="1:7" x14ac:dyDescent="0.2">
      <c r="A640" s="5"/>
      <c r="B640" s="3"/>
      <c r="C640" s="3"/>
      <c r="D640" s="3"/>
      <c r="E640" s="3"/>
      <c r="F640" s="3"/>
      <c r="G640" s="3"/>
    </row>
    <row r="641" spans="1:7" x14ac:dyDescent="0.2">
      <c r="A641" s="5"/>
      <c r="B641" s="3"/>
      <c r="C641" s="3"/>
      <c r="D641" s="3"/>
      <c r="E641" s="3"/>
      <c r="F641" s="3"/>
      <c r="G641" s="3"/>
    </row>
    <row r="642" spans="1:7" x14ac:dyDescent="0.2">
      <c r="A642" s="5"/>
      <c r="B642" s="3"/>
      <c r="C642" s="3"/>
      <c r="D642" s="3"/>
      <c r="E642" s="3"/>
      <c r="F642" s="3"/>
      <c r="G642" s="3"/>
    </row>
    <row r="643" spans="1:7" x14ac:dyDescent="0.2">
      <c r="A643" s="5"/>
      <c r="B643" s="3"/>
      <c r="C643" s="3"/>
      <c r="D643" s="3"/>
      <c r="E643" s="3"/>
      <c r="F643" s="3"/>
      <c r="G643" s="3"/>
    </row>
    <row r="644" spans="1:7" x14ac:dyDescent="0.2">
      <c r="A644" s="5"/>
      <c r="B644" s="3"/>
      <c r="C644" s="3"/>
      <c r="D644" s="3"/>
      <c r="E644" s="3"/>
      <c r="F644" s="3"/>
      <c r="G644" s="3"/>
    </row>
    <row r="645" spans="1:7" x14ac:dyDescent="0.2">
      <c r="A645" s="5"/>
      <c r="B645" s="3"/>
      <c r="C645" s="3"/>
      <c r="D645" s="3"/>
      <c r="E645" s="3"/>
      <c r="F645" s="3"/>
      <c r="G645" s="3"/>
    </row>
    <row r="646" spans="1:7" x14ac:dyDescent="0.2">
      <c r="A646" s="5"/>
      <c r="B646" s="3"/>
      <c r="C646" s="3"/>
      <c r="D646" s="3"/>
      <c r="E646" s="3"/>
      <c r="F646" s="3"/>
      <c r="G646" s="3"/>
    </row>
    <row r="647" spans="1:7" x14ac:dyDescent="0.2">
      <c r="A647" s="5"/>
      <c r="B647" s="3"/>
      <c r="C647" s="3"/>
      <c r="D647" s="3"/>
      <c r="E647" s="3"/>
      <c r="F647" s="3"/>
      <c r="G647" s="3"/>
    </row>
    <row r="648" spans="1:7" x14ac:dyDescent="0.2">
      <c r="A648" s="5"/>
      <c r="B648" s="3"/>
      <c r="C648" s="3"/>
      <c r="D648" s="3"/>
      <c r="E648" s="3"/>
      <c r="F648" s="3"/>
      <c r="G648" s="3"/>
    </row>
    <row r="649" spans="1:7" x14ac:dyDescent="0.2">
      <c r="A649" s="5"/>
      <c r="B649" s="3"/>
      <c r="C649" s="3"/>
      <c r="D649" s="3"/>
      <c r="E649" s="3"/>
      <c r="F649" s="3"/>
      <c r="G649" s="3"/>
    </row>
    <row r="650" spans="1:7" x14ac:dyDescent="0.2">
      <c r="A650" s="5"/>
      <c r="B650" s="3"/>
      <c r="C650" s="3"/>
      <c r="D650" s="3"/>
      <c r="E650" s="3"/>
      <c r="F650" s="3"/>
      <c r="G650" s="3"/>
    </row>
    <row r="651" spans="1:7" x14ac:dyDescent="0.2">
      <c r="A651" s="5"/>
      <c r="B651" s="3"/>
      <c r="C651" s="3"/>
      <c r="D651" s="3"/>
      <c r="E651" s="3"/>
      <c r="F651" s="3"/>
      <c r="G651" s="3"/>
    </row>
    <row r="652" spans="1:7" x14ac:dyDescent="0.2">
      <c r="A652" s="5"/>
      <c r="B652" s="3"/>
      <c r="C652" s="3"/>
      <c r="D652" s="3"/>
      <c r="E652" s="3"/>
      <c r="F652" s="3"/>
      <c r="G652" s="3"/>
    </row>
    <row r="653" spans="1:7" x14ac:dyDescent="0.2">
      <c r="A653" s="5"/>
      <c r="B653" s="3"/>
      <c r="C653" s="3"/>
      <c r="D653" s="3"/>
      <c r="E653" s="3"/>
      <c r="F653" s="3"/>
      <c r="G653" s="3"/>
    </row>
    <row r="654" spans="1:7" x14ac:dyDescent="0.2">
      <c r="A654" s="5"/>
      <c r="B654" s="3"/>
      <c r="C654" s="3"/>
      <c r="D654" s="3"/>
      <c r="E654" s="3"/>
      <c r="F654" s="3"/>
      <c r="G654" s="3"/>
    </row>
    <row r="655" spans="1:7" x14ac:dyDescent="0.2">
      <c r="A655" s="5"/>
      <c r="B655" s="3"/>
      <c r="C655" s="3"/>
      <c r="D655" s="3"/>
      <c r="E655" s="3"/>
      <c r="F655" s="3"/>
      <c r="G655" s="3"/>
    </row>
    <row r="656" spans="1:7" x14ac:dyDescent="0.2">
      <c r="A656" s="5"/>
      <c r="B656" s="3"/>
      <c r="C656" s="3"/>
      <c r="D656" s="3"/>
      <c r="E656" s="3"/>
      <c r="F656" s="3"/>
      <c r="G656" s="3"/>
    </row>
    <row r="657" spans="1:7" x14ac:dyDescent="0.2">
      <c r="A657" s="5"/>
      <c r="B657" s="3"/>
      <c r="C657" s="3"/>
      <c r="D657" s="3"/>
      <c r="E657" s="3"/>
      <c r="F657" s="3"/>
      <c r="G657" s="3"/>
    </row>
    <row r="658" spans="1:7" x14ac:dyDescent="0.2">
      <c r="A658" s="5"/>
      <c r="B658" s="3"/>
      <c r="C658" s="3"/>
      <c r="D658" s="3"/>
      <c r="E658" s="3"/>
      <c r="F658" s="3"/>
      <c r="G658" s="3"/>
    </row>
    <row r="659" spans="1:7" x14ac:dyDescent="0.2">
      <c r="A659" s="5"/>
      <c r="B659" s="3"/>
      <c r="C659" s="3"/>
      <c r="D659" s="3"/>
      <c r="E659" s="3"/>
      <c r="F659" s="3"/>
      <c r="G659" s="3"/>
    </row>
    <row r="660" spans="1:7" x14ac:dyDescent="0.2">
      <c r="A660" s="5"/>
      <c r="B660" s="3"/>
      <c r="C660" s="3"/>
      <c r="D660" s="3"/>
      <c r="E660" s="3"/>
      <c r="F660" s="3"/>
      <c r="G660" s="3"/>
    </row>
    <row r="661" spans="1:7" x14ac:dyDescent="0.2">
      <c r="A661" s="5"/>
      <c r="B661" s="3"/>
      <c r="C661" s="3"/>
      <c r="D661" s="3"/>
      <c r="E661" s="3"/>
      <c r="F661" s="3"/>
      <c r="G661" s="3"/>
    </row>
    <row r="662" spans="1:7" x14ac:dyDescent="0.2">
      <c r="A662" s="5"/>
      <c r="B662" s="3"/>
      <c r="C662" s="3"/>
      <c r="D662" s="3"/>
      <c r="E662" s="3"/>
      <c r="F662" s="3"/>
      <c r="G662" s="3"/>
    </row>
    <row r="663" spans="1:7" x14ac:dyDescent="0.2">
      <c r="A663" s="5"/>
      <c r="B663" s="3"/>
      <c r="C663" s="3"/>
      <c r="D663" s="3"/>
      <c r="E663" s="3"/>
      <c r="F663" s="3"/>
      <c r="G663" s="3"/>
    </row>
    <row r="664" spans="1:7" x14ac:dyDescent="0.2">
      <c r="A664" s="5"/>
      <c r="B664" s="3"/>
      <c r="C664" s="3"/>
      <c r="D664" s="3"/>
      <c r="E664" s="3"/>
      <c r="F664" s="3"/>
      <c r="G664" s="3"/>
    </row>
    <row r="665" spans="1:7" x14ac:dyDescent="0.2">
      <c r="A665" s="5"/>
      <c r="B665" s="3"/>
      <c r="C665" s="3"/>
      <c r="D665" s="3"/>
      <c r="E665" s="3"/>
      <c r="F665" s="3"/>
      <c r="G665" s="3"/>
    </row>
    <row r="666" spans="1:7" x14ac:dyDescent="0.2">
      <c r="A666" s="5"/>
      <c r="B666" s="3"/>
      <c r="C666" s="3"/>
      <c r="D666" s="3"/>
      <c r="E666" s="3"/>
      <c r="F666" s="3"/>
      <c r="G666" s="3"/>
    </row>
    <row r="667" spans="1:7" x14ac:dyDescent="0.2">
      <c r="A667" s="5"/>
      <c r="B667" s="3"/>
      <c r="C667" s="3"/>
      <c r="D667" s="3"/>
      <c r="E667" s="3"/>
      <c r="F667" s="3"/>
      <c r="G667" s="3"/>
    </row>
    <row r="668" spans="1:7" x14ac:dyDescent="0.2">
      <c r="A668" s="5"/>
      <c r="B668" s="3"/>
      <c r="C668" s="3"/>
      <c r="D668" s="3"/>
      <c r="E668" s="3"/>
      <c r="F668" s="3"/>
      <c r="G668" s="3"/>
    </row>
    <row r="669" spans="1:7" x14ac:dyDescent="0.2">
      <c r="A669" s="5"/>
      <c r="B669" s="3"/>
      <c r="C669" s="3"/>
      <c r="D669" s="3"/>
      <c r="E669" s="3"/>
      <c r="F669" s="3"/>
      <c r="G669" s="3"/>
    </row>
    <row r="670" spans="1:7" x14ac:dyDescent="0.2">
      <c r="A670" s="5"/>
      <c r="B670" s="3"/>
      <c r="C670" s="3"/>
      <c r="D670" s="3"/>
      <c r="E670" s="3"/>
      <c r="F670" s="3"/>
      <c r="G670" s="3"/>
    </row>
    <row r="671" spans="1:7" x14ac:dyDescent="0.2">
      <c r="A671" s="5"/>
      <c r="B671" s="3"/>
      <c r="C671" s="3"/>
      <c r="D671" s="3"/>
      <c r="E671" s="3"/>
      <c r="F671" s="3"/>
      <c r="G671" s="3"/>
    </row>
    <row r="672" spans="1:7" x14ac:dyDescent="0.2">
      <c r="A672" s="5"/>
      <c r="B672" s="3"/>
      <c r="C672" s="3"/>
      <c r="D672" s="3"/>
      <c r="E672" s="3"/>
      <c r="F672" s="3"/>
      <c r="G672" s="3"/>
    </row>
    <row r="673" spans="1:7" x14ac:dyDescent="0.2">
      <c r="A673" s="5"/>
      <c r="B673" s="3"/>
      <c r="C673" s="3"/>
      <c r="D673" s="3"/>
      <c r="E673" s="3"/>
      <c r="F673" s="3"/>
      <c r="G673" s="3"/>
    </row>
    <row r="674" spans="1:7" x14ac:dyDescent="0.2">
      <c r="A674" s="5"/>
      <c r="B674" s="3"/>
      <c r="C674" s="3"/>
      <c r="D674" s="3"/>
      <c r="E674" s="3"/>
      <c r="F674" s="3"/>
      <c r="G674" s="3"/>
    </row>
    <row r="675" spans="1:7" x14ac:dyDescent="0.2">
      <c r="A675" s="5"/>
      <c r="B675" s="3"/>
      <c r="C675" s="3"/>
      <c r="D675" s="3"/>
      <c r="E675" s="3"/>
      <c r="F675" s="3"/>
      <c r="G675" s="3"/>
    </row>
    <row r="676" spans="1:7" x14ac:dyDescent="0.2">
      <c r="A676" s="5"/>
      <c r="B676" s="3"/>
      <c r="C676" s="3"/>
      <c r="D676" s="3"/>
      <c r="E676" s="3"/>
      <c r="F676" s="3"/>
      <c r="G676" s="3"/>
    </row>
    <row r="677" spans="1:7" x14ac:dyDescent="0.2">
      <c r="A677" s="5"/>
      <c r="B677" s="3"/>
      <c r="C677" s="3"/>
      <c r="D677" s="3"/>
      <c r="E677" s="3"/>
      <c r="F677" s="3"/>
      <c r="G677" s="3"/>
    </row>
    <row r="678" spans="1:7" x14ac:dyDescent="0.2">
      <c r="A678" s="5"/>
      <c r="B678" s="3"/>
      <c r="C678" s="3"/>
      <c r="D678" s="3"/>
      <c r="E678" s="3"/>
      <c r="F678" s="3"/>
      <c r="G678" s="3"/>
    </row>
    <row r="679" spans="1:7" x14ac:dyDescent="0.2">
      <c r="A679" s="5"/>
      <c r="B679" s="3"/>
      <c r="C679" s="3"/>
      <c r="D679" s="3"/>
      <c r="E679" s="3"/>
      <c r="F679" s="3"/>
      <c r="G679" s="3"/>
    </row>
    <row r="680" spans="1:7" x14ac:dyDescent="0.2">
      <c r="A680" s="5"/>
      <c r="B680" s="3"/>
      <c r="C680" s="3"/>
      <c r="D680" s="3"/>
      <c r="E680" s="3"/>
      <c r="F680" s="3"/>
      <c r="G680" s="3"/>
    </row>
    <row r="681" spans="1:7" x14ac:dyDescent="0.2">
      <c r="A681" s="5"/>
      <c r="B681" s="3"/>
      <c r="C681" s="3"/>
      <c r="D681" s="3"/>
      <c r="E681" s="3"/>
      <c r="F681" s="3"/>
      <c r="G681" s="3"/>
    </row>
    <row r="682" spans="1:7" x14ac:dyDescent="0.2">
      <c r="A682" s="5"/>
      <c r="B682" s="3"/>
      <c r="C682" s="3"/>
      <c r="D682" s="3"/>
      <c r="E682" s="3"/>
      <c r="F682" s="3"/>
      <c r="G682" s="3"/>
    </row>
    <row r="683" spans="1:7" x14ac:dyDescent="0.2">
      <c r="A683" s="5"/>
      <c r="B683" s="3"/>
      <c r="C683" s="3"/>
      <c r="D683" s="3"/>
      <c r="E683" s="3"/>
      <c r="F683" s="3"/>
      <c r="G683" s="3"/>
    </row>
    <row r="684" spans="1:7" x14ac:dyDescent="0.2">
      <c r="A684" s="5"/>
      <c r="B684" s="3"/>
      <c r="C684" s="3"/>
      <c r="D684" s="3"/>
      <c r="E684" s="3"/>
      <c r="F684" s="3"/>
      <c r="G684" s="3"/>
    </row>
    <row r="685" spans="1:7" x14ac:dyDescent="0.2">
      <c r="A685" s="5"/>
      <c r="B685" s="3"/>
      <c r="C685" s="3"/>
      <c r="D685" s="3"/>
      <c r="E685" s="3"/>
      <c r="F685" s="3"/>
      <c r="G685" s="3"/>
    </row>
    <row r="686" spans="1:7" x14ac:dyDescent="0.2">
      <c r="A686" s="5"/>
      <c r="B686" s="3"/>
      <c r="C686" s="3"/>
      <c r="D686" s="3"/>
      <c r="E686" s="3"/>
      <c r="F686" s="3"/>
      <c r="G686" s="3"/>
    </row>
    <row r="687" spans="1:7" x14ac:dyDescent="0.2">
      <c r="A687" s="5"/>
      <c r="B687" s="3"/>
      <c r="C687" s="3"/>
      <c r="D687" s="3"/>
      <c r="E687" s="3"/>
      <c r="F687" s="3"/>
      <c r="G687" s="3"/>
    </row>
    <row r="688" spans="1:7" x14ac:dyDescent="0.2">
      <c r="A688" s="5"/>
      <c r="B688" s="3"/>
      <c r="C688" s="3"/>
      <c r="D688" s="3"/>
      <c r="E688" s="3"/>
      <c r="F688" s="3"/>
      <c r="G688" s="3"/>
    </row>
    <row r="689" spans="1:7" x14ac:dyDescent="0.2">
      <c r="A689" s="5"/>
      <c r="B689" s="3"/>
      <c r="C689" s="3"/>
      <c r="D689" s="3"/>
      <c r="E689" s="3"/>
      <c r="F689" s="3"/>
      <c r="G689" s="3"/>
    </row>
    <row r="690" spans="1:7" x14ac:dyDescent="0.2">
      <c r="A690" s="5"/>
      <c r="B690" s="3"/>
      <c r="C690" s="3"/>
      <c r="D690" s="3"/>
      <c r="E690" s="3"/>
      <c r="F690" s="3"/>
      <c r="G690" s="3"/>
    </row>
    <row r="691" spans="1:7" x14ac:dyDescent="0.2">
      <c r="A691" s="5"/>
      <c r="B691" s="3"/>
      <c r="C691" s="3"/>
      <c r="D691" s="3"/>
      <c r="E691" s="3"/>
      <c r="F691" s="3"/>
      <c r="G691" s="3"/>
    </row>
    <row r="692" spans="1:7" x14ac:dyDescent="0.2">
      <c r="A692" s="5"/>
      <c r="B692" s="3"/>
      <c r="C692" s="3"/>
      <c r="D692" s="3"/>
      <c r="E692" s="3"/>
      <c r="F692" s="3"/>
      <c r="G692" s="3"/>
    </row>
    <row r="693" spans="1:7" x14ac:dyDescent="0.2">
      <c r="A693" s="5"/>
      <c r="B693" s="3"/>
      <c r="C693" s="3"/>
      <c r="D693" s="3"/>
      <c r="E693" s="3"/>
      <c r="F693" s="3"/>
      <c r="G693" s="3"/>
    </row>
    <row r="694" spans="1:7" x14ac:dyDescent="0.2">
      <c r="A694" s="5"/>
      <c r="B694" s="3"/>
      <c r="C694" s="3"/>
      <c r="D694" s="3"/>
      <c r="E694" s="3"/>
      <c r="F694" s="3"/>
      <c r="G694" s="3"/>
    </row>
    <row r="695" spans="1:7" x14ac:dyDescent="0.2">
      <c r="A695" s="5"/>
      <c r="B695" s="3"/>
      <c r="C695" s="3"/>
      <c r="D695" s="3"/>
      <c r="E695" s="3"/>
      <c r="F695" s="3"/>
      <c r="G695" s="3"/>
    </row>
    <row r="696" spans="1:7" x14ac:dyDescent="0.2">
      <c r="A696" s="5"/>
      <c r="B696" s="3"/>
      <c r="C696" s="3"/>
      <c r="D696" s="3"/>
      <c r="E696" s="3"/>
      <c r="F696" s="3"/>
      <c r="G696" s="3"/>
    </row>
    <row r="697" spans="1:7" x14ac:dyDescent="0.2">
      <c r="A697" s="5"/>
      <c r="B697" s="3"/>
      <c r="C697" s="3"/>
      <c r="D697" s="3"/>
      <c r="E697" s="3"/>
      <c r="F697" s="3"/>
      <c r="G697" s="3"/>
    </row>
    <row r="698" spans="1:7" x14ac:dyDescent="0.2">
      <c r="A698" s="5"/>
      <c r="B698" s="3"/>
      <c r="C698" s="3"/>
      <c r="D698" s="3"/>
      <c r="E698" s="3"/>
      <c r="F698" s="3"/>
      <c r="G698" s="3"/>
    </row>
    <row r="699" spans="1:7" x14ac:dyDescent="0.2">
      <c r="A699" s="5"/>
      <c r="B699" s="3"/>
      <c r="C699" s="3"/>
      <c r="D699" s="3"/>
      <c r="E699" s="3"/>
      <c r="F699" s="3"/>
      <c r="G699" s="3"/>
    </row>
    <row r="700" spans="1:7" x14ac:dyDescent="0.2">
      <c r="A700" s="5"/>
      <c r="B700" s="3"/>
      <c r="C700" s="3"/>
      <c r="D700" s="3"/>
      <c r="E700" s="3"/>
      <c r="F700" s="3"/>
      <c r="G700" s="3"/>
    </row>
    <row r="701" spans="1:7" x14ac:dyDescent="0.2">
      <c r="A701" s="5"/>
      <c r="B701" s="3"/>
      <c r="C701" s="3"/>
      <c r="D701" s="3"/>
      <c r="E701" s="3"/>
      <c r="F701" s="3"/>
      <c r="G701" s="3"/>
    </row>
    <row r="702" spans="1:7" x14ac:dyDescent="0.2">
      <c r="A702" s="5"/>
      <c r="B702" s="3"/>
      <c r="C702" s="3"/>
      <c r="D702" s="3"/>
      <c r="E702" s="3"/>
      <c r="F702" s="3"/>
      <c r="G702" s="3"/>
    </row>
    <row r="703" spans="1:7" x14ac:dyDescent="0.2">
      <c r="A703" s="5"/>
      <c r="B703" s="3"/>
      <c r="C703" s="3"/>
      <c r="D703" s="3"/>
      <c r="E703" s="3"/>
      <c r="F703" s="3"/>
      <c r="G703" s="3"/>
    </row>
    <row r="704" spans="1:7" x14ac:dyDescent="0.2">
      <c r="A704" s="5"/>
      <c r="B704" s="3"/>
      <c r="C704" s="3"/>
      <c r="D704" s="3"/>
      <c r="E704" s="3"/>
      <c r="F704" s="3"/>
      <c r="G704" s="3"/>
    </row>
    <row r="705" spans="1:7" x14ac:dyDescent="0.2">
      <c r="A705" s="5"/>
      <c r="B705" s="3"/>
      <c r="C705" s="3"/>
      <c r="D705" s="3"/>
      <c r="E705" s="3"/>
      <c r="F705" s="3"/>
      <c r="G705" s="3"/>
    </row>
    <row r="706" spans="1:7" x14ac:dyDescent="0.2">
      <c r="A706" s="5"/>
      <c r="B706" s="3"/>
      <c r="C706" s="3"/>
      <c r="D706" s="3"/>
      <c r="E706" s="3"/>
      <c r="F706" s="3"/>
      <c r="G706" s="3"/>
    </row>
    <row r="707" spans="1:7" x14ac:dyDescent="0.2">
      <c r="A707" s="5"/>
      <c r="B707" s="3"/>
      <c r="C707" s="3"/>
      <c r="D707" s="3"/>
      <c r="E707" s="3"/>
      <c r="F707" s="3"/>
      <c r="G707" s="3"/>
    </row>
    <row r="708" spans="1:7" x14ac:dyDescent="0.2">
      <c r="A708" s="5"/>
      <c r="B708" s="3"/>
      <c r="C708" s="3"/>
      <c r="D708" s="3"/>
      <c r="E708" s="3"/>
      <c r="F708" s="3"/>
      <c r="G708" s="3"/>
    </row>
    <row r="709" spans="1:7" x14ac:dyDescent="0.2">
      <c r="A709" s="5"/>
      <c r="B709" s="3"/>
      <c r="C709" s="3"/>
      <c r="D709" s="3"/>
      <c r="E709" s="3"/>
      <c r="F709" s="3"/>
      <c r="G709" s="3"/>
    </row>
    <row r="710" spans="1:7" x14ac:dyDescent="0.2">
      <c r="A710" s="5"/>
      <c r="B710" s="3"/>
      <c r="C710" s="3"/>
      <c r="D710" s="3"/>
      <c r="E710" s="3"/>
      <c r="F710" s="3"/>
      <c r="G710" s="3"/>
    </row>
    <row r="711" spans="1:7" x14ac:dyDescent="0.2">
      <c r="A711" s="5"/>
      <c r="B711" s="3"/>
      <c r="C711" s="3"/>
      <c r="D711" s="3"/>
      <c r="E711" s="3"/>
      <c r="F711" s="3"/>
      <c r="G711" s="3"/>
    </row>
    <row r="712" spans="1:7" x14ac:dyDescent="0.2">
      <c r="A712" s="5"/>
      <c r="B712" s="3"/>
      <c r="C712" s="3"/>
      <c r="D712" s="3"/>
      <c r="E712" s="3"/>
      <c r="F712" s="3"/>
      <c r="G712" s="3"/>
    </row>
    <row r="713" spans="1:7" x14ac:dyDescent="0.2">
      <c r="A713" s="5"/>
      <c r="B713" s="3"/>
      <c r="C713" s="3"/>
      <c r="D713" s="3"/>
      <c r="E713" s="3"/>
      <c r="F713" s="3"/>
      <c r="G713" s="3"/>
    </row>
    <row r="714" spans="1:7" x14ac:dyDescent="0.2">
      <c r="A714" s="5"/>
      <c r="B714" s="3"/>
      <c r="C714" s="3"/>
      <c r="D714" s="3"/>
      <c r="E714" s="3"/>
      <c r="F714" s="3"/>
      <c r="G714" s="3"/>
    </row>
    <row r="715" spans="1:7" x14ac:dyDescent="0.2">
      <c r="A715" s="5"/>
      <c r="B715" s="3"/>
      <c r="C715" s="3"/>
      <c r="D715" s="3"/>
      <c r="E715" s="3"/>
      <c r="F715" s="3"/>
      <c r="G715" s="3"/>
    </row>
    <row r="716" spans="1:7" x14ac:dyDescent="0.2">
      <c r="A716" s="5"/>
      <c r="B716" s="3"/>
      <c r="C716" s="3"/>
      <c r="D716" s="3"/>
      <c r="E716" s="3"/>
      <c r="F716" s="3"/>
      <c r="G716" s="3"/>
    </row>
    <row r="717" spans="1:7" x14ac:dyDescent="0.2">
      <c r="A717" s="5"/>
      <c r="B717" s="3"/>
      <c r="C717" s="3"/>
      <c r="D717" s="3"/>
      <c r="E717" s="3"/>
      <c r="F717" s="3"/>
      <c r="G717" s="3"/>
    </row>
    <row r="718" spans="1:7" x14ac:dyDescent="0.2">
      <c r="A718" s="5"/>
      <c r="B718" s="3"/>
      <c r="C718" s="3"/>
      <c r="D718" s="3"/>
      <c r="E718" s="3"/>
      <c r="F718" s="3"/>
      <c r="G718" s="3"/>
    </row>
    <row r="719" spans="1:7" x14ac:dyDescent="0.2">
      <c r="A719" s="5"/>
      <c r="B719" s="3"/>
      <c r="C719" s="3"/>
      <c r="D719" s="3"/>
      <c r="E719" s="3"/>
      <c r="F719" s="3"/>
      <c r="G719" s="3"/>
    </row>
    <row r="720" spans="1:7" x14ac:dyDescent="0.2">
      <c r="A720" s="5"/>
      <c r="B720" s="3"/>
      <c r="C720" s="3"/>
      <c r="D720" s="3"/>
      <c r="E720" s="3"/>
      <c r="F720" s="3"/>
      <c r="G720" s="3"/>
    </row>
    <row r="721" spans="1:7" x14ac:dyDescent="0.2">
      <c r="A721" s="5"/>
      <c r="B721" s="3"/>
      <c r="C721" s="3"/>
      <c r="D721" s="3"/>
      <c r="E721" s="3"/>
      <c r="F721" s="3"/>
      <c r="G721" s="3"/>
    </row>
    <row r="722" spans="1:7" x14ac:dyDescent="0.2">
      <c r="A722" s="5"/>
      <c r="B722" s="3"/>
      <c r="C722" s="3"/>
      <c r="D722" s="3"/>
      <c r="E722" s="3"/>
      <c r="F722" s="3"/>
      <c r="G722" s="3"/>
    </row>
    <row r="723" spans="1:7" x14ac:dyDescent="0.2">
      <c r="A723" s="5"/>
      <c r="B723" s="3"/>
      <c r="C723" s="3"/>
      <c r="D723" s="3"/>
      <c r="E723" s="3"/>
      <c r="F723" s="3"/>
      <c r="G723" s="3"/>
    </row>
    <row r="724" spans="1:7" x14ac:dyDescent="0.2">
      <c r="A724" s="5"/>
      <c r="B724" s="3"/>
      <c r="C724" s="3"/>
      <c r="D724" s="3"/>
      <c r="E724" s="3"/>
      <c r="F724" s="3"/>
      <c r="G724" s="3"/>
    </row>
    <row r="725" spans="1:7" x14ac:dyDescent="0.2">
      <c r="A725" s="5"/>
      <c r="B725" s="3"/>
      <c r="C725" s="3"/>
      <c r="D725" s="3"/>
      <c r="E725" s="3"/>
      <c r="F725" s="3"/>
      <c r="G725" s="3"/>
    </row>
    <row r="726" spans="1:7" x14ac:dyDescent="0.2">
      <c r="A726" s="5"/>
      <c r="B726" s="3"/>
      <c r="C726" s="3"/>
      <c r="D726" s="3"/>
      <c r="E726" s="3"/>
      <c r="F726" s="3"/>
      <c r="G726" s="3"/>
    </row>
    <row r="727" spans="1:7" x14ac:dyDescent="0.2">
      <c r="A727" s="5"/>
      <c r="B727" s="3"/>
      <c r="C727" s="3"/>
      <c r="D727" s="3"/>
      <c r="E727" s="3"/>
      <c r="F727" s="3"/>
      <c r="G727" s="3"/>
    </row>
    <row r="728" spans="1:7" x14ac:dyDescent="0.2">
      <c r="A728" s="5"/>
      <c r="B728" s="3"/>
      <c r="C728" s="3"/>
      <c r="D728" s="3"/>
      <c r="E728" s="3"/>
      <c r="F728" s="3"/>
      <c r="G728" s="3"/>
    </row>
    <row r="729" spans="1:7" x14ac:dyDescent="0.2">
      <c r="A729" s="5"/>
      <c r="B729" s="3"/>
      <c r="C729" s="3"/>
      <c r="D729" s="3"/>
      <c r="E729" s="3"/>
      <c r="F729" s="3"/>
      <c r="G729" s="3"/>
    </row>
    <row r="730" spans="1:7" x14ac:dyDescent="0.2">
      <c r="A730" s="5"/>
      <c r="B730" s="3"/>
      <c r="C730" s="3"/>
      <c r="D730" s="3"/>
      <c r="E730" s="3"/>
      <c r="F730" s="3"/>
      <c r="G730" s="3"/>
    </row>
    <row r="731" spans="1:7" x14ac:dyDescent="0.2">
      <c r="A731" s="5"/>
      <c r="B731" s="3"/>
      <c r="C731" s="3"/>
      <c r="D731" s="3"/>
      <c r="E731" s="3"/>
      <c r="F731" s="3"/>
      <c r="G731" s="3"/>
    </row>
    <row r="732" spans="1:7" x14ac:dyDescent="0.2">
      <c r="A732" s="5"/>
      <c r="B732" s="3"/>
      <c r="C732" s="3"/>
      <c r="D732" s="3"/>
      <c r="E732" s="3"/>
      <c r="F732" s="3"/>
      <c r="G732" s="3"/>
    </row>
    <row r="733" spans="1:7" x14ac:dyDescent="0.2">
      <c r="A733" s="5"/>
      <c r="B733" s="3"/>
      <c r="C733" s="3"/>
      <c r="D733" s="3"/>
      <c r="E733" s="3"/>
      <c r="F733" s="3"/>
      <c r="G733" s="3"/>
    </row>
    <row r="734" spans="1:7" x14ac:dyDescent="0.2">
      <c r="A734" s="5"/>
      <c r="B734" s="3"/>
      <c r="C734" s="3"/>
      <c r="D734" s="3"/>
      <c r="E734" s="3"/>
      <c r="F734" s="3"/>
      <c r="G734" s="3"/>
    </row>
    <row r="735" spans="1:7" x14ac:dyDescent="0.2">
      <c r="A735" s="5"/>
      <c r="B735" s="3"/>
      <c r="C735" s="3"/>
      <c r="D735" s="3"/>
      <c r="E735" s="3"/>
      <c r="F735" s="3"/>
      <c r="G735" s="3"/>
    </row>
    <row r="736" spans="1:7" x14ac:dyDescent="0.2">
      <c r="A736" s="5"/>
      <c r="B736" s="3"/>
      <c r="C736" s="3"/>
      <c r="D736" s="3"/>
      <c r="E736" s="3"/>
      <c r="F736" s="3"/>
      <c r="G736" s="3"/>
    </row>
    <row r="737" spans="1:7" x14ac:dyDescent="0.2">
      <c r="A737" s="5"/>
      <c r="B737" s="3"/>
      <c r="C737" s="3"/>
      <c r="D737" s="3"/>
      <c r="E737" s="3"/>
      <c r="F737" s="3"/>
      <c r="G737" s="3"/>
    </row>
    <row r="738" spans="1:7" x14ac:dyDescent="0.2">
      <c r="A738" s="5"/>
      <c r="B738" s="3"/>
      <c r="C738" s="3"/>
      <c r="D738" s="3"/>
      <c r="E738" s="3"/>
      <c r="F738" s="3"/>
      <c r="G738" s="3"/>
    </row>
    <row r="739" spans="1:7" x14ac:dyDescent="0.2">
      <c r="A739" s="5"/>
      <c r="B739" s="3"/>
      <c r="C739" s="3"/>
      <c r="D739" s="3"/>
      <c r="E739" s="3"/>
      <c r="F739" s="3"/>
      <c r="G739" s="3"/>
    </row>
    <row r="740" spans="1:7" x14ac:dyDescent="0.2">
      <c r="A740" s="5"/>
      <c r="B740" s="3"/>
      <c r="C740" s="3"/>
      <c r="D740" s="3"/>
      <c r="E740" s="3"/>
      <c r="F740" s="3"/>
      <c r="G740" s="3"/>
    </row>
    <row r="741" spans="1:7" x14ac:dyDescent="0.2">
      <c r="A741" s="5"/>
      <c r="B741" s="3"/>
      <c r="C741" s="3"/>
      <c r="D741" s="3"/>
      <c r="E741" s="3"/>
      <c r="F741" s="3"/>
      <c r="G741" s="3"/>
    </row>
    <row r="742" spans="1:7" x14ac:dyDescent="0.2">
      <c r="A742" s="5"/>
      <c r="B742" s="3"/>
      <c r="C742" s="3"/>
      <c r="D742" s="3"/>
      <c r="E742" s="3"/>
      <c r="F742" s="3"/>
      <c r="G742" s="3"/>
    </row>
    <row r="743" spans="1:7" x14ac:dyDescent="0.2">
      <c r="A743" s="5"/>
      <c r="B743" s="3"/>
      <c r="C743" s="3"/>
      <c r="D743" s="3"/>
      <c r="E743" s="3"/>
      <c r="F743" s="3"/>
      <c r="G743" s="3"/>
    </row>
    <row r="744" spans="1:7" x14ac:dyDescent="0.2">
      <c r="A744" s="5"/>
      <c r="B744" s="3"/>
      <c r="C744" s="3"/>
      <c r="D744" s="3"/>
      <c r="E744" s="3"/>
      <c r="F744" s="3"/>
      <c r="G744" s="3"/>
    </row>
    <row r="745" spans="1:7" x14ac:dyDescent="0.2">
      <c r="A745" s="5"/>
      <c r="B745" s="3"/>
      <c r="C745" s="3"/>
      <c r="D745" s="3"/>
      <c r="E745" s="3"/>
      <c r="F745" s="3"/>
      <c r="G745" s="3"/>
    </row>
    <row r="746" spans="1:7" x14ac:dyDescent="0.2">
      <c r="A746" s="5"/>
      <c r="B746" s="3"/>
      <c r="C746" s="3"/>
      <c r="D746" s="3"/>
      <c r="E746" s="3"/>
      <c r="F746" s="3"/>
      <c r="G746" s="3"/>
    </row>
    <row r="747" spans="1:7" x14ac:dyDescent="0.2">
      <c r="A747" s="5"/>
      <c r="B747" s="3"/>
      <c r="C747" s="3"/>
      <c r="D747" s="3"/>
      <c r="E747" s="3"/>
      <c r="F747" s="3"/>
      <c r="G747" s="3"/>
    </row>
    <row r="748" spans="1:7" x14ac:dyDescent="0.2">
      <c r="A748" s="5"/>
      <c r="B748" s="3"/>
      <c r="C748" s="3"/>
      <c r="D748" s="3"/>
      <c r="E748" s="3"/>
      <c r="F748" s="3"/>
      <c r="G748" s="3"/>
    </row>
    <row r="749" spans="1:7" x14ac:dyDescent="0.2">
      <c r="A749" s="5"/>
      <c r="B749" s="3"/>
      <c r="C749" s="3"/>
      <c r="D749" s="3"/>
      <c r="E749" s="3"/>
      <c r="F749" s="3"/>
      <c r="G749" s="3"/>
    </row>
    <row r="750" spans="1:7" x14ac:dyDescent="0.2">
      <c r="A750" s="5"/>
      <c r="B750" s="3"/>
      <c r="C750" s="3"/>
      <c r="D750" s="3"/>
      <c r="E750" s="3"/>
      <c r="F750" s="3"/>
      <c r="G750" s="3"/>
    </row>
    <row r="751" spans="1:7" x14ac:dyDescent="0.2">
      <c r="A751" s="5"/>
      <c r="B751" s="3"/>
      <c r="C751" s="3"/>
      <c r="D751" s="3"/>
      <c r="E751" s="3"/>
      <c r="F751" s="3"/>
      <c r="G751" s="3"/>
    </row>
    <row r="752" spans="1:7" x14ac:dyDescent="0.2">
      <c r="A752" s="5"/>
      <c r="B752" s="3"/>
      <c r="C752" s="3"/>
      <c r="D752" s="3"/>
      <c r="E752" s="3"/>
      <c r="F752" s="3"/>
      <c r="G752" s="3"/>
    </row>
    <row r="753" spans="1:7" x14ac:dyDescent="0.2">
      <c r="A753" s="5"/>
      <c r="B753" s="3"/>
      <c r="C753" s="3"/>
      <c r="D753" s="3"/>
      <c r="E753" s="3"/>
      <c r="F753" s="3"/>
      <c r="G753" s="3"/>
    </row>
    <row r="754" spans="1:7" x14ac:dyDescent="0.2">
      <c r="A754" s="5"/>
      <c r="B754" s="3"/>
      <c r="C754" s="3"/>
      <c r="D754" s="3"/>
      <c r="E754" s="3"/>
      <c r="F754" s="3"/>
      <c r="G754" s="3"/>
    </row>
    <row r="755" spans="1:7" x14ac:dyDescent="0.2">
      <c r="A755" s="5"/>
      <c r="B755" s="3"/>
      <c r="C755" s="3"/>
      <c r="D755" s="3"/>
      <c r="E755" s="3"/>
      <c r="F755" s="3"/>
      <c r="G755" s="3"/>
    </row>
    <row r="756" spans="1:7" x14ac:dyDescent="0.2">
      <c r="A756" s="5"/>
      <c r="B756" s="3"/>
      <c r="C756" s="3"/>
      <c r="D756" s="3"/>
      <c r="E756" s="3"/>
      <c r="F756" s="3"/>
      <c r="G756" s="3"/>
    </row>
    <row r="757" spans="1:7" x14ac:dyDescent="0.2">
      <c r="A757" s="5"/>
      <c r="B757" s="3"/>
      <c r="C757" s="3"/>
      <c r="D757" s="3"/>
      <c r="E757" s="3"/>
      <c r="F757" s="3"/>
      <c r="G757" s="3"/>
    </row>
    <row r="758" spans="1:7" x14ac:dyDescent="0.2">
      <c r="A758" s="5"/>
      <c r="B758" s="3"/>
      <c r="C758" s="3"/>
      <c r="D758" s="3"/>
      <c r="E758" s="3"/>
      <c r="F758" s="3"/>
      <c r="G758" s="3"/>
    </row>
    <row r="759" spans="1:7" x14ac:dyDescent="0.2">
      <c r="A759" s="5"/>
      <c r="B759" s="3"/>
      <c r="C759" s="3"/>
      <c r="D759" s="3"/>
      <c r="E759" s="3"/>
      <c r="F759" s="3"/>
      <c r="G759" s="3"/>
    </row>
    <row r="760" spans="1:7" x14ac:dyDescent="0.2">
      <c r="A760" s="5"/>
      <c r="B760" s="3"/>
      <c r="C760" s="3"/>
      <c r="D760" s="3"/>
      <c r="E760" s="3"/>
      <c r="F760" s="3"/>
      <c r="G760" s="3"/>
    </row>
    <row r="761" spans="1:7" x14ac:dyDescent="0.2">
      <c r="A761" s="5"/>
      <c r="B761" s="3"/>
      <c r="C761" s="3"/>
      <c r="D761" s="3"/>
      <c r="E761" s="3"/>
      <c r="F761" s="3"/>
      <c r="G761" s="3"/>
    </row>
    <row r="762" spans="1:7" x14ac:dyDescent="0.2">
      <c r="A762" s="5"/>
      <c r="B762" s="3"/>
      <c r="C762" s="3"/>
      <c r="D762" s="3"/>
      <c r="E762" s="3"/>
      <c r="F762" s="3"/>
      <c r="G762" s="3"/>
    </row>
    <row r="763" spans="1:7" x14ac:dyDescent="0.2">
      <c r="A763" s="5"/>
      <c r="B763" s="3"/>
      <c r="C763" s="3"/>
      <c r="D763" s="3"/>
      <c r="E763" s="3"/>
      <c r="F763" s="3"/>
      <c r="G763" s="3"/>
    </row>
    <row r="764" spans="1:7" x14ac:dyDescent="0.2">
      <c r="A764" s="5"/>
      <c r="B764" s="3"/>
      <c r="C764" s="3"/>
      <c r="D764" s="3"/>
      <c r="E764" s="3"/>
      <c r="F764" s="3"/>
      <c r="G764" s="3"/>
    </row>
    <row r="765" spans="1:7" x14ac:dyDescent="0.2">
      <c r="A765" s="5"/>
      <c r="B765" s="3"/>
      <c r="C765" s="3"/>
      <c r="D765" s="3"/>
      <c r="E765" s="3"/>
      <c r="F765" s="3"/>
      <c r="G765" s="3"/>
    </row>
    <row r="766" spans="1:7" x14ac:dyDescent="0.2">
      <c r="A766" s="5"/>
      <c r="B766" s="3"/>
      <c r="C766" s="3"/>
      <c r="D766" s="3"/>
      <c r="E766" s="3"/>
      <c r="F766" s="3"/>
      <c r="G766" s="3"/>
    </row>
    <row r="767" spans="1:7" x14ac:dyDescent="0.2">
      <c r="A767" s="5"/>
      <c r="B767" s="3"/>
      <c r="C767" s="3"/>
      <c r="D767" s="3"/>
      <c r="E767" s="3"/>
      <c r="F767" s="3"/>
      <c r="G767" s="3"/>
    </row>
    <row r="768" spans="1:7" x14ac:dyDescent="0.2">
      <c r="A768" s="5"/>
      <c r="B768" s="3"/>
      <c r="C768" s="3"/>
      <c r="D768" s="3"/>
      <c r="E768" s="3"/>
      <c r="F768" s="3"/>
      <c r="G768" s="3"/>
    </row>
    <row r="769" spans="1:7" x14ac:dyDescent="0.2">
      <c r="A769" s="5"/>
      <c r="B769" s="3"/>
      <c r="C769" s="3"/>
      <c r="D769" s="3"/>
      <c r="E769" s="3"/>
      <c r="F769" s="3"/>
      <c r="G769" s="3"/>
    </row>
    <row r="770" spans="1:7" x14ac:dyDescent="0.2">
      <c r="A770" s="5"/>
      <c r="B770" s="3"/>
      <c r="C770" s="3"/>
      <c r="D770" s="3"/>
      <c r="E770" s="3"/>
      <c r="F770" s="3"/>
      <c r="G770" s="3"/>
    </row>
    <row r="771" spans="1:7" x14ac:dyDescent="0.2">
      <c r="A771" s="5"/>
      <c r="B771" s="3"/>
      <c r="C771" s="3"/>
      <c r="D771" s="3"/>
      <c r="E771" s="3"/>
      <c r="F771" s="3"/>
      <c r="G771" s="3"/>
    </row>
    <row r="772" spans="1:7" x14ac:dyDescent="0.2">
      <c r="A772" s="5"/>
      <c r="B772" s="3"/>
      <c r="C772" s="3"/>
      <c r="D772" s="3"/>
      <c r="E772" s="3"/>
      <c r="F772" s="3"/>
      <c r="G772" s="3"/>
    </row>
    <row r="773" spans="1:7" x14ac:dyDescent="0.2">
      <c r="A773" s="5"/>
      <c r="B773" s="3"/>
      <c r="C773" s="3"/>
      <c r="D773" s="3"/>
      <c r="E773" s="3"/>
      <c r="F773" s="3"/>
      <c r="G773" s="3"/>
    </row>
    <row r="774" spans="1:7" x14ac:dyDescent="0.2">
      <c r="A774" s="5"/>
      <c r="B774" s="3"/>
      <c r="C774" s="3"/>
      <c r="D774" s="3"/>
      <c r="E774" s="3"/>
      <c r="F774" s="3"/>
      <c r="G774" s="3"/>
    </row>
    <row r="775" spans="1:7" x14ac:dyDescent="0.2">
      <c r="A775" s="5"/>
      <c r="B775" s="3"/>
      <c r="C775" s="3"/>
      <c r="D775" s="3"/>
      <c r="E775" s="3"/>
      <c r="F775" s="3"/>
      <c r="G775" s="3"/>
    </row>
    <row r="776" spans="1:7" x14ac:dyDescent="0.2">
      <c r="A776" s="5"/>
      <c r="B776" s="3"/>
      <c r="C776" s="3"/>
      <c r="D776" s="3"/>
      <c r="E776" s="3"/>
      <c r="F776" s="3"/>
      <c r="G776" s="3"/>
    </row>
    <row r="777" spans="1:7" x14ac:dyDescent="0.2">
      <c r="A777" s="5"/>
      <c r="B777" s="3"/>
      <c r="C777" s="3"/>
      <c r="D777" s="3"/>
      <c r="E777" s="3"/>
      <c r="F777" s="3"/>
      <c r="G777" s="3"/>
    </row>
    <row r="778" spans="1:7" x14ac:dyDescent="0.2">
      <c r="A778" s="5"/>
      <c r="B778" s="3"/>
      <c r="C778" s="3"/>
      <c r="D778" s="3"/>
      <c r="E778" s="3"/>
      <c r="F778" s="3"/>
      <c r="G778" s="3"/>
    </row>
    <row r="779" spans="1:7" x14ac:dyDescent="0.2">
      <c r="A779" s="5"/>
      <c r="B779" s="3"/>
      <c r="C779" s="3"/>
      <c r="D779" s="3"/>
      <c r="E779" s="3"/>
      <c r="F779" s="3"/>
      <c r="G779" s="3"/>
    </row>
    <row r="780" spans="1:7" x14ac:dyDescent="0.2">
      <c r="A780" s="5"/>
      <c r="B780" s="3"/>
      <c r="C780" s="3"/>
      <c r="D780" s="3"/>
      <c r="E780" s="3"/>
      <c r="F780" s="3"/>
      <c r="G780" s="3"/>
    </row>
    <row r="781" spans="1:7" x14ac:dyDescent="0.2">
      <c r="A781" s="5"/>
      <c r="B781" s="3"/>
      <c r="C781" s="3"/>
      <c r="D781" s="3"/>
      <c r="E781" s="3"/>
      <c r="F781" s="3"/>
      <c r="G781" s="3"/>
    </row>
    <row r="782" spans="1:7" x14ac:dyDescent="0.2">
      <c r="A782" s="5"/>
      <c r="B782" s="3"/>
      <c r="C782" s="3"/>
      <c r="D782" s="3"/>
      <c r="E782" s="3"/>
      <c r="F782" s="3"/>
      <c r="G782" s="3"/>
    </row>
    <row r="783" spans="1:7" x14ac:dyDescent="0.2">
      <c r="A783" s="5"/>
      <c r="B783" s="3"/>
      <c r="C783" s="3"/>
      <c r="D783" s="3"/>
      <c r="E783" s="3"/>
      <c r="F783" s="3"/>
      <c r="G783" s="3"/>
    </row>
    <row r="784" spans="1:7" x14ac:dyDescent="0.2">
      <c r="A784" s="5"/>
      <c r="B784" s="3"/>
      <c r="C784" s="3"/>
      <c r="D784" s="3"/>
      <c r="E784" s="3"/>
      <c r="F784" s="3"/>
      <c r="G784" s="3"/>
    </row>
    <row r="785" spans="1:7" x14ac:dyDescent="0.2">
      <c r="A785" s="5"/>
      <c r="B785" s="3"/>
      <c r="C785" s="3"/>
      <c r="D785" s="3"/>
      <c r="E785" s="3"/>
      <c r="F785" s="3"/>
      <c r="G785" s="3"/>
    </row>
    <row r="786" spans="1:7" x14ac:dyDescent="0.2">
      <c r="A786" s="5"/>
      <c r="B786" s="3"/>
      <c r="C786" s="3"/>
      <c r="D786" s="3"/>
      <c r="E786" s="3"/>
      <c r="F786" s="3"/>
      <c r="G786" s="3"/>
    </row>
    <row r="787" spans="1:7" x14ac:dyDescent="0.2">
      <c r="A787" s="5"/>
      <c r="B787" s="3"/>
      <c r="C787" s="3"/>
      <c r="D787" s="3"/>
      <c r="E787" s="3"/>
      <c r="F787" s="3"/>
      <c r="G787" s="3"/>
    </row>
    <row r="788" spans="1:7" x14ac:dyDescent="0.2">
      <c r="A788" s="5"/>
      <c r="B788" s="3"/>
      <c r="C788" s="3"/>
      <c r="D788" s="3"/>
      <c r="E788" s="3"/>
      <c r="F788" s="3"/>
      <c r="G788" s="3"/>
    </row>
    <row r="789" spans="1:7" x14ac:dyDescent="0.2">
      <c r="A789" s="5"/>
      <c r="B789" s="3"/>
      <c r="C789" s="3"/>
      <c r="D789" s="3"/>
      <c r="E789" s="3"/>
      <c r="F789" s="3"/>
      <c r="G789" s="3"/>
    </row>
    <row r="790" spans="1:7" x14ac:dyDescent="0.2">
      <c r="A790" s="5"/>
      <c r="B790" s="3"/>
      <c r="C790" s="3"/>
      <c r="D790" s="3"/>
      <c r="E790" s="3"/>
      <c r="F790" s="3"/>
      <c r="G790" s="3"/>
    </row>
    <row r="791" spans="1:7" x14ac:dyDescent="0.2">
      <c r="A791" s="5"/>
      <c r="B791" s="3"/>
      <c r="C791" s="3"/>
      <c r="D791" s="3"/>
      <c r="E791" s="3"/>
      <c r="F791" s="3"/>
      <c r="G791" s="3"/>
    </row>
    <row r="792" spans="1:7" x14ac:dyDescent="0.2">
      <c r="A792" s="5"/>
      <c r="B792" s="3"/>
      <c r="C792" s="3"/>
      <c r="D792" s="3"/>
      <c r="E792" s="3"/>
      <c r="F792" s="3"/>
      <c r="G792" s="3"/>
    </row>
    <row r="793" spans="1:7" x14ac:dyDescent="0.2">
      <c r="A793" s="5"/>
      <c r="B793" s="3"/>
      <c r="C793" s="3"/>
      <c r="D793" s="3"/>
      <c r="E793" s="3"/>
      <c r="F793" s="3"/>
      <c r="G793" s="3"/>
    </row>
    <row r="794" spans="1:7" x14ac:dyDescent="0.2">
      <c r="A794" s="5"/>
      <c r="B794" s="3"/>
      <c r="C794" s="3"/>
      <c r="D794" s="3"/>
      <c r="E794" s="3"/>
      <c r="F794" s="3"/>
      <c r="G794" s="3"/>
    </row>
    <row r="795" spans="1:7" x14ac:dyDescent="0.2">
      <c r="A795" s="5"/>
      <c r="B795" s="3"/>
      <c r="C795" s="3"/>
      <c r="D795" s="3"/>
      <c r="E795" s="3"/>
      <c r="F795" s="3"/>
      <c r="G795" s="3"/>
    </row>
    <row r="796" spans="1:7" x14ac:dyDescent="0.2">
      <c r="A796" s="5"/>
      <c r="B796" s="3"/>
      <c r="C796" s="3"/>
      <c r="D796" s="3"/>
      <c r="E796" s="3"/>
      <c r="F796" s="3"/>
      <c r="G796" s="3"/>
    </row>
    <row r="797" spans="1:7" x14ac:dyDescent="0.2">
      <c r="A797" s="5"/>
      <c r="B797" s="3"/>
      <c r="C797" s="3"/>
      <c r="D797" s="3"/>
      <c r="E797" s="3"/>
      <c r="F797" s="3"/>
      <c r="G797" s="3"/>
    </row>
    <row r="798" spans="1:7" x14ac:dyDescent="0.2">
      <c r="A798" s="5"/>
      <c r="B798" s="3"/>
      <c r="C798" s="3"/>
      <c r="D798" s="3"/>
      <c r="E798" s="3"/>
      <c r="F798" s="3"/>
      <c r="G798" s="3"/>
    </row>
    <row r="799" spans="1:7" x14ac:dyDescent="0.2">
      <c r="A799" s="5"/>
      <c r="B799" s="3"/>
      <c r="C799" s="3"/>
      <c r="D799" s="3"/>
      <c r="E799" s="3"/>
      <c r="F799" s="3"/>
      <c r="G799" s="3"/>
    </row>
    <row r="800" spans="1:7" x14ac:dyDescent="0.2">
      <c r="A800" s="5"/>
      <c r="B800" s="3"/>
      <c r="C800" s="3"/>
      <c r="D800" s="3"/>
      <c r="E800" s="3"/>
      <c r="F800" s="3"/>
      <c r="G800" s="3"/>
    </row>
    <row r="801" spans="1:7" x14ac:dyDescent="0.2">
      <c r="A801" s="5"/>
      <c r="B801" s="3"/>
      <c r="C801" s="3"/>
      <c r="D801" s="3"/>
      <c r="E801" s="3"/>
      <c r="F801" s="3"/>
      <c r="G801" s="3"/>
    </row>
    <row r="802" spans="1:7" x14ac:dyDescent="0.2">
      <c r="A802" s="5"/>
      <c r="B802" s="3"/>
      <c r="C802" s="3"/>
      <c r="D802" s="3"/>
      <c r="E802" s="3"/>
      <c r="F802" s="3"/>
      <c r="G802" s="3"/>
    </row>
    <row r="803" spans="1:7" x14ac:dyDescent="0.2">
      <c r="A803" s="5"/>
      <c r="B803" s="3"/>
      <c r="C803" s="3"/>
      <c r="D803" s="3"/>
      <c r="E803" s="3"/>
      <c r="F803" s="3"/>
      <c r="G803" s="3"/>
    </row>
    <row r="804" spans="1:7" x14ac:dyDescent="0.2">
      <c r="A804" s="5"/>
      <c r="B804" s="3"/>
      <c r="C804" s="3"/>
      <c r="D804" s="3"/>
      <c r="E804" s="3"/>
      <c r="F804" s="3"/>
      <c r="G804" s="3"/>
    </row>
    <row r="805" spans="1:7" x14ac:dyDescent="0.2">
      <c r="A805" s="5"/>
      <c r="B805" s="3"/>
      <c r="C805" s="3"/>
      <c r="D805" s="3"/>
      <c r="E805" s="3"/>
      <c r="F805" s="3"/>
      <c r="G805" s="3"/>
    </row>
    <row r="806" spans="1:7" x14ac:dyDescent="0.2">
      <c r="A806" s="5"/>
      <c r="B806" s="3"/>
      <c r="C806" s="3"/>
      <c r="D806" s="3"/>
      <c r="E806" s="3"/>
      <c r="F806" s="3"/>
      <c r="G806" s="3"/>
    </row>
    <row r="807" spans="1:7" x14ac:dyDescent="0.2">
      <c r="A807" s="5"/>
      <c r="B807" s="3"/>
      <c r="C807" s="3"/>
      <c r="D807" s="3"/>
      <c r="E807" s="3"/>
      <c r="F807" s="3"/>
      <c r="G807" s="3"/>
    </row>
    <row r="808" spans="1:7" x14ac:dyDescent="0.2">
      <c r="A808" s="5"/>
      <c r="B808" s="3"/>
      <c r="C808" s="3"/>
      <c r="D808" s="3"/>
      <c r="E808" s="3"/>
      <c r="F808" s="3"/>
      <c r="G808" s="3"/>
    </row>
    <row r="809" spans="1:7" x14ac:dyDescent="0.2">
      <c r="A809" s="5"/>
      <c r="B809" s="3"/>
      <c r="C809" s="3"/>
      <c r="D809" s="3"/>
      <c r="E809" s="3"/>
      <c r="F809" s="3"/>
      <c r="G809" s="3"/>
    </row>
    <row r="810" spans="1:7" x14ac:dyDescent="0.2">
      <c r="A810" s="5"/>
      <c r="B810" s="3"/>
      <c r="C810" s="3"/>
      <c r="D810" s="3"/>
      <c r="E810" s="3"/>
      <c r="F810" s="3"/>
      <c r="G810" s="3"/>
    </row>
    <row r="811" spans="1:7" x14ac:dyDescent="0.2">
      <c r="A811" s="5"/>
      <c r="B811" s="3"/>
      <c r="C811" s="3"/>
      <c r="D811" s="3"/>
      <c r="E811" s="3"/>
      <c r="F811" s="3"/>
      <c r="G811" s="3"/>
    </row>
    <row r="812" spans="1:7" x14ac:dyDescent="0.2">
      <c r="A812" s="5"/>
      <c r="B812" s="3"/>
      <c r="C812" s="3"/>
      <c r="D812" s="3"/>
      <c r="E812" s="3"/>
      <c r="F812" s="3"/>
      <c r="G812" s="3"/>
    </row>
    <row r="813" spans="1:7" x14ac:dyDescent="0.2">
      <c r="A813" s="5"/>
      <c r="B813" s="3"/>
      <c r="C813" s="3"/>
      <c r="D813" s="3"/>
      <c r="E813" s="3"/>
      <c r="F813" s="3"/>
      <c r="G813" s="3"/>
    </row>
    <row r="814" spans="1:7" x14ac:dyDescent="0.2">
      <c r="A814" s="5"/>
      <c r="B814" s="3"/>
      <c r="C814" s="3"/>
      <c r="D814" s="3"/>
      <c r="E814" s="3"/>
      <c r="F814" s="3"/>
      <c r="G814" s="3"/>
    </row>
    <row r="815" spans="1:7" x14ac:dyDescent="0.2">
      <c r="A815" s="5"/>
      <c r="B815" s="3"/>
      <c r="C815" s="3"/>
      <c r="D815" s="3"/>
      <c r="E815" s="3"/>
      <c r="F815" s="3"/>
      <c r="G815" s="3"/>
    </row>
    <row r="816" spans="1:7" x14ac:dyDescent="0.2">
      <c r="A816" s="5"/>
      <c r="B816" s="3"/>
      <c r="C816" s="3"/>
      <c r="D816" s="3"/>
      <c r="E816" s="3"/>
      <c r="F816" s="3"/>
      <c r="G816" s="3"/>
    </row>
    <row r="817" spans="1:7" x14ac:dyDescent="0.2">
      <c r="A817" s="5"/>
      <c r="B817" s="3"/>
      <c r="C817" s="3"/>
      <c r="D817" s="3"/>
      <c r="E817" s="3"/>
      <c r="F817" s="3"/>
      <c r="G817" s="3"/>
    </row>
    <row r="818" spans="1:7" x14ac:dyDescent="0.2">
      <c r="A818" s="5"/>
      <c r="B818" s="3"/>
      <c r="C818" s="3"/>
      <c r="D818" s="3"/>
      <c r="E818" s="3"/>
      <c r="F818" s="3"/>
      <c r="G818" s="3"/>
    </row>
    <row r="819" spans="1:7" x14ac:dyDescent="0.2">
      <c r="A819" s="5"/>
      <c r="B819" s="3"/>
      <c r="C819" s="3"/>
      <c r="D819" s="3"/>
      <c r="E819" s="3"/>
      <c r="F819" s="3"/>
      <c r="G819" s="3"/>
    </row>
    <row r="820" spans="1:7" x14ac:dyDescent="0.2">
      <c r="A820" s="5"/>
      <c r="B820" s="3"/>
      <c r="C820" s="3"/>
      <c r="D820" s="3"/>
      <c r="E820" s="3"/>
      <c r="F820" s="3"/>
      <c r="G820" s="3"/>
    </row>
    <row r="821" spans="1:7" x14ac:dyDescent="0.2">
      <c r="A821" s="5"/>
      <c r="B821" s="3"/>
      <c r="C821" s="3"/>
      <c r="D821" s="3"/>
      <c r="E821" s="3"/>
      <c r="F821" s="3"/>
      <c r="G821" s="3"/>
    </row>
    <row r="822" spans="1:7" x14ac:dyDescent="0.2">
      <c r="A822" s="5"/>
      <c r="B822" s="3"/>
      <c r="C822" s="3"/>
      <c r="D822" s="3"/>
      <c r="E822" s="3"/>
      <c r="F822" s="3"/>
      <c r="G822" s="3"/>
    </row>
    <row r="823" spans="1:7" x14ac:dyDescent="0.2">
      <c r="A823" s="5"/>
      <c r="B823" s="3"/>
      <c r="C823" s="3"/>
      <c r="D823" s="3"/>
      <c r="E823" s="3"/>
      <c r="F823" s="3"/>
      <c r="G823" s="3"/>
    </row>
    <row r="824" spans="1:7" x14ac:dyDescent="0.2">
      <c r="A824" s="5"/>
      <c r="B824" s="3"/>
      <c r="C824" s="3"/>
      <c r="D824" s="3"/>
      <c r="E824" s="3"/>
      <c r="F824" s="3"/>
      <c r="G824" s="3"/>
    </row>
    <row r="825" spans="1:7" x14ac:dyDescent="0.2">
      <c r="A825" s="5"/>
      <c r="B825" s="3"/>
      <c r="C825" s="3"/>
      <c r="D825" s="3"/>
      <c r="E825" s="3"/>
      <c r="F825" s="3"/>
      <c r="G825" s="3"/>
    </row>
    <row r="826" spans="1:7" x14ac:dyDescent="0.2">
      <c r="A826" s="5"/>
      <c r="B826" s="3"/>
      <c r="C826" s="3"/>
      <c r="D826" s="3"/>
      <c r="E826" s="3"/>
      <c r="F826" s="3"/>
      <c r="G826" s="3"/>
    </row>
    <row r="827" spans="1:7" x14ac:dyDescent="0.2">
      <c r="A827" s="5"/>
      <c r="B827" s="3"/>
      <c r="C827" s="3"/>
      <c r="D827" s="3"/>
      <c r="E827" s="3"/>
      <c r="F827" s="3"/>
      <c r="G827" s="3"/>
    </row>
    <row r="828" spans="1:7" x14ac:dyDescent="0.2">
      <c r="A828" s="5"/>
      <c r="B828" s="3"/>
      <c r="C828" s="3"/>
      <c r="D828" s="3"/>
      <c r="E828" s="3"/>
      <c r="F828" s="3"/>
      <c r="G828" s="3"/>
    </row>
    <row r="829" spans="1:7" x14ac:dyDescent="0.2">
      <c r="A829" s="5"/>
      <c r="B829" s="3"/>
      <c r="C829" s="3"/>
      <c r="D829" s="3"/>
      <c r="E829" s="3"/>
      <c r="F829" s="3"/>
      <c r="G829" s="3"/>
    </row>
    <row r="830" spans="1:7" x14ac:dyDescent="0.2">
      <c r="A830" s="5"/>
      <c r="B830" s="3"/>
      <c r="C830" s="3"/>
      <c r="D830" s="3"/>
      <c r="E830" s="3"/>
      <c r="F830" s="3"/>
      <c r="G830" s="3"/>
    </row>
    <row r="831" spans="1:7" x14ac:dyDescent="0.2">
      <c r="A831" s="5"/>
      <c r="B831" s="3"/>
      <c r="C831" s="3"/>
      <c r="D831" s="3"/>
      <c r="E831" s="3"/>
      <c r="F831" s="3"/>
      <c r="G831" s="3"/>
    </row>
    <row r="832" spans="1:7" x14ac:dyDescent="0.2">
      <c r="A832" s="5"/>
      <c r="B832" s="3"/>
      <c r="C832" s="3"/>
      <c r="D832" s="3"/>
      <c r="E832" s="3"/>
      <c r="F832" s="3"/>
      <c r="G832" s="3"/>
    </row>
    <row r="833" spans="1:7" x14ac:dyDescent="0.2">
      <c r="A833" s="5"/>
      <c r="B833" s="3"/>
      <c r="C833" s="3"/>
      <c r="D833" s="3"/>
      <c r="E833" s="3"/>
      <c r="F833" s="3"/>
      <c r="G833" s="3"/>
    </row>
    <row r="834" spans="1:7" x14ac:dyDescent="0.2">
      <c r="A834" s="5"/>
      <c r="B834" s="3"/>
      <c r="C834" s="3"/>
      <c r="D834" s="3"/>
      <c r="E834" s="3"/>
      <c r="F834" s="3"/>
      <c r="G834" s="3"/>
    </row>
    <row r="835" spans="1:7" x14ac:dyDescent="0.2">
      <c r="A835" s="5"/>
      <c r="B835" s="3"/>
      <c r="C835" s="3"/>
      <c r="D835" s="3"/>
      <c r="E835" s="3"/>
      <c r="F835" s="3"/>
      <c r="G835" s="3"/>
    </row>
    <row r="836" spans="1:7" x14ac:dyDescent="0.2">
      <c r="A836" s="5"/>
      <c r="B836" s="3"/>
      <c r="C836" s="3"/>
      <c r="D836" s="3"/>
      <c r="E836" s="3"/>
      <c r="F836" s="3"/>
      <c r="G836" s="3"/>
    </row>
    <row r="837" spans="1:7" x14ac:dyDescent="0.2">
      <c r="A837" s="5"/>
      <c r="B837" s="3"/>
      <c r="C837" s="3"/>
      <c r="D837" s="3"/>
      <c r="E837" s="3"/>
      <c r="F837" s="3"/>
      <c r="G837" s="3"/>
    </row>
    <row r="838" spans="1:7" x14ac:dyDescent="0.2">
      <c r="A838" s="5"/>
      <c r="B838" s="3"/>
      <c r="C838" s="3"/>
      <c r="D838" s="3"/>
      <c r="E838" s="3"/>
      <c r="F838" s="3"/>
      <c r="G838" s="3"/>
    </row>
    <row r="839" spans="1:7" x14ac:dyDescent="0.2">
      <c r="A839" s="5"/>
      <c r="B839" s="3"/>
      <c r="C839" s="3"/>
      <c r="D839" s="3"/>
      <c r="E839" s="3"/>
      <c r="F839" s="3"/>
      <c r="G839" s="3"/>
    </row>
    <row r="840" spans="1:7" x14ac:dyDescent="0.2">
      <c r="A840" s="5"/>
      <c r="B840" s="3"/>
      <c r="C840" s="3"/>
      <c r="D840" s="3"/>
      <c r="E840" s="3"/>
      <c r="F840" s="3"/>
      <c r="G840" s="3"/>
    </row>
  </sheetData>
  <customSheetViews>
    <customSheetView guid="{FF05580A-A727-4092-B60E-2BB176745255}" state="hidden">
      <pane ySplit="1" topLeftCell="A2" activePane="bottomLeft" state="frozen"/>
      <selection pane="bottomLeft" activeCell="N2" sqref="N2"/>
      <pageMargins left="0" right="0" top="0" bottom="0" header="0" footer="0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77E92-4BAC-459C-9F6B-1238DA0488B6}">
  <sheetPr codeName="Sheet6"/>
  <dimension ref="A1:N840"/>
  <sheetViews>
    <sheetView workbookViewId="0">
      <pane ySplit="1" topLeftCell="A2" activePane="bottomLeft" state="frozen"/>
      <selection pane="bottomLeft" activeCell="C2" sqref="C2"/>
    </sheetView>
  </sheetViews>
  <sheetFormatPr defaultRowHeight="12.75" x14ac:dyDescent="0.2"/>
  <cols>
    <col min="1" max="1" width="15.7109375" style="1" customWidth="1"/>
    <col min="2" max="7" width="15.7109375" style="2" customWidth="1"/>
    <col min="8" max="8" width="9.140625" style="2"/>
    <col min="9" max="10" width="12.7109375" style="2" customWidth="1"/>
    <col min="11" max="11" width="12.7109375" style="4" customWidth="1"/>
    <col min="12" max="12" width="12.7109375" style="10" customWidth="1"/>
    <col min="13" max="16384" width="9.140625" style="2"/>
  </cols>
  <sheetData>
    <row r="1" spans="1:14" x14ac:dyDescent="0.2">
      <c r="A1" s="6" t="s">
        <v>7</v>
      </c>
      <c r="B1" s="6" t="s">
        <v>8</v>
      </c>
      <c r="C1" s="7" t="s">
        <v>2</v>
      </c>
      <c r="D1" s="7" t="s">
        <v>1</v>
      </c>
      <c r="E1" s="7" t="s">
        <v>5</v>
      </c>
      <c r="F1" s="7" t="s">
        <v>4</v>
      </c>
      <c r="G1" s="7" t="s">
        <v>3</v>
      </c>
      <c r="I1" s="8" t="s">
        <v>6</v>
      </c>
      <c r="J1" s="8" t="s">
        <v>9</v>
      </c>
      <c r="L1" s="9" t="s">
        <v>0</v>
      </c>
    </row>
    <row r="2" spans="1:14" x14ac:dyDescent="0.2">
      <c r="A2" s="5">
        <v>45791</v>
      </c>
      <c r="B2" s="3" t="str">
        <f ca="1">INDEX($C$1:$G$1, 1, MATCH(MAX(C2:G2), C2:G2, 0))</f>
        <v>MIDCAPETF</v>
      </c>
      <c r="C2" s="3">
        <f ca="1">IFERROR(INDEX(_xlfn.STOCKHISTORY(C$1,$A2),2,2),0)/IFERROR(INDEX(_xlfn.STOCKHISTORY(C$1,EDATE($A2,-3)),2,2),0)-1</f>
        <v>0.10101802324669418</v>
      </c>
      <c r="D2" s="3">
        <f ca="1">IFERROR(INDEX(_xlfn.STOCKHISTORY(D$1,$A2),2,2),0)/IFERROR(INDEX(_xlfn.STOCKHISTORY(D$1,EDATE($A2,-3)),2,2),0)-1</f>
        <v>8.8064248130711675E-2</v>
      </c>
      <c r="E2" s="3">
        <f ca="1">IFERROR(INDEX(_xlfn.STOCKHISTORY(E$1,$A2),2,2),0)/IFERROR(INDEX(_xlfn.STOCKHISTORY(E$1,EDATE($A2,-3)),2,2),0)-1</f>
        <v>7.6357267950963204E-2</v>
      </c>
      <c r="F2" s="3">
        <f ca="1">IFERROR(INDEX(_xlfn.STOCKHISTORY(F$1,$A2),2,2),0)/IFERROR(INDEX(_xlfn.STOCKHISTORY(F$1,EDATE($A2,-3)),2,2),0)-1</f>
        <v>0.12111468381564849</v>
      </c>
      <c r="G2" s="3">
        <f ca="1">IFERROR(INDEX(_xlfn.STOCKHISTORY(G$1,$A2),2,2),0)/IFERROR(INDEX(_xlfn.STOCKHISTORY(G$1,EDATE($A2,-3)),2,2),0)-1</f>
        <v>0.10286262155869053</v>
      </c>
      <c r="I2" s="2" vm="136">
        <f t="shared" ref="I2:I65" ca="1" si="0">IF(B2&lt;&gt;B3,INDEX(_xlfn.STOCKHISTORY(B2,A2),2,2),I3)</f>
        <v>20.92</v>
      </c>
      <c r="J2" s="2" vm="137">
        <f t="shared" ref="J2:J65" ca="1" si="1">IF(B2&lt;&gt;B3,INDEX(_xlfn.STOCKHISTORY(B3,A2),2,2),"")</f>
        <v>78.58</v>
      </c>
      <c r="K2" s="4">
        <f t="shared" ref="K2:K65" ca="1" si="2">IF(ISNUMBER(J2),J2/I3-1,"")</f>
        <v>0.19549672904305493</v>
      </c>
      <c r="L2" s="10">
        <f t="shared" ref="L2:L65" ca="1" si="3">IF(K2&lt;&gt;"",L3*(1+K2),L3)</f>
        <v>226.56309778474713</v>
      </c>
      <c r="N2" s="4">
        <f ca="1">COUNTIF(K:K,"&gt;0")/COUNT(K:K)</f>
        <v>0.6428571428571429</v>
      </c>
    </row>
    <row r="3" spans="1:14" x14ac:dyDescent="0.2">
      <c r="A3" s="5">
        <f>A2-7</f>
        <v>45784</v>
      </c>
      <c r="B3" s="3" t="str">
        <f t="shared" ref="B3:B53" ca="1" si="4">INDEX($C$1:$G$1, 1, MATCH(MAX(C3:G3), C3:G3, 0))</f>
        <v>GOLDBEES</v>
      </c>
      <c r="C3" s="3">
        <f t="shared" ref="C3:G34" ca="1" si="5">IFERROR(INDEX(_xlfn.STOCKHISTORY(C$1,$A3),2,2),0)/IFERROR(INDEX(_xlfn.STOCKHISTORY(C$1,EDATE($A3,-3)),2,2),0)-1</f>
        <v>9.7100233923288481E-3</v>
      </c>
      <c r="D3" s="3">
        <f t="shared" ca="1" si="5"/>
        <v>0.136147609728823</v>
      </c>
      <c r="E3" s="3">
        <f t="shared" ca="1" si="5"/>
        <v>3.4274881516587863E-2</v>
      </c>
      <c r="F3" s="3">
        <f t="shared" ca="1" si="5"/>
        <v>1.4917951268027529E-3</v>
      </c>
      <c r="G3" s="3">
        <f t="shared" ca="1" si="5"/>
        <v>-4.4281815926569212E-2</v>
      </c>
      <c r="I3" s="2" vm="138">
        <f t="shared" ca="1" si="0"/>
        <v>65.73</v>
      </c>
      <c r="J3" s="2" t="str">
        <f t="shared" ca="1" si="1"/>
        <v/>
      </c>
      <c r="K3" s="4" t="str">
        <f t="shared" ca="1" si="2"/>
        <v/>
      </c>
      <c r="L3" s="10">
        <f t="shared" ca="1" si="3"/>
        <v>189.51377471864888</v>
      </c>
    </row>
    <row r="4" spans="1:14" x14ac:dyDescent="0.2">
      <c r="A4" s="5">
        <f t="shared" ref="A4:A53" si="6">A3-7</f>
        <v>45777</v>
      </c>
      <c r="B4" s="3" t="str">
        <f t="shared" ca="1" si="4"/>
        <v>GOLDBEES</v>
      </c>
      <c r="C4" s="3">
        <f t="shared" ca="1" si="5"/>
        <v>3.532383945623252E-2</v>
      </c>
      <c r="D4" s="3">
        <f t="shared" ca="1" si="5"/>
        <v>0.16155088852988686</v>
      </c>
      <c r="E4" s="3">
        <f t="shared" ca="1" si="5"/>
        <v>4.5230958419798517E-2</v>
      </c>
      <c r="F4" s="3">
        <f t="shared" ca="1" si="5"/>
        <v>1.8181818181818077E-2</v>
      </c>
      <c r="G4" s="3">
        <f t="shared" ca="1" si="5"/>
        <v>-1.618762347842706E-2</v>
      </c>
      <c r="I4" s="2" vm="138">
        <f t="shared" ca="1" si="0"/>
        <v>65.73</v>
      </c>
      <c r="J4" s="2" t="str">
        <f t="shared" ca="1" si="1"/>
        <v/>
      </c>
      <c r="K4" s="4" t="str">
        <f t="shared" ca="1" si="2"/>
        <v/>
      </c>
      <c r="L4" s="10">
        <f t="shared" ca="1" si="3"/>
        <v>189.51377471864888</v>
      </c>
    </row>
    <row r="5" spans="1:14" x14ac:dyDescent="0.2">
      <c r="A5" s="5">
        <f t="shared" si="6"/>
        <v>45770</v>
      </c>
      <c r="B5" s="3" t="str">
        <f t="shared" ca="1" si="4"/>
        <v>GOLDBEES</v>
      </c>
      <c r="C5" s="3">
        <f t="shared" ca="1" si="5"/>
        <v>3.7187039764359442E-2</v>
      </c>
      <c r="D5" s="3">
        <f t="shared" ca="1" si="5"/>
        <v>0.19219931781106325</v>
      </c>
      <c r="E5" s="3">
        <f t="shared" ca="1" si="5"/>
        <v>4.7435551616508143E-2</v>
      </c>
      <c r="F5" s="3">
        <f t="shared" ca="1" si="5"/>
        <v>5.4027504911591251E-3</v>
      </c>
      <c r="G5" s="3">
        <f t="shared" ca="1" si="5"/>
        <v>-2.4789351569178164E-2</v>
      </c>
      <c r="I5" s="2" vm="138">
        <f t="shared" ca="1" si="0"/>
        <v>65.73</v>
      </c>
      <c r="J5" s="2" t="str">
        <f t="shared" ca="1" si="1"/>
        <v/>
      </c>
      <c r="K5" s="4" t="str">
        <f t="shared" ca="1" si="2"/>
        <v/>
      </c>
      <c r="L5" s="10">
        <f t="shared" ca="1" si="3"/>
        <v>189.51377471864888</v>
      </c>
    </row>
    <row r="6" spans="1:14" x14ac:dyDescent="0.2">
      <c r="A6" s="5">
        <f t="shared" si="6"/>
        <v>45763</v>
      </c>
      <c r="B6" s="3" t="str">
        <f t="shared" ca="1" si="4"/>
        <v>GOLDBEES</v>
      </c>
      <c r="C6" s="3">
        <f t="shared" ca="1" si="5"/>
        <v>-1.1504090988220361E-2</v>
      </c>
      <c r="D6" s="3">
        <f t="shared" ca="1" si="5"/>
        <v>0.18981829103468995</v>
      </c>
      <c r="E6" s="3">
        <f t="shared" ca="1" si="5"/>
        <v>4.5642835225530032E-3</v>
      </c>
      <c r="F6" s="3">
        <f t="shared" ca="1" si="5"/>
        <v>-4.1951219512195048E-2</v>
      </c>
      <c r="G6" s="3">
        <f t="shared" ca="1" si="5"/>
        <v>-8.1100350543639732E-2</v>
      </c>
      <c r="I6" s="2" vm="138">
        <f t="shared" ca="1" si="0"/>
        <v>65.73</v>
      </c>
      <c r="J6" s="2" t="str">
        <f t="shared" ca="1" si="1"/>
        <v/>
      </c>
      <c r="K6" s="4" t="str">
        <f t="shared" ca="1" si="2"/>
        <v/>
      </c>
      <c r="L6" s="10">
        <f t="shared" ca="1" si="3"/>
        <v>189.51377471864888</v>
      </c>
    </row>
    <row r="7" spans="1:14" x14ac:dyDescent="0.2">
      <c r="A7" s="5">
        <f t="shared" si="6"/>
        <v>45756</v>
      </c>
      <c r="B7" s="3" t="str">
        <f t="shared" ca="1" si="4"/>
        <v>GOLDBEES</v>
      </c>
      <c r="C7" s="3">
        <f t="shared" ca="1" si="5"/>
        <v>-7.2970312566871587E-2</v>
      </c>
      <c r="D7" s="3">
        <f t="shared" ca="1" si="5"/>
        <v>0.14510703363914357</v>
      </c>
      <c r="E7" s="3">
        <f t="shared" ca="1" si="5"/>
        <v>-4.6057381721451573E-2</v>
      </c>
      <c r="F7" s="3">
        <f t="shared" ca="1" si="5"/>
        <v>-0.11582459485224017</v>
      </c>
      <c r="G7" s="3">
        <f t="shared" ca="1" si="5"/>
        <v>-0.16862474084312351</v>
      </c>
      <c r="I7" s="2" vm="138">
        <f t="shared" ca="1" si="0"/>
        <v>65.73</v>
      </c>
      <c r="J7" s="2" t="str">
        <f t="shared" ca="1" si="1"/>
        <v/>
      </c>
      <c r="K7" s="4" t="str">
        <f t="shared" ca="1" si="2"/>
        <v/>
      </c>
      <c r="L7" s="10">
        <f t="shared" ca="1" si="3"/>
        <v>189.51377471864888</v>
      </c>
    </row>
    <row r="8" spans="1:14" x14ac:dyDescent="0.2">
      <c r="A8" s="5">
        <f t="shared" si="6"/>
        <v>45749</v>
      </c>
      <c r="B8" s="3" t="str">
        <f t="shared" ca="1" si="4"/>
        <v>GOLDBEES</v>
      </c>
      <c r="C8" s="3">
        <f t="shared" ca="1" si="5"/>
        <v>-8.5564610011641506E-2</v>
      </c>
      <c r="D8" s="3">
        <f t="shared" ca="1" si="5"/>
        <v>0.18003095975232219</v>
      </c>
      <c r="E8" s="3">
        <f t="shared" ca="1" si="5"/>
        <v>-3.056800918892888E-2</v>
      </c>
      <c r="F8" s="3">
        <f t="shared" ca="1" si="5"/>
        <v>-0.10514233241505977</v>
      </c>
      <c r="G8" s="3">
        <f t="shared" ca="1" si="5"/>
        <v>-0.15926273384471068</v>
      </c>
      <c r="I8" s="2" vm="138">
        <f t="shared" ca="1" si="0"/>
        <v>65.73</v>
      </c>
      <c r="J8" s="2" t="str">
        <f t="shared" ca="1" si="1"/>
        <v/>
      </c>
      <c r="K8" s="4" t="str">
        <f t="shared" ca="1" si="2"/>
        <v/>
      </c>
      <c r="L8" s="10">
        <f t="shared" ca="1" si="3"/>
        <v>189.51377471864888</v>
      </c>
    </row>
    <row r="9" spans="1:14" x14ac:dyDescent="0.2">
      <c r="A9" s="5">
        <f t="shared" si="6"/>
        <v>45742</v>
      </c>
      <c r="B9" s="3" t="str">
        <f t="shared" ca="1" si="4"/>
        <v>GOLDBEES</v>
      </c>
      <c r="C9" s="3">
        <f t="shared" ca="1" si="5"/>
        <v>-9.526970279862379E-2</v>
      </c>
      <c r="D9" s="3">
        <f t="shared" ca="1" si="5"/>
        <v>0.14453125</v>
      </c>
      <c r="E9" s="3">
        <f t="shared" ca="1" si="5"/>
        <v>-1.0426468927617116E-2</v>
      </c>
      <c r="F9" s="3">
        <f t="shared" ca="1" si="5"/>
        <v>-9.3121197941038902E-2</v>
      </c>
      <c r="G9" s="3">
        <f t="shared" ca="1" si="5"/>
        <v>-0.15091575091575093</v>
      </c>
      <c r="I9" s="2" vm="138">
        <f t="shared" ca="1" si="0"/>
        <v>65.73</v>
      </c>
      <c r="J9" s="2" t="str">
        <f t="shared" ca="1" si="1"/>
        <v/>
      </c>
      <c r="K9" s="4" t="str">
        <f t="shared" ca="1" si="2"/>
        <v/>
      </c>
      <c r="L9" s="10">
        <f t="shared" ca="1" si="3"/>
        <v>189.51377471864888</v>
      </c>
    </row>
    <row r="10" spans="1:14" x14ac:dyDescent="0.2">
      <c r="A10" s="5">
        <f t="shared" si="6"/>
        <v>45735</v>
      </c>
      <c r="B10" s="3" t="str">
        <f t="shared" ca="1" si="4"/>
        <v>GOLDBEES</v>
      </c>
      <c r="C10" s="3">
        <f t="shared" ca="1" si="5"/>
        <v>-0.12091277944257328</v>
      </c>
      <c r="D10" s="3">
        <f t="shared" ca="1" si="5"/>
        <v>0.1641580432737535</v>
      </c>
      <c r="E10" s="3">
        <f t="shared" ca="1" si="5"/>
        <v>-4.3556019225753584E-2</v>
      </c>
      <c r="F10" s="3">
        <f t="shared" ca="1" si="5"/>
        <v>-0.12408424908424909</v>
      </c>
      <c r="G10" s="3">
        <f t="shared" ca="1" si="5"/>
        <v>-0.17955496805463755</v>
      </c>
      <c r="I10" s="2" vm="138">
        <f t="shared" ca="1" si="0"/>
        <v>65.73</v>
      </c>
      <c r="J10" s="2" t="str">
        <f t="shared" ca="1" si="1"/>
        <v/>
      </c>
      <c r="K10" s="4" t="str">
        <f t="shared" ca="1" si="2"/>
        <v/>
      </c>
      <c r="L10" s="10">
        <f t="shared" ca="1" si="3"/>
        <v>189.51377471864888</v>
      </c>
    </row>
    <row r="11" spans="1:14" x14ac:dyDescent="0.2">
      <c r="A11" s="5">
        <f t="shared" si="6"/>
        <v>45728</v>
      </c>
      <c r="B11" s="3" t="str">
        <f t="shared" ca="1" si="4"/>
        <v>GOLDBEES</v>
      </c>
      <c r="C11" s="3">
        <f t="shared" ca="1" si="5"/>
        <v>-0.18664769814416071</v>
      </c>
      <c r="D11" s="3">
        <f t="shared" ca="1" si="5"/>
        <v>0.1042907314093755</v>
      </c>
      <c r="E11" s="3">
        <f t="shared" ca="1" si="5"/>
        <v>-8.1576067128785179E-2</v>
      </c>
      <c r="F11" s="3">
        <f t="shared" ca="1" si="5"/>
        <v>-0.17473970122227245</v>
      </c>
      <c r="G11" s="3">
        <f t="shared" ca="1" si="5"/>
        <v>-0.22536892361111105</v>
      </c>
      <c r="I11" s="2" vm="138">
        <f t="shared" ca="1" si="0"/>
        <v>65.73</v>
      </c>
      <c r="J11" s="2" t="str">
        <f t="shared" ca="1" si="1"/>
        <v/>
      </c>
      <c r="K11" s="4" t="str">
        <f t="shared" ca="1" si="2"/>
        <v/>
      </c>
      <c r="L11" s="10">
        <f t="shared" ca="1" si="3"/>
        <v>189.51377471864888</v>
      </c>
    </row>
    <row r="12" spans="1:14" x14ac:dyDescent="0.2">
      <c r="A12" s="5">
        <f t="shared" si="6"/>
        <v>45721</v>
      </c>
      <c r="B12" s="3" t="str">
        <f t="shared" ca="1" si="4"/>
        <v>GOLDBEES</v>
      </c>
      <c r="C12" s="3">
        <f t="shared" ca="1" si="5"/>
        <v>-0.17755051908929897</v>
      </c>
      <c r="D12" s="3">
        <f t="shared" ca="1" si="5"/>
        <v>0.12816109896971573</v>
      </c>
      <c r="E12" s="3">
        <f t="shared" ca="1" si="5"/>
        <v>-9.2200637866048263E-2</v>
      </c>
      <c r="F12" s="3">
        <f t="shared" ca="1" si="5"/>
        <v>-0.15356489945155394</v>
      </c>
      <c r="G12" s="3">
        <f t="shared" ca="1" si="5"/>
        <v>-0.21294877408056045</v>
      </c>
      <c r="I12" s="2" vm="138">
        <f t="shared" ca="1" si="0"/>
        <v>65.73</v>
      </c>
      <c r="J12" s="2" t="str">
        <f t="shared" ca="1" si="1"/>
        <v/>
      </c>
      <c r="K12" s="4" t="str">
        <f t="shared" ca="1" si="2"/>
        <v/>
      </c>
      <c r="L12" s="10">
        <f t="shared" ca="1" si="3"/>
        <v>189.51377471864888</v>
      </c>
    </row>
    <row r="13" spans="1:14" x14ac:dyDescent="0.2">
      <c r="A13" s="5">
        <v>45713</v>
      </c>
      <c r="B13" s="3" t="str">
        <f t="shared" ca="1" si="4"/>
        <v>GOLDBEES</v>
      </c>
      <c r="C13" s="3">
        <f t="shared" ca="1" si="5"/>
        <v>-0.14308082716915937</v>
      </c>
      <c r="D13" s="3">
        <f t="shared" ca="1" si="5"/>
        <v>0.13000931966449225</v>
      </c>
      <c r="E13" s="3">
        <f t="shared" ca="1" si="5"/>
        <v>-6.6413031433531611E-2</v>
      </c>
      <c r="F13" s="3">
        <f t="shared" ca="1" si="5"/>
        <v>-0.10947168015230846</v>
      </c>
      <c r="G13" s="3">
        <f t="shared" ca="1" si="5"/>
        <v>-0.16393253899729465</v>
      </c>
      <c r="I13" s="2" vm="138">
        <f t="shared" ca="1" si="0"/>
        <v>65.73</v>
      </c>
      <c r="J13" s="2" t="str">
        <f t="shared" ca="1" si="1"/>
        <v/>
      </c>
      <c r="K13" s="4" t="str">
        <f t="shared" ca="1" si="2"/>
        <v/>
      </c>
      <c r="L13" s="10">
        <f t="shared" ca="1" si="3"/>
        <v>189.51377471864888</v>
      </c>
    </row>
    <row r="14" spans="1:14" x14ac:dyDescent="0.2">
      <c r="A14" s="5">
        <f t="shared" si="6"/>
        <v>45706</v>
      </c>
      <c r="B14" s="3" t="str">
        <f t="shared" ca="1" si="4"/>
        <v>GOLDBEES</v>
      </c>
      <c r="C14" s="3">
        <f t="shared" ca="1" si="5"/>
        <v>-0.11510031678986277</v>
      </c>
      <c r="D14" s="3">
        <f t="shared" ca="1" si="5"/>
        <v>0.14435612082670923</v>
      </c>
      <c r="E14" s="3">
        <f t="shared" ca="1" si="5"/>
        <v>-2.1450070484245964E-2</v>
      </c>
      <c r="F14" s="3">
        <f t="shared" ca="1" si="5"/>
        <v>-8.2595870206489619E-2</v>
      </c>
      <c r="G14" s="3">
        <f t="shared" ca="1" si="5"/>
        <v>-0.1451968316359955</v>
      </c>
      <c r="I14" s="2" vm="138">
        <f t="shared" ca="1" si="0"/>
        <v>65.73</v>
      </c>
      <c r="J14" s="2" t="str">
        <f t="shared" ca="1" si="1"/>
        <v/>
      </c>
      <c r="K14" s="4" t="str">
        <f t="shared" ca="1" si="2"/>
        <v/>
      </c>
      <c r="L14" s="10">
        <f t="shared" ca="1" si="3"/>
        <v>189.51377471864888</v>
      </c>
    </row>
    <row r="15" spans="1:14" x14ac:dyDescent="0.2">
      <c r="A15" s="5">
        <f t="shared" si="6"/>
        <v>45699</v>
      </c>
      <c r="B15" s="3" t="str">
        <f t="shared" ca="1" si="4"/>
        <v>GOLDBEES</v>
      </c>
      <c r="C15" s="3">
        <f t="shared" ca="1" si="5"/>
        <v>-0.12982165076731644</v>
      </c>
      <c r="D15" s="3">
        <f t="shared" ca="1" si="5"/>
        <v>0.11614203752519781</v>
      </c>
      <c r="E15" s="3">
        <f t="shared" ca="1" si="5"/>
        <v>-4.2265520817898805E-2</v>
      </c>
      <c r="F15" s="3">
        <f t="shared" ca="1" si="5"/>
        <v>-8.896289248334921E-2</v>
      </c>
      <c r="G15" s="3">
        <f t="shared" ca="1" si="5"/>
        <v>-0.13047939349028115</v>
      </c>
      <c r="I15" s="2" vm="138">
        <f t="shared" ca="1" si="0"/>
        <v>65.73</v>
      </c>
      <c r="J15" s="2" t="str">
        <f t="shared" ca="1" si="1"/>
        <v/>
      </c>
      <c r="K15" s="4" t="str">
        <f t="shared" ca="1" si="2"/>
        <v/>
      </c>
      <c r="L15" s="10">
        <f t="shared" ca="1" si="3"/>
        <v>189.51377471864888</v>
      </c>
    </row>
    <row r="16" spans="1:14" x14ac:dyDescent="0.2">
      <c r="A16" s="5">
        <f t="shared" si="6"/>
        <v>45692</v>
      </c>
      <c r="B16" s="3" t="str">
        <f t="shared" ca="1" si="4"/>
        <v>GOLDBEES</v>
      </c>
      <c r="C16" s="3">
        <f t="shared" ca="1" si="5"/>
        <v>-8.1807263059877733E-2</v>
      </c>
      <c r="D16" s="3">
        <f t="shared" ca="1" si="5"/>
        <v>6.1496516207210083E-2</v>
      </c>
      <c r="E16" s="3">
        <f t="shared" ca="1" si="5"/>
        <v>-1.2738853503184822E-2</v>
      </c>
      <c r="F16" s="3">
        <f t="shared" ca="1" si="5"/>
        <v>-4.564907275320973E-2</v>
      </c>
      <c r="G16" s="3">
        <f t="shared" ca="1" si="5"/>
        <v>-9.0846916676165512E-2</v>
      </c>
      <c r="I16" s="2" vm="138">
        <f t="shared" ca="1" si="0"/>
        <v>65.73</v>
      </c>
      <c r="J16" s="2" t="str">
        <f t="shared" ca="1" si="1"/>
        <v/>
      </c>
      <c r="K16" s="4" t="str">
        <f t="shared" ca="1" si="2"/>
        <v/>
      </c>
      <c r="L16" s="10">
        <f t="shared" ca="1" si="3"/>
        <v>189.51377471864888</v>
      </c>
    </row>
    <row r="17" spans="1:12" x14ac:dyDescent="0.2">
      <c r="A17" s="5">
        <f t="shared" si="6"/>
        <v>45685</v>
      </c>
      <c r="B17" s="3" t="str">
        <f t="shared" ca="1" si="4"/>
        <v>GOLDBEES</v>
      </c>
      <c r="C17" s="3">
        <f t="shared" ca="1" si="5"/>
        <v>-0.12868281331496667</v>
      </c>
      <c r="D17" s="3">
        <f t="shared" ca="1" si="5"/>
        <v>2.736394040741863E-2</v>
      </c>
      <c r="E17" s="3">
        <f t="shared" ca="1" si="5"/>
        <v>-5.3829466485274313E-2</v>
      </c>
      <c r="F17" s="3">
        <f t="shared" ca="1" si="5"/>
        <v>-7.8244274809160297E-2</v>
      </c>
      <c r="G17" s="3">
        <f t="shared" ca="1" si="5"/>
        <v>-0.11853698121956879</v>
      </c>
      <c r="I17" s="2" vm="138">
        <f t="shared" ca="1" si="0"/>
        <v>65.73</v>
      </c>
      <c r="J17" s="2" t="str">
        <f t="shared" ca="1" si="1"/>
        <v/>
      </c>
      <c r="K17" s="4" t="str">
        <f t="shared" ca="1" si="2"/>
        <v/>
      </c>
      <c r="L17" s="10">
        <f t="shared" ca="1" si="3"/>
        <v>189.51377471864888</v>
      </c>
    </row>
    <row r="18" spans="1:12" x14ac:dyDescent="0.2">
      <c r="A18" s="5">
        <f t="shared" si="6"/>
        <v>45678</v>
      </c>
      <c r="B18" s="3" t="str">
        <f t="shared" ca="1" si="4"/>
        <v>GOLDBEES</v>
      </c>
      <c r="C18" s="3">
        <f t="shared" ca="1" si="5"/>
        <v>-0.13259760354991756</v>
      </c>
      <c r="D18" s="3">
        <f t="shared" ca="1" si="5"/>
        <v>1.7631858945128309E-2</v>
      </c>
      <c r="E18" s="3">
        <f t="shared" ca="1" si="5"/>
        <v>-6.7132057727782413E-2</v>
      </c>
      <c r="F18" s="3">
        <f t="shared" ca="1" si="5"/>
        <v>-6.7710732381391137E-2</v>
      </c>
      <c r="G18" s="3">
        <f t="shared" ca="1" si="5"/>
        <v>-8.1640560137266838E-2</v>
      </c>
      <c r="I18" s="2" vm="138">
        <f t="shared" ca="1" si="0"/>
        <v>65.73</v>
      </c>
      <c r="J18" s="2" t="str">
        <f t="shared" ca="1" si="1"/>
        <v/>
      </c>
      <c r="K18" s="4" t="str">
        <f t="shared" ca="1" si="2"/>
        <v/>
      </c>
      <c r="L18" s="10">
        <f t="shared" ca="1" si="3"/>
        <v>189.51377471864888</v>
      </c>
    </row>
    <row r="19" spans="1:12" x14ac:dyDescent="0.2">
      <c r="A19" s="5">
        <f t="shared" si="6"/>
        <v>45671</v>
      </c>
      <c r="B19" s="3" t="str">
        <f t="shared" ca="1" si="4"/>
        <v>GOLDBEES</v>
      </c>
      <c r="C19" s="3">
        <f t="shared" ca="1" si="5"/>
        <v>-0.16405001177184919</v>
      </c>
      <c r="D19" s="3">
        <f t="shared" ca="1" si="5"/>
        <v>3.2197561738043223E-2</v>
      </c>
      <c r="E19" s="3">
        <f t="shared" ca="1" si="5"/>
        <v>-7.6577860094030448E-2</v>
      </c>
      <c r="F19" s="3">
        <f t="shared" ca="1" si="5"/>
        <v>-9.5558546433378133E-2</v>
      </c>
      <c r="G19" s="3">
        <f t="shared" ca="1" si="5"/>
        <v>-0.10007077911471662</v>
      </c>
      <c r="I19" s="2" vm="138">
        <f t="shared" ca="1" si="0"/>
        <v>65.73</v>
      </c>
      <c r="J19" s="2" t="str">
        <f t="shared" ca="1" si="1"/>
        <v/>
      </c>
      <c r="K19" s="4" t="str">
        <f t="shared" ca="1" si="2"/>
        <v/>
      </c>
      <c r="L19" s="10">
        <f t="shared" ca="1" si="3"/>
        <v>189.51377471864888</v>
      </c>
    </row>
    <row r="20" spans="1:12" x14ac:dyDescent="0.2">
      <c r="A20" s="5">
        <f t="shared" si="6"/>
        <v>45664</v>
      </c>
      <c r="B20" s="3" t="str">
        <f t="shared" ca="1" si="4"/>
        <v>GOLDBEES</v>
      </c>
      <c r="C20" s="3">
        <f t="shared" ca="1" si="5"/>
        <v>-8.8245410652636358E-2</v>
      </c>
      <c r="D20" s="3">
        <f t="shared" ca="1" si="5"/>
        <v>1.5044663845792172E-2</v>
      </c>
      <c r="E20" s="3">
        <f t="shared" ca="1" si="5"/>
        <v>-4.6221358943922763E-2</v>
      </c>
      <c r="F20" s="3">
        <f t="shared" ca="1" si="5"/>
        <v>-6.9637883008355494E-3</v>
      </c>
      <c r="G20" s="3">
        <f t="shared" ca="1" si="5"/>
        <v>-1.5742718992466376E-3</v>
      </c>
      <c r="I20" s="2" vm="138">
        <f t="shared" ca="1" si="0"/>
        <v>65.73</v>
      </c>
      <c r="J20" s="2" t="str">
        <f t="shared" ca="1" si="1"/>
        <v/>
      </c>
      <c r="K20" s="4" t="str">
        <f t="shared" ca="1" si="2"/>
        <v/>
      </c>
      <c r="L20" s="10">
        <f t="shared" ca="1" si="3"/>
        <v>189.51377471864888</v>
      </c>
    </row>
    <row r="21" spans="1:12" x14ac:dyDescent="0.2">
      <c r="A21" s="5">
        <f t="shared" si="6"/>
        <v>45657</v>
      </c>
      <c r="B21" s="3" t="str">
        <f t="shared" ca="1" si="4"/>
        <v>GOLDBEES</v>
      </c>
      <c r="C21" s="3">
        <f t="shared" ca="1" si="5"/>
        <v>-0.11515335929892889</v>
      </c>
      <c r="D21" s="3">
        <f t="shared" ca="1" si="5"/>
        <v>8.4972462627852519E-3</v>
      </c>
      <c r="E21" s="3">
        <f t="shared" ca="1" si="5"/>
        <v>-8.2911436299327179E-2</v>
      </c>
      <c r="F21" s="3">
        <f t="shared" ca="1" si="5"/>
        <v>-5.0464807436919057E-2</v>
      </c>
      <c r="G21" s="3">
        <f t="shared" ca="1" si="5"/>
        <v>-3.3015804286642081E-2</v>
      </c>
      <c r="I21" s="2" vm="138">
        <f t="shared" ca="1" si="0"/>
        <v>65.73</v>
      </c>
      <c r="J21" s="2" t="str">
        <f t="shared" ca="1" si="1"/>
        <v/>
      </c>
      <c r="K21" s="4" t="str">
        <f t="shared" ca="1" si="2"/>
        <v/>
      </c>
      <c r="L21" s="10">
        <f t="shared" ca="1" si="3"/>
        <v>189.51377471864888</v>
      </c>
    </row>
    <row r="22" spans="1:12" x14ac:dyDescent="0.2">
      <c r="A22" s="5">
        <f t="shared" si="6"/>
        <v>45650</v>
      </c>
      <c r="B22" s="3" t="str">
        <f t="shared" ca="1" si="4"/>
        <v>GOLDBEES</v>
      </c>
      <c r="C22" s="3">
        <f t="shared" ca="1" si="5"/>
        <v>-9.919489036805007E-2</v>
      </c>
      <c r="D22" s="3">
        <f t="shared" ca="1" si="5"/>
        <v>1.0954119701539922E-2</v>
      </c>
      <c r="E22" s="3">
        <f t="shared" ca="1" si="5"/>
        <v>-8.2302108537850027E-2</v>
      </c>
      <c r="F22" s="3">
        <f t="shared" ca="1" si="5"/>
        <v>-6.3652326602282816E-2</v>
      </c>
      <c r="G22" s="3">
        <f t="shared" ca="1" si="5"/>
        <v>-5.02221984258715E-2</v>
      </c>
      <c r="I22" s="2" vm="138">
        <f t="shared" ca="1" si="0"/>
        <v>65.73</v>
      </c>
      <c r="J22" s="2" t="str">
        <f t="shared" ca="1" si="1"/>
        <v/>
      </c>
      <c r="K22" s="4" t="str">
        <f t="shared" ca="1" si="2"/>
        <v/>
      </c>
      <c r="L22" s="10">
        <f t="shared" ca="1" si="3"/>
        <v>189.51377471864888</v>
      </c>
    </row>
    <row r="23" spans="1:12" x14ac:dyDescent="0.2">
      <c r="A23" s="5">
        <f t="shared" si="6"/>
        <v>45643</v>
      </c>
      <c r="B23" s="3" t="str">
        <f t="shared" ca="1" si="4"/>
        <v>GOLDBEES</v>
      </c>
      <c r="C23" s="3">
        <f t="shared" ca="1" si="5"/>
        <v>-3.9905869462360188E-2</v>
      </c>
      <c r="D23" s="3">
        <f t="shared" ca="1" si="5"/>
        <v>3.7720576331552458E-2</v>
      </c>
      <c r="E23" s="3">
        <f t="shared" ca="1" si="5"/>
        <v>-4.1107471203635115E-2</v>
      </c>
      <c r="F23" s="3">
        <f t="shared" ca="1" si="5"/>
        <v>-2.2182786157941448E-2</v>
      </c>
      <c r="G23" s="3">
        <f t="shared" ca="1" si="5"/>
        <v>-1.9393549769634699E-2</v>
      </c>
      <c r="I23" s="2" vm="138">
        <f t="shared" ca="1" si="0"/>
        <v>65.73</v>
      </c>
      <c r="J23" s="2" t="str">
        <f t="shared" ca="1" si="1"/>
        <v/>
      </c>
      <c r="K23" s="4" t="str">
        <f t="shared" ca="1" si="2"/>
        <v/>
      </c>
      <c r="L23" s="10">
        <f t="shared" ca="1" si="3"/>
        <v>189.51377471864888</v>
      </c>
    </row>
    <row r="24" spans="1:12" x14ac:dyDescent="0.2">
      <c r="A24" s="5">
        <f t="shared" si="6"/>
        <v>45636</v>
      </c>
      <c r="B24" s="3" t="str">
        <f t="shared" ca="1" si="4"/>
        <v>GOLDBEES</v>
      </c>
      <c r="C24" s="3">
        <f t="shared" ca="1" si="5"/>
        <v>-2.1902017291066334E-2</v>
      </c>
      <c r="D24" s="3">
        <f t="shared" ca="1" si="5"/>
        <v>7.1404903909874085E-2</v>
      </c>
      <c r="E24" s="3">
        <f t="shared" ca="1" si="5"/>
        <v>-1.6189111747850982E-2</v>
      </c>
      <c r="F24" s="3">
        <f t="shared" ca="1" si="5"/>
        <v>-4.5105999097880822E-3</v>
      </c>
      <c r="G24" s="3">
        <f t="shared" ca="1" si="5"/>
        <v>-2.702994918368784E-4</v>
      </c>
      <c r="I24" s="2" vm="138">
        <f t="shared" ca="1" si="0"/>
        <v>65.73</v>
      </c>
      <c r="J24" s="2" t="str">
        <f t="shared" ca="1" si="1"/>
        <v/>
      </c>
      <c r="K24" s="4" t="str">
        <f t="shared" ca="1" si="2"/>
        <v/>
      </c>
      <c r="L24" s="10">
        <f t="shared" ca="1" si="3"/>
        <v>189.51377471864888</v>
      </c>
    </row>
    <row r="25" spans="1:12" x14ac:dyDescent="0.2">
      <c r="A25" s="5">
        <f t="shared" si="6"/>
        <v>45629</v>
      </c>
      <c r="B25" s="3" t="str">
        <f t="shared" ca="1" si="4"/>
        <v>GOLDBEES</v>
      </c>
      <c r="C25" s="3">
        <f t="shared" ca="1" si="5"/>
        <v>-4.4351526917046247E-2</v>
      </c>
      <c r="D25" s="3">
        <f t="shared" ca="1" si="5"/>
        <v>6.1298873426109957E-2</v>
      </c>
      <c r="E25" s="3">
        <f t="shared" ca="1" si="5"/>
        <v>-3.102371148658245E-2</v>
      </c>
      <c r="F25" s="3">
        <f t="shared" ca="1" si="5"/>
        <v>-2.7940513744930229E-2</v>
      </c>
      <c r="G25" s="3">
        <f t="shared" ca="1" si="5"/>
        <v>-1.6156231300658241E-2</v>
      </c>
      <c r="I25" s="2" vm="138">
        <f t="shared" ca="1" si="0"/>
        <v>65.73</v>
      </c>
      <c r="J25" s="2" t="str">
        <f t="shared" ca="1" si="1"/>
        <v/>
      </c>
      <c r="K25" s="4" t="str">
        <f t="shared" ca="1" si="2"/>
        <v/>
      </c>
      <c r="L25" s="10">
        <f t="shared" ca="1" si="3"/>
        <v>189.51377471864888</v>
      </c>
    </row>
    <row r="26" spans="1:12" x14ac:dyDescent="0.2">
      <c r="A26" s="5">
        <f t="shared" si="6"/>
        <v>45622</v>
      </c>
      <c r="B26" s="3" t="str">
        <f t="shared" ca="1" si="4"/>
        <v>GOLDBEES</v>
      </c>
      <c r="C26" s="3">
        <f t="shared" ca="1" si="5"/>
        <v>-6.9780261080905071E-2</v>
      </c>
      <c r="D26" s="3">
        <f t="shared" ca="1" si="5"/>
        <v>4.2084497780700447E-2</v>
      </c>
      <c r="E26" s="3">
        <f t="shared" ca="1" si="5"/>
        <v>-2.9766174150050007E-2</v>
      </c>
      <c r="F26" s="3">
        <f t="shared" ca="1" si="5"/>
        <v>-4.6733212341197761E-2</v>
      </c>
      <c r="G26" s="3">
        <f t="shared" ca="1" si="5"/>
        <v>-3.7071719731188613E-2</v>
      </c>
      <c r="I26" s="2" vm="138">
        <f t="shared" ca="1" si="0"/>
        <v>65.73</v>
      </c>
      <c r="J26" s="2" t="str">
        <f t="shared" ca="1" si="1"/>
        <v/>
      </c>
      <c r="K26" s="4" t="str">
        <f t="shared" ca="1" si="2"/>
        <v/>
      </c>
      <c r="L26" s="10">
        <f t="shared" ca="1" si="3"/>
        <v>189.51377471864888</v>
      </c>
    </row>
    <row r="27" spans="1:12" x14ac:dyDescent="0.2">
      <c r="A27" s="5">
        <f t="shared" si="6"/>
        <v>45615</v>
      </c>
      <c r="B27" s="3" t="str">
        <f t="shared" ca="1" si="4"/>
        <v>GOLDBEES</v>
      </c>
      <c r="C27" s="3">
        <f t="shared" ca="1" si="5"/>
        <v>-7.4020040695665479E-2</v>
      </c>
      <c r="D27" s="3">
        <f t="shared" ca="1" si="5"/>
        <v>5.6015909844216116E-2</v>
      </c>
      <c r="E27" s="3">
        <f t="shared" ca="1" si="5"/>
        <v>-4.1394891229093123E-2</v>
      </c>
      <c r="F27" s="3">
        <f t="shared" ca="1" si="5"/>
        <v>-4.9051365108745859E-2</v>
      </c>
      <c r="G27" s="3">
        <f t="shared" ca="1" si="5"/>
        <v>-4.3993900717230416E-2</v>
      </c>
      <c r="I27" s="2" vm="138">
        <f t="shared" ca="1" si="0"/>
        <v>65.73</v>
      </c>
      <c r="J27" s="2" t="str">
        <f t="shared" ca="1" si="1"/>
        <v/>
      </c>
      <c r="K27" s="4" t="str">
        <f t="shared" ca="1" si="2"/>
        <v/>
      </c>
      <c r="L27" s="10">
        <f t="shared" ca="1" si="3"/>
        <v>189.51377471864888</v>
      </c>
    </row>
    <row r="28" spans="1:12" x14ac:dyDescent="0.2">
      <c r="A28" s="5">
        <f t="shared" si="6"/>
        <v>45608</v>
      </c>
      <c r="B28" s="3" t="str">
        <f t="shared" ca="1" si="4"/>
        <v>GOLDBEES</v>
      </c>
      <c r="C28" s="3">
        <f t="shared" ca="1" si="5"/>
        <v>-5.385461842190431E-2</v>
      </c>
      <c r="D28" s="3">
        <f t="shared" ca="1" si="5"/>
        <v>6.4723822433073508E-2</v>
      </c>
      <c r="E28" s="3">
        <f t="shared" ca="1" si="5"/>
        <v>-1.5694076038903604E-2</v>
      </c>
      <c r="F28" s="3">
        <f t="shared" ca="1" si="5"/>
        <v>-2.8464769015398961E-2</v>
      </c>
      <c r="G28" s="3">
        <f t="shared" ca="1" si="5"/>
        <v>-2.6884795789955396E-3</v>
      </c>
      <c r="I28" s="2" vm="138">
        <f t="shared" ca="1" si="0"/>
        <v>65.73</v>
      </c>
      <c r="J28" s="2" t="str">
        <f t="shared" ca="1" si="1"/>
        <v/>
      </c>
      <c r="K28" s="4" t="str">
        <f t="shared" ca="1" si="2"/>
        <v/>
      </c>
      <c r="L28" s="10">
        <f t="shared" ca="1" si="3"/>
        <v>189.51377471864888</v>
      </c>
    </row>
    <row r="29" spans="1:12" x14ac:dyDescent="0.2">
      <c r="A29" s="5">
        <f t="shared" si="6"/>
        <v>45601</v>
      </c>
      <c r="B29" s="3" t="str">
        <f t="shared" ca="1" si="4"/>
        <v>GOLDBEES</v>
      </c>
      <c r="C29" s="3">
        <f t="shared" ca="1" si="5"/>
        <v>-2.9355431341124949E-2</v>
      </c>
      <c r="D29" s="3">
        <f t="shared" ca="1" si="5"/>
        <v>0.12257405515832476</v>
      </c>
      <c r="E29" s="3">
        <f t="shared" ca="1" si="5"/>
        <v>4.8612141902923955E-3</v>
      </c>
      <c r="F29" s="3">
        <f t="shared" ca="1" si="5"/>
        <v>5.2405907575037158E-3</v>
      </c>
      <c r="G29" s="3">
        <f t="shared" ca="1" si="5"/>
        <v>2.184033565147403E-2</v>
      </c>
      <c r="I29" s="2" vm="138">
        <f t="shared" ca="1" si="0"/>
        <v>65.73</v>
      </c>
      <c r="J29" s="2" t="str">
        <f t="shared" ca="1" si="1"/>
        <v/>
      </c>
      <c r="K29" s="4" t="str">
        <f t="shared" ca="1" si="2"/>
        <v/>
      </c>
      <c r="L29" s="10">
        <f t="shared" ca="1" si="3"/>
        <v>189.51377471864888</v>
      </c>
    </row>
    <row r="30" spans="1:12" x14ac:dyDescent="0.2">
      <c r="A30" s="5">
        <f t="shared" si="6"/>
        <v>45594</v>
      </c>
      <c r="B30" s="3" t="str">
        <f t="shared" ca="1" si="4"/>
        <v>GOLDBEES</v>
      </c>
      <c r="C30" s="3">
        <f t="shared" ca="1" si="5"/>
        <v>-4.7283358434688005E-2</v>
      </c>
      <c r="D30" s="3">
        <f t="shared" ca="1" si="5"/>
        <v>0.12793467165702621</v>
      </c>
      <c r="E30" s="3">
        <f t="shared" ca="1" si="5"/>
        <v>-1.1168136475350754E-2</v>
      </c>
      <c r="F30" s="3">
        <f t="shared" ca="1" si="5"/>
        <v>-3.656307129798908E-2</v>
      </c>
      <c r="G30" s="3">
        <f t="shared" ca="1" si="5"/>
        <v>-2.9457797652319817E-2</v>
      </c>
      <c r="I30" s="2" vm="138">
        <f t="shared" ca="1" si="0"/>
        <v>65.73</v>
      </c>
      <c r="J30" s="2" t="str">
        <f t="shared" ca="1" si="1"/>
        <v/>
      </c>
      <c r="K30" s="4" t="str">
        <f t="shared" ca="1" si="2"/>
        <v/>
      </c>
      <c r="L30" s="10">
        <f t="shared" ca="1" si="3"/>
        <v>189.51377471864888</v>
      </c>
    </row>
    <row r="31" spans="1:12" x14ac:dyDescent="0.2">
      <c r="A31" s="5">
        <f t="shared" si="6"/>
        <v>45587</v>
      </c>
      <c r="B31" s="3" t="str">
        <f t="shared" ca="1" si="4"/>
        <v>GOLDBEES</v>
      </c>
      <c r="C31" s="3">
        <f t="shared" ca="1" si="5"/>
        <v>-1.3801968371030093E-2</v>
      </c>
      <c r="D31" s="3">
        <f t="shared" ca="1" si="5"/>
        <v>5.8795103092783574E-2</v>
      </c>
      <c r="E31" s="3">
        <f t="shared" ca="1" si="5"/>
        <v>4.0741420444119214E-3</v>
      </c>
      <c r="F31" s="3">
        <f t="shared" ca="1" si="5"/>
        <v>-5.6417489421721756E-3</v>
      </c>
      <c r="G31" s="3">
        <f t="shared" ca="1" si="5"/>
        <v>6.8914029747890737E-4</v>
      </c>
      <c r="I31" s="2" vm="138">
        <f t="shared" ca="1" si="0"/>
        <v>65.73</v>
      </c>
      <c r="J31" s="2" vm="139">
        <f t="shared" ca="1" si="1"/>
        <v>174.25</v>
      </c>
      <c r="K31" s="4">
        <f t="shared" ca="1" si="2"/>
        <v>-5.7751581679554409E-2</v>
      </c>
      <c r="L31" s="10">
        <f t="shared" ca="1" si="3"/>
        <v>189.51377471864888</v>
      </c>
    </row>
    <row r="32" spans="1:12" x14ac:dyDescent="0.2">
      <c r="A32" s="5">
        <f t="shared" si="6"/>
        <v>45580</v>
      </c>
      <c r="B32" s="3" t="str">
        <f t="shared" ca="1" si="4"/>
        <v>HDFCSML250</v>
      </c>
      <c r="C32" s="3">
        <f t="shared" ca="1" si="5"/>
        <v>2.1658736068863815E-2</v>
      </c>
      <c r="D32" s="3">
        <f t="shared" ca="1" si="5"/>
        <v>3.133074935400515E-2</v>
      </c>
      <c r="E32" s="3">
        <f t="shared" ca="1" si="5"/>
        <v>2.468050825735113E-2</v>
      </c>
      <c r="F32" s="3">
        <f t="shared" ca="1" si="5"/>
        <v>3.0904059040590459E-2</v>
      </c>
      <c r="G32" s="3">
        <f t="shared" ca="1" si="5"/>
        <v>3.9107714783390479E-2</v>
      </c>
      <c r="I32" s="2" vm="140">
        <f t="shared" ca="1" si="0"/>
        <v>184.93</v>
      </c>
      <c r="J32" s="2" vm="141">
        <f t="shared" ca="1" si="1"/>
        <v>279.83</v>
      </c>
      <c r="K32" s="4">
        <f t="shared" ca="1" si="2"/>
        <v>-3.2734185966125207E-2</v>
      </c>
      <c r="L32" s="10">
        <f t="shared" ca="1" si="3"/>
        <v>201.12931052349921</v>
      </c>
    </row>
    <row r="33" spans="1:14" x14ac:dyDescent="0.2">
      <c r="A33" s="5">
        <f t="shared" si="6"/>
        <v>45573</v>
      </c>
      <c r="B33" s="3" t="str">
        <f t="shared" ca="1" si="4"/>
        <v>NIFTYBEES</v>
      </c>
      <c r="C33" s="3">
        <f t="shared" ca="1" si="5"/>
        <v>1.54480048984591E-2</v>
      </c>
      <c r="D33" s="3">
        <f t="shared" ca="1" si="5"/>
        <v>3.0534351145038219E-2</v>
      </c>
      <c r="E33" s="3">
        <f t="shared" ca="1" si="5"/>
        <v>3.4661531624944342E-2</v>
      </c>
      <c r="F33" s="3">
        <f t="shared" ca="1" si="5"/>
        <v>1.9034354688950872E-2</v>
      </c>
      <c r="G33" s="3">
        <f t="shared" ca="1" si="5"/>
        <v>8.4118438761775494E-3</v>
      </c>
      <c r="I33" s="2" vm="142">
        <f t="shared" ca="1" si="0"/>
        <v>289.3</v>
      </c>
      <c r="J33" s="2" t="str">
        <f t="shared" ca="1" si="1"/>
        <v/>
      </c>
      <c r="K33" s="4" t="str">
        <f t="shared" ca="1" si="2"/>
        <v/>
      </c>
      <c r="L33" s="10">
        <f t="shared" ca="1" si="3"/>
        <v>207.93592371957376</v>
      </c>
      <c r="M33" s="11"/>
      <c r="N33" s="12"/>
    </row>
    <row r="34" spans="1:14" x14ac:dyDescent="0.2">
      <c r="A34" s="5">
        <f t="shared" si="6"/>
        <v>45566</v>
      </c>
      <c r="B34" s="3" t="str">
        <f t="shared" ca="1" si="4"/>
        <v>NIFTYBEES</v>
      </c>
      <c r="C34" s="3">
        <f t="shared" ca="1" si="5"/>
        <v>7.0272311719431713E-2</v>
      </c>
      <c r="D34" s="3">
        <f t="shared" ca="1" si="5"/>
        <v>5.0206440957886178E-2</v>
      </c>
      <c r="E34" s="3">
        <f t="shared" ca="1" si="5"/>
        <v>7.4431606410734208E-2</v>
      </c>
      <c r="F34" s="3">
        <f t="shared" ca="1" si="5"/>
        <v>6.4910630291627358E-2</v>
      </c>
      <c r="G34" s="3">
        <f t="shared" ca="1" si="5"/>
        <v>6.7942254812098923E-2</v>
      </c>
      <c r="I34" s="2" vm="142">
        <f t="shared" ca="1" si="0"/>
        <v>289.3</v>
      </c>
      <c r="J34" s="2" t="str">
        <f t="shared" ca="1" si="1"/>
        <v/>
      </c>
      <c r="K34" s="4" t="str">
        <f t="shared" ca="1" si="2"/>
        <v/>
      </c>
      <c r="L34" s="10">
        <f t="shared" ca="1" si="3"/>
        <v>207.93592371957376</v>
      </c>
    </row>
    <row r="35" spans="1:14" x14ac:dyDescent="0.2">
      <c r="A35" s="5">
        <f t="shared" si="6"/>
        <v>45559</v>
      </c>
      <c r="B35" s="3" t="str">
        <f t="shared" ca="1" si="4"/>
        <v>NIFTYBEES</v>
      </c>
      <c r="C35" s="3">
        <f t="shared" ref="C35:G54" ca="1" si="7">IFERROR(INDEX(_xlfn.STOCKHISTORY(C$1,$A35),2,2),0)/IFERROR(INDEX(_xlfn.STOCKHISTORY(C$1,EDATE($A35,-3)),2,2),0)-1</f>
        <v>7.2630390844423243E-2</v>
      </c>
      <c r="D35" s="3">
        <f t="shared" ca="1" si="7"/>
        <v>3.9096007918178799E-2</v>
      </c>
      <c r="E35" s="3">
        <f t="shared" ca="1" si="7"/>
        <v>0.10563326454177169</v>
      </c>
      <c r="F35" s="3">
        <f t="shared" ca="1" si="7"/>
        <v>8.3729781160799321E-2</v>
      </c>
      <c r="G35" s="3">
        <f t="shared" ca="1" si="7"/>
        <v>9.2733442546220513E-2</v>
      </c>
      <c r="I35" s="2" vm="142">
        <f t="shared" ca="1" si="0"/>
        <v>289.3</v>
      </c>
      <c r="J35" s="2" vm="143">
        <f t="shared" ca="1" si="1"/>
        <v>186.77</v>
      </c>
      <c r="K35" s="4">
        <f t="shared" ca="1" si="2"/>
        <v>7.9283444091303057E-2</v>
      </c>
      <c r="L35" s="10">
        <f t="shared" ca="1" si="3"/>
        <v>207.93592371957376</v>
      </c>
    </row>
    <row r="36" spans="1:14" x14ac:dyDescent="0.2">
      <c r="A36" s="5">
        <f>A35-14</f>
        <v>45545</v>
      </c>
      <c r="B36" s="3" t="str">
        <f t="shared" ca="1" si="4"/>
        <v>HDFCSML250</v>
      </c>
      <c r="C36" s="3">
        <f t="shared" ca="1" si="7"/>
        <v>7.4303405572755388E-2</v>
      </c>
      <c r="D36" s="3">
        <f t="shared" ca="1" si="7"/>
        <v>3.8250457342423605E-3</v>
      </c>
      <c r="E36" s="3">
        <f t="shared" ca="1" si="7"/>
        <v>8.242226874466918E-2</v>
      </c>
      <c r="F36" s="3">
        <f t="shared" ca="1" si="7"/>
        <v>0.1007944389275075</v>
      </c>
      <c r="G36" s="3">
        <f t="shared" ca="1" si="7"/>
        <v>0.13296992711459543</v>
      </c>
      <c r="I36" s="2" vm="144">
        <f t="shared" ca="1" si="0"/>
        <v>173.05</v>
      </c>
      <c r="J36" s="2" t="str">
        <f t="shared" ca="1" si="1"/>
        <v/>
      </c>
      <c r="K36" s="4" t="str">
        <f t="shared" ca="1" si="2"/>
        <v/>
      </c>
      <c r="L36" s="10">
        <f t="shared" ca="1" si="3"/>
        <v>192.66108903824085</v>
      </c>
    </row>
    <row r="37" spans="1:14" x14ac:dyDescent="0.2">
      <c r="A37" s="5">
        <f t="shared" si="6"/>
        <v>45538</v>
      </c>
      <c r="B37" s="3" t="str">
        <f t="shared" ca="1" si="4"/>
        <v>HDFCSML250</v>
      </c>
      <c r="C37" s="3">
        <f t="shared" ca="1" si="7"/>
        <v>7.1154358837643317E-2</v>
      </c>
      <c r="D37" s="3">
        <f t="shared" ca="1" si="7"/>
        <v>-3.7960059415745873E-3</v>
      </c>
      <c r="E37" s="3">
        <f t="shared" ca="1" si="7"/>
        <v>9.134578135895266E-2</v>
      </c>
      <c r="F37" s="3">
        <f t="shared" ca="1" si="7"/>
        <v>0.10563029397110113</v>
      </c>
      <c r="G37" s="3">
        <f t="shared" ca="1" si="7"/>
        <v>0.14571517606731077</v>
      </c>
      <c r="I37" s="2" vm="144">
        <f t="shared" ca="1" si="0"/>
        <v>173.05</v>
      </c>
      <c r="J37" s="2" t="str">
        <f t="shared" ca="1" si="1"/>
        <v/>
      </c>
      <c r="K37" s="4" t="str">
        <f t="shared" ca="1" si="2"/>
        <v/>
      </c>
      <c r="L37" s="10">
        <f t="shared" ca="1" si="3"/>
        <v>192.66108903824085</v>
      </c>
    </row>
    <row r="38" spans="1:14" x14ac:dyDescent="0.2">
      <c r="A38" s="5">
        <f t="shared" si="6"/>
        <v>45531</v>
      </c>
      <c r="B38" s="3" t="str">
        <f t="shared" ca="1" si="4"/>
        <v>HDFCSML250</v>
      </c>
      <c r="C38" s="3">
        <f t="shared" ca="1" si="7"/>
        <v>8.5154647577391662E-2</v>
      </c>
      <c r="D38" s="3">
        <f t="shared" ca="1" si="7"/>
        <v>-7.3770491803278881E-3</v>
      </c>
      <c r="E38" s="3">
        <f t="shared" ca="1" si="7"/>
        <v>9.414258793969843E-2</v>
      </c>
      <c r="F38" s="3">
        <f t="shared" ca="1" si="7"/>
        <v>0.1131221719457014</v>
      </c>
      <c r="G38" s="3">
        <f t="shared" ca="1" si="7"/>
        <v>0.14601880877742945</v>
      </c>
      <c r="I38" s="2" vm="144">
        <f t="shared" ca="1" si="0"/>
        <v>173.05</v>
      </c>
      <c r="J38" s="2" t="str">
        <f t="shared" ca="1" si="1"/>
        <v/>
      </c>
      <c r="K38" s="4" t="str">
        <f t="shared" ca="1" si="2"/>
        <v/>
      </c>
      <c r="L38" s="10">
        <f t="shared" ca="1" si="3"/>
        <v>192.66108903824085</v>
      </c>
    </row>
    <row r="39" spans="1:14" x14ac:dyDescent="0.2">
      <c r="A39" s="5">
        <f>A38-14</f>
        <v>45517</v>
      </c>
      <c r="B39" s="3" t="str">
        <f t="shared" ca="1" si="4"/>
        <v>HDFCSML250</v>
      </c>
      <c r="C39" s="3">
        <f t="shared" ca="1" si="7"/>
        <v>0.11484426289298977</v>
      </c>
      <c r="D39" s="3">
        <f t="shared" ca="1" si="7"/>
        <v>-2.8618152085036819E-2</v>
      </c>
      <c r="E39" s="3">
        <f t="shared" ca="1" si="7"/>
        <v>9.9363680861478176E-2</v>
      </c>
      <c r="F39" s="3">
        <f t="shared" ca="1" si="7"/>
        <v>0.14140332083556495</v>
      </c>
      <c r="G39" s="3">
        <f t="shared" ca="1" si="7"/>
        <v>0.1443592117444783</v>
      </c>
      <c r="I39" s="2" vm="144">
        <f t="shared" ca="1" si="0"/>
        <v>173.05</v>
      </c>
      <c r="J39" s="2" vm="145">
        <f t="shared" ca="1" si="1"/>
        <v>21.31</v>
      </c>
      <c r="K39" s="4">
        <f t="shared" ca="1" si="2"/>
        <v>-3.1803725579282238E-2</v>
      </c>
      <c r="L39" s="10">
        <f t="shared" ca="1" si="3"/>
        <v>192.66108903824085</v>
      </c>
    </row>
    <row r="40" spans="1:14" x14ac:dyDescent="0.2">
      <c r="A40" s="5">
        <f t="shared" si="6"/>
        <v>45510</v>
      </c>
      <c r="B40" s="3" t="str">
        <f t="shared" ca="1" si="4"/>
        <v>MIDCAPETF</v>
      </c>
      <c r="C40" s="3">
        <f t="shared" ca="1" si="7"/>
        <v>8.4683485707672812E-2</v>
      </c>
      <c r="D40" s="3">
        <f t="shared" ca="1" si="7"/>
        <v>-3.4584980237154173E-2</v>
      </c>
      <c r="E40" s="3">
        <f t="shared" ca="1" si="7"/>
        <v>7.7465072271208246E-2</v>
      </c>
      <c r="F40" s="3">
        <f t="shared" ca="1" si="7"/>
        <v>9.9051633298208541E-2</v>
      </c>
      <c r="G40" s="3">
        <f t="shared" ca="1" si="7"/>
        <v>8.4317354949894785E-2</v>
      </c>
      <c r="I40" s="2" vm="146">
        <f t="shared" ca="1" si="0"/>
        <v>22.01</v>
      </c>
      <c r="J40" s="2" t="str">
        <f t="shared" ca="1" si="1"/>
        <v/>
      </c>
      <c r="K40" s="4" t="str">
        <f t="shared" ca="1" si="2"/>
        <v/>
      </c>
      <c r="L40" s="10">
        <f t="shared" ca="1" si="3"/>
        <v>198.98970294376733</v>
      </c>
    </row>
    <row r="41" spans="1:14" x14ac:dyDescent="0.2">
      <c r="A41" s="5">
        <f t="shared" si="6"/>
        <v>45503</v>
      </c>
      <c r="B41" s="3" t="str">
        <f t="shared" ca="1" si="4"/>
        <v>MIDCAPETF</v>
      </c>
      <c r="C41" s="3">
        <f t="shared" ca="1" si="7"/>
        <v>0.14326481537815239</v>
      </c>
      <c r="D41" s="3">
        <f t="shared" ca="1" si="7"/>
        <v>-4.1557161629435013E-2</v>
      </c>
      <c r="E41" s="3">
        <f t="shared" ca="1" si="7"/>
        <v>0.10813404782852132</v>
      </c>
      <c r="F41" s="3">
        <f t="shared" ca="1" si="7"/>
        <v>0.15295966474594036</v>
      </c>
      <c r="G41" s="3">
        <f t="shared" ca="1" si="7"/>
        <v>0.13602062633630996</v>
      </c>
      <c r="I41" s="2" vm="146">
        <f t="shared" ca="1" si="0"/>
        <v>22.01</v>
      </c>
      <c r="J41" s="2" vm="147">
        <f t="shared" ca="1" si="1"/>
        <v>789.23</v>
      </c>
      <c r="K41" s="4">
        <f t="shared" ca="1" si="2"/>
        <v>2.7443556481634435E-3</v>
      </c>
      <c r="L41" s="10">
        <f t="shared" ca="1" si="3"/>
        <v>198.98970294376733</v>
      </c>
    </row>
    <row r="42" spans="1:14" x14ac:dyDescent="0.2">
      <c r="A42" s="5">
        <f t="shared" si="6"/>
        <v>45496</v>
      </c>
      <c r="B42" s="3" t="str">
        <f t="shared" ca="1" si="4"/>
        <v>JUNIORBEES</v>
      </c>
      <c r="C42" s="3">
        <f t="shared" ca="1" si="7"/>
        <v>0.14270979700439468</v>
      </c>
      <c r="D42" s="3">
        <f t="shared" ca="1" si="7"/>
        <v>-1.4937759336099976E-3</v>
      </c>
      <c r="E42" s="3">
        <f t="shared" ca="1" si="7"/>
        <v>0.10015333709950758</v>
      </c>
      <c r="F42" s="3">
        <f t="shared" ca="1" si="7"/>
        <v>0.14101184068891293</v>
      </c>
      <c r="G42" s="3">
        <f t="shared" ca="1" si="7"/>
        <v>0.11747629185213859</v>
      </c>
      <c r="I42" s="2" vm="148">
        <f t="shared" ca="1" si="0"/>
        <v>787.07</v>
      </c>
      <c r="J42" s="2" t="str">
        <f t="shared" ca="1" si="1"/>
        <v/>
      </c>
      <c r="K42" s="4" t="str">
        <f t="shared" ca="1" si="2"/>
        <v/>
      </c>
      <c r="L42" s="10">
        <f t="shared" ca="1" si="3"/>
        <v>198.44509901543395</v>
      </c>
    </row>
    <row r="43" spans="1:14" x14ac:dyDescent="0.2">
      <c r="A43" s="5">
        <f t="shared" si="6"/>
        <v>45489</v>
      </c>
      <c r="B43" s="3" t="str">
        <f t="shared" ca="1" si="4"/>
        <v>JUNIORBEES</v>
      </c>
      <c r="C43" s="3">
        <f t="shared" ca="1" si="7"/>
        <v>0.19262251675669151</v>
      </c>
      <c r="D43" s="3">
        <f t="shared" ca="1" si="7"/>
        <v>8.8867345290031263E-3</v>
      </c>
      <c r="E43" s="3">
        <f t="shared" ca="1" si="7"/>
        <v>0.11416585206907781</v>
      </c>
      <c r="F43" s="3">
        <f t="shared" ca="1" si="7"/>
        <v>0.17551462621885139</v>
      </c>
      <c r="G43" s="3">
        <f t="shared" ca="1" si="7"/>
        <v>0.17286623368103382</v>
      </c>
      <c r="I43" s="2" vm="148">
        <f t="shared" ca="1" si="0"/>
        <v>787.07</v>
      </c>
      <c r="J43" s="2" t="str">
        <f t="shared" ca="1" si="1"/>
        <v/>
      </c>
      <c r="K43" s="4" t="str">
        <f t="shared" ca="1" si="2"/>
        <v/>
      </c>
      <c r="L43" s="10">
        <f t="shared" ca="1" si="3"/>
        <v>198.44509901543395</v>
      </c>
    </row>
    <row r="44" spans="1:14" x14ac:dyDescent="0.2">
      <c r="A44" s="5">
        <f t="shared" si="6"/>
        <v>45482</v>
      </c>
      <c r="B44" s="3" t="str">
        <f t="shared" ca="1" si="4"/>
        <v>JUNIORBEES</v>
      </c>
      <c r="C44" s="3">
        <f t="shared" ca="1" si="7"/>
        <v>0.17738485242860791</v>
      </c>
      <c r="D44" s="3">
        <f t="shared" ca="1" si="7"/>
        <v>1.3707679603633505E-2</v>
      </c>
      <c r="E44" s="3">
        <f t="shared" ca="1" si="7"/>
        <v>8.2316343622876209E-2</v>
      </c>
      <c r="F44" s="3">
        <f t="shared" ca="1" si="7"/>
        <v>0.1576407506702413</v>
      </c>
      <c r="G44" s="3">
        <f t="shared" ca="1" si="7"/>
        <v>0.16369455875628725</v>
      </c>
      <c r="I44" s="2" vm="148">
        <f t="shared" ca="1" si="0"/>
        <v>787.07</v>
      </c>
      <c r="J44" s="2" vm="149">
        <f t="shared" ca="1" si="1"/>
        <v>178.15</v>
      </c>
      <c r="K44" s="4">
        <f t="shared" ca="1" si="2"/>
        <v>1.6779864163004365E-2</v>
      </c>
      <c r="L44" s="10">
        <f t="shared" ca="1" si="3"/>
        <v>198.44509901543395</v>
      </c>
    </row>
    <row r="45" spans="1:14" x14ac:dyDescent="0.2">
      <c r="A45" s="5">
        <f t="shared" si="6"/>
        <v>45475</v>
      </c>
      <c r="B45" s="3" t="str">
        <f t="shared" ca="1" si="4"/>
        <v>HDFCSML250</v>
      </c>
      <c r="C45" s="3">
        <f t="shared" ca="1" si="7"/>
        <v>0.15854357798165131</v>
      </c>
      <c r="D45" s="3">
        <f t="shared" ca="1" si="7"/>
        <v>3.5470668485675372E-2</v>
      </c>
      <c r="E45" s="3">
        <f t="shared" ca="1" si="7"/>
        <v>8.1962598029358347E-2</v>
      </c>
      <c r="F45" s="3">
        <f t="shared" ca="1" si="7"/>
        <v>0.14579945799458005</v>
      </c>
      <c r="G45" s="3">
        <f t="shared" ca="1" si="7"/>
        <v>0.17401500938086301</v>
      </c>
      <c r="I45" s="2" vm="150">
        <f t="shared" ca="1" si="0"/>
        <v>175.21</v>
      </c>
      <c r="J45" s="2" vm="151">
        <f t="shared" ca="1" si="1"/>
        <v>767.79</v>
      </c>
      <c r="K45" s="4">
        <f t="shared" ca="1" si="2"/>
        <v>5.169508937743994E-2</v>
      </c>
      <c r="L45" s="10">
        <f t="shared" ca="1" si="3"/>
        <v>195.17017007293956</v>
      </c>
    </row>
    <row r="46" spans="1:14" x14ac:dyDescent="0.2">
      <c r="A46" s="5">
        <f>A45-14</f>
        <v>45461</v>
      </c>
      <c r="B46" s="3" t="str">
        <f t="shared" ca="1" si="4"/>
        <v>JUNIORBEES</v>
      </c>
      <c r="C46" s="3">
        <f t="shared" ca="1" si="7"/>
        <v>0.23653527604895386</v>
      </c>
      <c r="D46" s="3">
        <f t="shared" ca="1" si="7"/>
        <v>8.7027027027027026E-2</v>
      </c>
      <c r="E46" s="3">
        <f t="shared" ca="1" si="7"/>
        <v>7.2055086482498698E-2</v>
      </c>
      <c r="F46" s="3">
        <f t="shared" ca="1" si="7"/>
        <v>0.20862068965517255</v>
      </c>
      <c r="G46" s="3">
        <f t="shared" ca="1" si="7"/>
        <v>0.22352688479988547</v>
      </c>
      <c r="I46" s="2" vm="152">
        <f t="shared" ca="1" si="0"/>
        <v>730.05</v>
      </c>
      <c r="J46" s="2" t="str">
        <f t="shared" ca="1" si="1"/>
        <v/>
      </c>
      <c r="K46" s="4" t="str">
        <f t="shared" ca="1" si="2"/>
        <v/>
      </c>
      <c r="L46" s="10">
        <f t="shared" ca="1" si="3"/>
        <v>185.57676273688054</v>
      </c>
    </row>
    <row r="47" spans="1:14" x14ac:dyDescent="0.2">
      <c r="A47" s="5">
        <f t="shared" si="6"/>
        <v>45454</v>
      </c>
      <c r="B47" s="3" t="str">
        <f t="shared" ca="1" si="4"/>
        <v>JUNIORBEES</v>
      </c>
      <c r="C47" s="3">
        <f t="shared" ca="1" si="7"/>
        <v>0.15522420582421526</v>
      </c>
      <c r="D47" s="3">
        <f t="shared" ca="1" si="7"/>
        <v>7.873594001071238E-2</v>
      </c>
      <c r="E47" s="3">
        <f t="shared" ca="1" si="7"/>
        <v>4.5867852091331596E-2</v>
      </c>
      <c r="F47" s="3">
        <f t="shared" ca="1" si="7"/>
        <v>0.12320441988950259</v>
      </c>
      <c r="G47" s="3">
        <f t="shared" ca="1" si="7"/>
        <v>0.13018764552800977</v>
      </c>
      <c r="I47" s="2" vm="152">
        <f t="shared" ca="1" si="0"/>
        <v>730.05</v>
      </c>
      <c r="J47" s="2" t="str">
        <f t="shared" ca="1" si="1"/>
        <v/>
      </c>
      <c r="K47" s="4" t="str">
        <f t="shared" ca="1" si="2"/>
        <v/>
      </c>
      <c r="L47" s="10">
        <f t="shared" ca="1" si="3"/>
        <v>185.57676273688054</v>
      </c>
    </row>
    <row r="48" spans="1:14" x14ac:dyDescent="0.2">
      <c r="A48" s="5">
        <f t="shared" si="6"/>
        <v>45447</v>
      </c>
      <c r="B48" s="3" t="str">
        <f t="shared" ca="1" si="4"/>
        <v>JUNIORBEES</v>
      </c>
      <c r="C48" s="3">
        <f t="shared" ca="1" si="7"/>
        <v>0.16208536757664715</v>
      </c>
      <c r="D48" s="3">
        <f t="shared" ca="1" si="7"/>
        <v>0.12377064390424941</v>
      </c>
      <c r="E48" s="3">
        <f t="shared" ca="1" si="7"/>
        <v>1.069281362224106E-2</v>
      </c>
      <c r="F48" s="3">
        <f t="shared" ca="1" si="7"/>
        <v>2.7427317608337942E-2</v>
      </c>
      <c r="G48" s="3">
        <f t="shared" ca="1" si="7"/>
        <v>3.7821782178217855E-2</v>
      </c>
      <c r="I48" s="2" vm="152">
        <f t="shared" ca="1" si="0"/>
        <v>730.05</v>
      </c>
      <c r="J48" s="2" t="str">
        <f t="shared" ca="1" si="1"/>
        <v/>
      </c>
      <c r="K48" s="4" t="str">
        <f t="shared" ca="1" si="2"/>
        <v/>
      </c>
      <c r="L48" s="10">
        <f t="shared" ca="1" si="3"/>
        <v>185.57676273688054</v>
      </c>
    </row>
    <row r="49" spans="1:12" x14ac:dyDescent="0.2">
      <c r="A49" s="5">
        <f t="shared" si="6"/>
        <v>45440</v>
      </c>
      <c r="B49" s="3" t="str">
        <f t="shared" ca="1" si="4"/>
        <v>JUNIORBEES</v>
      </c>
      <c r="C49" s="3">
        <f t="shared" ca="1" si="7"/>
        <v>0.17501730215190481</v>
      </c>
      <c r="D49" s="3">
        <f t="shared" ca="1" si="7"/>
        <v>0.16197718631178692</v>
      </c>
      <c r="E49" s="3">
        <f t="shared" ca="1" si="7"/>
        <v>4.5789278808573641E-2</v>
      </c>
      <c r="F49" s="3">
        <f t="shared" ca="1" si="7"/>
        <v>9.7601784718349238E-2</v>
      </c>
      <c r="G49" s="3">
        <f t="shared" ca="1" si="7"/>
        <v>5.7947793577675544E-2</v>
      </c>
      <c r="I49" s="2" vm="152">
        <f t="shared" ca="1" si="0"/>
        <v>730.05</v>
      </c>
      <c r="J49" s="2" vm="153">
        <f t="shared" ca="1" si="1"/>
        <v>61.12</v>
      </c>
      <c r="K49" s="4">
        <f t="shared" ca="1" si="2"/>
        <v>7.2511535926169657E-3</v>
      </c>
      <c r="L49" s="10">
        <f t="shared" ca="1" si="3"/>
        <v>185.57676273688054</v>
      </c>
    </row>
    <row r="50" spans="1:12" x14ac:dyDescent="0.2">
      <c r="A50" s="5">
        <f t="shared" si="6"/>
        <v>45433</v>
      </c>
      <c r="B50" s="3" t="str">
        <f t="shared" ca="1" si="4"/>
        <v>GOLDBEES</v>
      </c>
      <c r="C50" s="3">
        <f t="shared" ca="1" si="7"/>
        <v>0.1694489608654357</v>
      </c>
      <c r="D50" s="3">
        <f t="shared" ca="1" si="7"/>
        <v>0.18977963525835873</v>
      </c>
      <c r="E50" s="3">
        <f t="shared" ca="1" si="7"/>
        <v>2.407020133677773E-2</v>
      </c>
      <c r="F50" s="3">
        <f t="shared" ca="1" si="7"/>
        <v>7.7771649200220727E-2</v>
      </c>
      <c r="G50" s="3">
        <f t="shared" ca="1" si="7"/>
        <v>5.5972378992098726E-2</v>
      </c>
      <c r="I50" s="2" vm="154">
        <f t="shared" ca="1" si="0"/>
        <v>60.68</v>
      </c>
      <c r="J50" s="2" t="str">
        <f t="shared" ca="1" si="1"/>
        <v/>
      </c>
      <c r="K50" s="4" t="str">
        <f t="shared" ca="1" si="2"/>
        <v/>
      </c>
      <c r="L50" s="10">
        <f t="shared" ca="1" si="3"/>
        <v>184.24080436639252</v>
      </c>
    </row>
    <row r="51" spans="1:12" x14ac:dyDescent="0.2">
      <c r="A51" s="5">
        <f t="shared" si="6"/>
        <v>45426</v>
      </c>
      <c r="B51" s="3" t="str">
        <f t="shared" ca="1" si="4"/>
        <v>GOLDBEES</v>
      </c>
      <c r="C51" s="3">
        <f t="shared" ca="1" si="7"/>
        <v>0.13608732596901763</v>
      </c>
      <c r="D51" s="3">
        <f t="shared" ca="1" si="7"/>
        <v>0.17447216890595008</v>
      </c>
      <c r="E51" s="3">
        <f t="shared" ca="1" si="7"/>
        <v>2.0948043883253886E-2</v>
      </c>
      <c r="F51" s="3">
        <f t="shared" ca="1" si="7"/>
        <v>5.075292805354148E-2</v>
      </c>
      <c r="G51" s="3">
        <f t="shared" ca="1" si="7"/>
        <v>3.1094694425789049E-2</v>
      </c>
      <c r="I51" s="2" vm="154">
        <f t="shared" ca="1" si="0"/>
        <v>60.68</v>
      </c>
      <c r="J51" s="2" t="str">
        <f t="shared" ca="1" si="1"/>
        <v/>
      </c>
      <c r="K51" s="4" t="str">
        <f t="shared" ca="1" si="2"/>
        <v/>
      </c>
      <c r="L51" s="10">
        <f t="shared" ca="1" si="3"/>
        <v>184.24080436639252</v>
      </c>
    </row>
    <row r="52" spans="1:12" x14ac:dyDescent="0.2">
      <c r="A52" s="5">
        <f t="shared" si="6"/>
        <v>45419</v>
      </c>
      <c r="B52" s="3" t="str">
        <f t="shared" ca="1" si="4"/>
        <v>GOLDBEES</v>
      </c>
      <c r="C52" s="3">
        <f t="shared" ca="1" si="7"/>
        <v>0.11537768162970985</v>
      </c>
      <c r="D52" s="3">
        <f t="shared" ca="1" si="7"/>
        <v>0.14038714527344487</v>
      </c>
      <c r="E52" s="3">
        <f t="shared" ca="1" si="7"/>
        <v>1.9641015060862577E-2</v>
      </c>
      <c r="F52" s="3">
        <f t="shared" ca="1" si="7"/>
        <v>1.5778019586507153E-2</v>
      </c>
      <c r="G52" s="3">
        <f t="shared" ca="1" si="7"/>
        <v>-3.3633012094949066E-3</v>
      </c>
      <c r="I52" s="2" vm="154">
        <f t="shared" ca="1" si="0"/>
        <v>60.68</v>
      </c>
      <c r="J52" s="2" vm="155">
        <f t="shared" ca="1" si="1"/>
        <v>680.57</v>
      </c>
      <c r="K52" s="4">
        <f t="shared" ca="1" si="2"/>
        <v>1.7324882657179685E-2</v>
      </c>
      <c r="L52" s="10">
        <f t="shared" ca="1" si="3"/>
        <v>184.24080436639252</v>
      </c>
    </row>
    <row r="53" spans="1:12" x14ac:dyDescent="0.2">
      <c r="A53" s="5">
        <f t="shared" si="6"/>
        <v>45412</v>
      </c>
      <c r="B53" s="3" t="str">
        <f t="shared" ca="1" si="4"/>
        <v>JUNIORBEES</v>
      </c>
      <c r="C53" s="3">
        <f t="shared" ca="1" si="7"/>
        <v>0.18389641570914073</v>
      </c>
      <c r="D53" s="3">
        <f t="shared" ca="1" si="7"/>
        <v>0.14586862412949375</v>
      </c>
      <c r="E53" s="3">
        <f t="shared" ca="1" si="7"/>
        <v>5.0098685591903669E-2</v>
      </c>
      <c r="F53" s="3">
        <f t="shared" ca="1" si="7"/>
        <v>7.3678290213723185E-2</v>
      </c>
      <c r="G53" s="3">
        <f t="shared" ca="1" si="7"/>
        <v>7.257520571968179E-2</v>
      </c>
      <c r="I53" s="2" vm="156">
        <f t="shared" ca="1" si="0"/>
        <v>668.98</v>
      </c>
      <c r="J53" s="2" t="str">
        <f t="shared" ca="1" si="1"/>
        <v/>
      </c>
      <c r="K53" s="4" t="str">
        <f t="shared" ca="1" si="2"/>
        <v/>
      </c>
      <c r="L53" s="10">
        <f t="shared" ca="1" si="3"/>
        <v>181.10321246165606</v>
      </c>
    </row>
    <row r="54" spans="1:12" x14ac:dyDescent="0.2">
      <c r="A54" s="5">
        <f t="shared" ref="A54:A90" si="8">A53-7</f>
        <v>45405</v>
      </c>
      <c r="B54" s="3" t="str">
        <f t="shared" ref="B54:B90" ca="1" si="9">INDEX($C$1:$G$1, 1, MATCH(MAX(C54:G54), C54:G54, 0))</f>
        <v>JUNIORBEES</v>
      </c>
      <c r="C54" s="3">
        <f t="shared" ca="1" si="7"/>
        <v>0.17998377253324849</v>
      </c>
      <c r="D54" s="3">
        <f t="shared" ca="1" si="7"/>
        <v>0.13980325387816883</v>
      </c>
      <c r="E54" s="3">
        <f t="shared" ca="1" si="7"/>
        <v>5.513688423383134E-2</v>
      </c>
      <c r="F54" s="3">
        <f t="shared" ca="1" si="7"/>
        <v>7.0893371757924983E-2</v>
      </c>
      <c r="G54" s="3">
        <f t="shared" ca="1" si="7"/>
        <v>8.1188533165934107E-2</v>
      </c>
      <c r="I54" s="2" vm="156">
        <f t="shared" ca="1" si="0"/>
        <v>668.98</v>
      </c>
      <c r="J54" s="2" vm="157">
        <f t="shared" ca="1" si="1"/>
        <v>60.25</v>
      </c>
      <c r="K54" s="4">
        <f t="shared" ca="1" si="2"/>
        <v>-2.6498626595572783E-2</v>
      </c>
      <c r="L54" s="10">
        <f t="shared" ca="1" si="3"/>
        <v>181.10321246165606</v>
      </c>
    </row>
    <row r="55" spans="1:12" x14ac:dyDescent="0.2">
      <c r="A55" s="5">
        <f t="shared" si="8"/>
        <v>45398</v>
      </c>
      <c r="B55" s="3" t="str">
        <f t="shared" ca="1" si="9"/>
        <v>GOLDBEES</v>
      </c>
      <c r="C55" s="3">
        <f t="shared" ref="C55:G91" ca="1" si="10">IFERROR(INDEX(_xlfn.STOCKHISTORY(C$1,$A55),2,2),0)/IFERROR(INDEX(_xlfn.STOCKHISTORY(C$1,EDATE($A55,-3)),2,2),0)-1</f>
        <v>0.13598941235111117</v>
      </c>
      <c r="D55" s="3">
        <f t="shared" ca="1" si="10"/>
        <v>0.16663524976437327</v>
      </c>
      <c r="E55" s="3">
        <f t="shared" ca="1" si="10"/>
        <v>9.3734583127775828E-3</v>
      </c>
      <c r="F55" s="3">
        <f t="shared" ca="1" si="10"/>
        <v>4.1173152848279715E-2</v>
      </c>
      <c r="G55" s="3">
        <f t="shared" ca="1" si="10"/>
        <v>4.3683669976035677E-2</v>
      </c>
      <c r="I55" s="2" vm="158">
        <f t="shared" ca="1" si="0"/>
        <v>61.89</v>
      </c>
      <c r="J55" s="2" vm="159">
        <f t="shared" ca="1" si="1"/>
        <v>660.93</v>
      </c>
      <c r="K55" s="4">
        <f t="shared" ca="1" si="2"/>
        <v>0.18533330942090043</v>
      </c>
      <c r="L55" s="10">
        <f t="shared" ca="1" si="3"/>
        <v>186.03282687555009</v>
      </c>
    </row>
    <row r="56" spans="1:12" x14ac:dyDescent="0.2">
      <c r="A56" s="5">
        <f t="shared" si="8"/>
        <v>45391</v>
      </c>
      <c r="B56" s="3" t="str">
        <f t="shared" ca="1" si="9"/>
        <v>JUNIORBEES</v>
      </c>
      <c r="C56" s="3">
        <f t="shared" ca="1" si="10"/>
        <v>0.16473847440499001</v>
      </c>
      <c r="D56" s="3">
        <f t="shared" ca="1" si="10"/>
        <v>0.14202187853640114</v>
      </c>
      <c r="E56" s="3">
        <f t="shared" ca="1" si="10"/>
        <v>5.4504163512490544E-2</v>
      </c>
      <c r="F56" s="3">
        <f t="shared" ca="1" si="10"/>
        <v>6.3890473474044418E-2</v>
      </c>
      <c r="G56" s="3">
        <f t="shared" ca="1" si="10"/>
        <v>6.2018730489073803E-2</v>
      </c>
      <c r="I56" s="2" vm="160">
        <f t="shared" ca="1" si="0"/>
        <v>557.59</v>
      </c>
      <c r="J56" s="2" t="str">
        <f t="shared" ca="1" si="1"/>
        <v/>
      </c>
      <c r="K56" s="4" t="str">
        <f t="shared" ca="1" si="2"/>
        <v/>
      </c>
      <c r="L56" s="10">
        <f t="shared" ca="1" si="3"/>
        <v>156.94558264496692</v>
      </c>
    </row>
    <row r="57" spans="1:12" x14ac:dyDescent="0.2">
      <c r="A57" s="5">
        <f t="shared" si="8"/>
        <v>45384</v>
      </c>
      <c r="B57" s="3" t="str">
        <f t="shared" ca="1" si="9"/>
        <v>JUNIORBEES</v>
      </c>
      <c r="C57" s="3">
        <f t="shared" ca="1" si="10"/>
        <v>0.16947836521493631</v>
      </c>
      <c r="D57" s="3">
        <f t="shared" ca="1" si="10"/>
        <v>8.5724865765599123E-2</v>
      </c>
      <c r="E57" s="3">
        <f t="shared" ca="1" si="10"/>
        <v>3.9463233142427168E-2</v>
      </c>
      <c r="F57" s="3">
        <f t="shared" ca="1" si="10"/>
        <v>6.585788561525141E-2</v>
      </c>
      <c r="G57" s="3">
        <f t="shared" ca="1" si="10"/>
        <v>5.1652455781833639E-2</v>
      </c>
      <c r="I57" s="2" vm="160">
        <f t="shared" ca="1" si="0"/>
        <v>557.59</v>
      </c>
      <c r="J57" s="2" t="str">
        <f t="shared" ca="1" si="1"/>
        <v/>
      </c>
      <c r="K57" s="4" t="str">
        <f t="shared" ca="1" si="2"/>
        <v/>
      </c>
      <c r="L57" s="10">
        <f t="shared" ca="1" si="3"/>
        <v>156.94558264496692</v>
      </c>
    </row>
    <row r="58" spans="1:12" x14ac:dyDescent="0.2">
      <c r="A58" s="5">
        <f t="shared" si="8"/>
        <v>45377</v>
      </c>
      <c r="B58" s="3" t="str">
        <f t="shared" ca="1" si="9"/>
        <v>JUNIORBEES</v>
      </c>
      <c r="C58" s="3">
        <f t="shared" ca="1" si="10"/>
        <v>0.13784321813518896</v>
      </c>
      <c r="D58" s="3">
        <f t="shared" ca="1" si="10"/>
        <v>5.312383090160866E-2</v>
      </c>
      <c r="E58" s="3">
        <f t="shared" ca="1" si="10"/>
        <v>2.8953699404887345E-2</v>
      </c>
      <c r="F58" s="3">
        <f t="shared" ca="1" si="10"/>
        <v>5.0737463126843574E-2</v>
      </c>
      <c r="G58" s="3">
        <f t="shared" ca="1" si="10"/>
        <v>2.9026217228464324E-2</v>
      </c>
      <c r="I58" s="2" vm="160">
        <f t="shared" ca="1" si="0"/>
        <v>557.59</v>
      </c>
      <c r="J58" s="2" t="str">
        <f t="shared" ca="1" si="1"/>
        <v/>
      </c>
      <c r="K58" s="4" t="str">
        <f t="shared" ca="1" si="2"/>
        <v/>
      </c>
      <c r="L58" s="10">
        <f t="shared" ca="1" si="3"/>
        <v>156.94558264496692</v>
      </c>
    </row>
    <row r="59" spans="1:12" x14ac:dyDescent="0.2">
      <c r="A59" s="5">
        <f t="shared" si="8"/>
        <v>45370</v>
      </c>
      <c r="B59" s="3" t="str">
        <f t="shared" ca="1" si="9"/>
        <v>JUNIORBEES</v>
      </c>
      <c r="C59" s="3">
        <f t="shared" ca="1" si="10"/>
        <v>9.6332087943669986E-2</v>
      </c>
      <c r="D59" s="3">
        <f t="shared" ca="1" si="10"/>
        <v>5.7425366039170811E-2</v>
      </c>
      <c r="E59" s="3">
        <f t="shared" ca="1" si="10"/>
        <v>2.0701309674693746E-2</v>
      </c>
      <c r="F59" s="3">
        <f t="shared" ca="1" si="10"/>
        <v>1.2360211889346662E-2</v>
      </c>
      <c r="G59" s="3">
        <f t="shared" ca="1" si="10"/>
        <v>-8.1230680756237961E-3</v>
      </c>
      <c r="I59" s="2" vm="160">
        <f t="shared" ca="1" si="0"/>
        <v>557.59</v>
      </c>
      <c r="J59" s="2" t="str">
        <f t="shared" ca="1" si="1"/>
        <v/>
      </c>
      <c r="K59" s="4" t="str">
        <f t="shared" ca="1" si="2"/>
        <v/>
      </c>
      <c r="L59" s="10">
        <f t="shared" ca="1" si="3"/>
        <v>156.94558264496692</v>
      </c>
    </row>
    <row r="60" spans="1:12" x14ac:dyDescent="0.2">
      <c r="A60" s="5">
        <f t="shared" si="8"/>
        <v>45363</v>
      </c>
      <c r="B60" s="3" t="str">
        <f t="shared" ca="1" si="9"/>
        <v>JUNIORBEES</v>
      </c>
      <c r="C60" s="3">
        <f t="shared" ca="1" si="10"/>
        <v>0.16635828738482017</v>
      </c>
      <c r="D60" s="3">
        <f t="shared" ca="1" si="10"/>
        <v>7.8881388621022008E-2</v>
      </c>
      <c r="E60" s="3">
        <f t="shared" ca="1" si="10"/>
        <v>7.126775199168689E-2</v>
      </c>
      <c r="F60" s="3">
        <f t="shared" ca="1" si="10"/>
        <v>7.5255869957856714E-2</v>
      </c>
      <c r="G60" s="3">
        <f t="shared" ca="1" si="10"/>
        <v>5.0989625487454893E-2</v>
      </c>
      <c r="I60" s="2" vm="160">
        <f t="shared" ca="1" si="0"/>
        <v>557.59</v>
      </c>
      <c r="J60" s="2" t="str">
        <f t="shared" ca="1" si="1"/>
        <v/>
      </c>
      <c r="K60" s="4" t="str">
        <f t="shared" ca="1" si="2"/>
        <v/>
      </c>
      <c r="L60" s="10">
        <f t="shared" ca="1" si="3"/>
        <v>156.94558264496692</v>
      </c>
    </row>
    <row r="61" spans="1:12" x14ac:dyDescent="0.2">
      <c r="A61" s="5">
        <f t="shared" si="8"/>
        <v>45356</v>
      </c>
      <c r="B61" s="3" t="str">
        <f t="shared" ca="1" si="9"/>
        <v>JUNIORBEES</v>
      </c>
      <c r="C61" s="3">
        <f t="shared" ca="1" si="10"/>
        <v>0.20082745651151845</v>
      </c>
      <c r="D61" s="3">
        <f t="shared" ca="1" si="10"/>
        <v>3.1734038534189546E-2</v>
      </c>
      <c r="E61" s="3">
        <f t="shared" ca="1" si="10"/>
        <v>7.5110840650265187E-2</v>
      </c>
      <c r="F61" s="3">
        <f t="shared" ca="1" si="10"/>
        <v>0.10411622276029053</v>
      </c>
      <c r="G61" s="3">
        <f t="shared" ca="1" si="10"/>
        <v>0.10922884289607415</v>
      </c>
      <c r="I61" s="2" vm="160">
        <f t="shared" ca="1" si="0"/>
        <v>557.59</v>
      </c>
      <c r="J61" s="2" t="str">
        <f t="shared" ca="1" si="1"/>
        <v/>
      </c>
      <c r="K61" s="4" t="str">
        <f t="shared" ca="1" si="2"/>
        <v/>
      </c>
      <c r="L61" s="10">
        <f t="shared" ca="1" si="3"/>
        <v>156.94558264496692</v>
      </c>
    </row>
    <row r="62" spans="1:12" x14ac:dyDescent="0.2">
      <c r="A62" s="5">
        <f>A61-14</f>
        <v>45342</v>
      </c>
      <c r="B62" s="3" t="str">
        <f t="shared" ca="1" si="9"/>
        <v>JUNIORBEES</v>
      </c>
      <c r="C62" s="3">
        <f t="shared" ca="1" si="10"/>
        <v>0.25747057047992761</v>
      </c>
      <c r="D62" s="3">
        <f t="shared" ca="1" si="10"/>
        <v>1.7421602787456525E-2</v>
      </c>
      <c r="E62" s="3">
        <f t="shared" ca="1" si="10"/>
        <v>0.1289164941338854</v>
      </c>
      <c r="F62" s="3">
        <f t="shared" ca="1" si="10"/>
        <v>0.16772959183673453</v>
      </c>
      <c r="G62" s="3">
        <f t="shared" ca="1" si="10"/>
        <v>0.1641218445484538</v>
      </c>
      <c r="I62" s="2" vm="160">
        <f t="shared" ca="1" si="0"/>
        <v>557.59</v>
      </c>
      <c r="J62" s="2" t="str">
        <f t="shared" ca="1" si="1"/>
        <v/>
      </c>
      <c r="K62" s="4" t="str">
        <f t="shared" ca="1" si="2"/>
        <v/>
      </c>
      <c r="L62" s="10">
        <f t="shared" ca="1" si="3"/>
        <v>156.94558264496692</v>
      </c>
    </row>
    <row r="63" spans="1:12" x14ac:dyDescent="0.2">
      <c r="A63" s="5">
        <f t="shared" si="8"/>
        <v>45335</v>
      </c>
      <c r="B63" s="3" t="str">
        <f t="shared" ca="1" si="9"/>
        <v>JUNIORBEES</v>
      </c>
      <c r="C63" s="3">
        <f t="shared" ca="1" si="10"/>
        <v>0.23527726035248619</v>
      </c>
      <c r="D63" s="3">
        <f t="shared" ca="1" si="10"/>
        <v>3.6913410563518712E-2</v>
      </c>
      <c r="E63" s="3">
        <f t="shared" ca="1" si="10"/>
        <v>0.12137030995106035</v>
      </c>
      <c r="F63" s="3">
        <f t="shared" ca="1" si="10"/>
        <v>0.15594541910331383</v>
      </c>
      <c r="G63" s="3">
        <f t="shared" ca="1" si="10"/>
        <v>0.16662703131193002</v>
      </c>
      <c r="I63" s="2" vm="160">
        <f t="shared" ca="1" si="0"/>
        <v>557.59</v>
      </c>
      <c r="J63" s="2" t="str">
        <f t="shared" ca="1" si="1"/>
        <v/>
      </c>
      <c r="K63" s="4" t="str">
        <f t="shared" ca="1" si="2"/>
        <v/>
      </c>
      <c r="L63" s="10">
        <f t="shared" ca="1" si="3"/>
        <v>156.94558264496692</v>
      </c>
    </row>
    <row r="64" spans="1:12" x14ac:dyDescent="0.2">
      <c r="A64" s="5">
        <f t="shared" si="8"/>
        <v>45328</v>
      </c>
      <c r="B64" s="3" t="str">
        <f t="shared" ca="1" si="9"/>
        <v>JUNIORBEES</v>
      </c>
      <c r="C64" s="3">
        <f t="shared" ca="1" si="10"/>
        <v>0.2515530539920785</v>
      </c>
      <c r="D64" s="3">
        <f t="shared" ca="1" si="10"/>
        <v>2.2995169082125511E-2</v>
      </c>
      <c r="E64" s="3">
        <f t="shared" ca="1" si="10"/>
        <v>0.12793624161073813</v>
      </c>
      <c r="F64" s="3">
        <f t="shared" ca="1" si="10"/>
        <v>0.21115537848605559</v>
      </c>
      <c r="G64" s="3">
        <f t="shared" ca="1" si="10"/>
        <v>0.23940831256531858</v>
      </c>
      <c r="I64" s="2" vm="160">
        <f t="shared" ca="1" si="0"/>
        <v>557.59</v>
      </c>
      <c r="J64" s="2" t="str">
        <f t="shared" ca="1" si="1"/>
        <v/>
      </c>
      <c r="K64" s="4" t="str">
        <f t="shared" ca="1" si="2"/>
        <v/>
      </c>
      <c r="L64" s="10">
        <f t="shared" ca="1" si="3"/>
        <v>156.94558264496692</v>
      </c>
    </row>
    <row r="65" spans="1:14" x14ac:dyDescent="0.2">
      <c r="A65" s="5">
        <f t="shared" si="8"/>
        <v>45321</v>
      </c>
      <c r="B65" s="3" t="str">
        <f t="shared" ca="1" si="9"/>
        <v>JUNIORBEES</v>
      </c>
      <c r="C65" s="3">
        <f t="shared" ca="1" si="10"/>
        <v>0.24951785025500373</v>
      </c>
      <c r="D65" s="3">
        <f t="shared" ca="1" si="10"/>
        <v>2.1337946943483344E-2</v>
      </c>
      <c r="E65" s="3">
        <f t="shared" ca="1" si="10"/>
        <v>0.12580370650529482</v>
      </c>
      <c r="F65" s="3">
        <f t="shared" ca="1" si="10"/>
        <v>0.21448087431693996</v>
      </c>
      <c r="G65" s="3">
        <f t="shared" ca="1" si="10"/>
        <v>0.22599851153559891</v>
      </c>
      <c r="I65" s="2" vm="160">
        <f t="shared" ca="1" si="0"/>
        <v>557.59</v>
      </c>
      <c r="J65" s="2" t="str">
        <f t="shared" ca="1" si="1"/>
        <v/>
      </c>
      <c r="K65" s="4" t="str">
        <f t="shared" ca="1" si="2"/>
        <v/>
      </c>
      <c r="L65" s="10">
        <f t="shared" ca="1" si="3"/>
        <v>156.94558264496692</v>
      </c>
    </row>
    <row r="66" spans="1:14" x14ac:dyDescent="0.2">
      <c r="A66" s="5">
        <f t="shared" si="8"/>
        <v>45314</v>
      </c>
      <c r="B66" s="3" t="str">
        <f t="shared" ca="1" si="9"/>
        <v>JUNIORBEES</v>
      </c>
      <c r="C66" s="3">
        <f t="shared" ca="1" si="10"/>
        <v>0.22038057516790088</v>
      </c>
      <c r="D66" s="3">
        <f t="shared" ca="1" si="10"/>
        <v>2.5611175785797524E-2</v>
      </c>
      <c r="E66" s="3">
        <f t="shared" ca="1" si="10"/>
        <v>0.10179668808931841</v>
      </c>
      <c r="F66" s="3">
        <f t="shared" ca="1" si="10"/>
        <v>0.18107556160653515</v>
      </c>
      <c r="G66" s="3">
        <f t="shared" ca="1" si="10"/>
        <v>0.1912754466140425</v>
      </c>
      <c r="I66" s="2" vm="160">
        <f t="shared" ref="I66:I85" ca="1" si="11">IF(B66&lt;&gt;B67,INDEX(_xlfn.STOCKHISTORY(B66,A66),2,2),I67)</f>
        <v>557.59</v>
      </c>
      <c r="J66" s="2" t="str">
        <f t="shared" ref="J66:J86" ca="1" si="12">IF(B66&lt;&gt;B67,INDEX(_xlfn.STOCKHISTORY(B67,A66),2,2),"")</f>
        <v/>
      </c>
      <c r="K66" s="4" t="str">
        <f t="shared" ref="K66:K84" ca="1" si="13">IF(ISNUMBER(J66),J66/I67-1,"")</f>
        <v/>
      </c>
      <c r="L66" s="10">
        <f t="shared" ref="L66:L88" ca="1" si="14">IF(K66&lt;&gt;"",L67*(1+K66),L67)</f>
        <v>156.94558264496692</v>
      </c>
    </row>
    <row r="67" spans="1:14" x14ac:dyDescent="0.2">
      <c r="A67" s="5">
        <f t="shared" si="8"/>
        <v>45307</v>
      </c>
      <c r="B67" s="3" t="str">
        <f t="shared" ca="1" si="9"/>
        <v>JUNIORBEES</v>
      </c>
      <c r="C67" s="3">
        <f t="shared" ca="1" si="10"/>
        <v>0.20978541129501771</v>
      </c>
      <c r="D67" s="3">
        <f t="shared" ca="1" si="10"/>
        <v>5.5721393034825706E-2</v>
      </c>
      <c r="E67" s="3">
        <f t="shared" ca="1" si="10"/>
        <v>0.11629187700780186</v>
      </c>
      <c r="F67" s="3">
        <f t="shared" ca="1" si="10"/>
        <v>0.15958142576847623</v>
      </c>
      <c r="G67" s="3">
        <f t="shared" ca="1" si="10"/>
        <v>0.16952274183215899</v>
      </c>
      <c r="I67" s="2" vm="160">
        <f t="shared" ca="1" si="11"/>
        <v>557.59</v>
      </c>
      <c r="J67" s="2" t="str">
        <f t="shared" ca="1" si="12"/>
        <v/>
      </c>
      <c r="K67" s="4" t="str">
        <f t="shared" ca="1" si="13"/>
        <v/>
      </c>
      <c r="L67" s="10">
        <f t="shared" ca="1" si="14"/>
        <v>156.94558264496692</v>
      </c>
    </row>
    <row r="68" spans="1:14" x14ac:dyDescent="0.2">
      <c r="A68" s="5">
        <f t="shared" si="8"/>
        <v>45300</v>
      </c>
      <c r="B68" s="3" t="str">
        <f t="shared" ca="1" si="9"/>
        <v>JUNIORBEES</v>
      </c>
      <c r="C68" s="3">
        <f t="shared" ca="1" si="10"/>
        <v>0.21966976220328549</v>
      </c>
      <c r="D68" s="3">
        <f t="shared" ca="1" si="10"/>
        <v>8.4697217675941072E-2</v>
      </c>
      <c r="E68" s="3">
        <f t="shared" ca="1" si="10"/>
        <v>0.10348988305179141</v>
      </c>
      <c r="F68" s="3">
        <f t="shared" ca="1" si="10"/>
        <v>0.17257525083612046</v>
      </c>
      <c r="G68" s="3">
        <f t="shared" ca="1" si="10"/>
        <v>0.18827796554282417</v>
      </c>
      <c r="I68" s="2" vm="160">
        <f t="shared" ca="1" si="11"/>
        <v>557.59</v>
      </c>
      <c r="J68" s="2" t="str">
        <f t="shared" ca="1" si="12"/>
        <v/>
      </c>
      <c r="K68" s="4" t="str">
        <f t="shared" ca="1" si="13"/>
        <v/>
      </c>
      <c r="L68" s="10">
        <f t="shared" ca="1" si="14"/>
        <v>156.94558264496692</v>
      </c>
    </row>
    <row r="69" spans="1:14" x14ac:dyDescent="0.2">
      <c r="A69" s="5">
        <f>A68-14</f>
        <v>45286</v>
      </c>
      <c r="B69" s="3" t="str">
        <f t="shared" ca="1" si="9"/>
        <v>JUNIORBEES</v>
      </c>
      <c r="C69" s="3">
        <f t="shared" ca="1" si="10"/>
        <v>0.16285714285714303</v>
      </c>
      <c r="D69" s="3">
        <f t="shared" ca="1" si="10"/>
        <v>6.8772491003598502E-2</v>
      </c>
      <c r="E69" s="3">
        <f t="shared" ca="1" si="10"/>
        <v>9.4011174216188875E-2</v>
      </c>
      <c r="F69" s="3">
        <f t="shared" ca="1" si="10"/>
        <v>0.11660079051383399</v>
      </c>
      <c r="G69" s="3">
        <f t="shared" ca="1" si="10"/>
        <v>0.14252797893350899</v>
      </c>
      <c r="I69" s="2" vm="160">
        <f t="shared" ca="1" si="11"/>
        <v>557.59</v>
      </c>
      <c r="J69" s="2" vm="161">
        <f t="shared" ca="1" si="12"/>
        <v>138.84</v>
      </c>
      <c r="K69" s="4">
        <f t="shared" ca="1" si="13"/>
        <v>0.32190802627820614</v>
      </c>
      <c r="L69" s="10">
        <f t="shared" ca="1" si="14"/>
        <v>156.94558264496692</v>
      </c>
      <c r="N69" s="4">
        <f ca="1">COUNTIF(K:K,"&gt;0")/COUNT(K:K)</f>
        <v>0.6428571428571429</v>
      </c>
    </row>
    <row r="70" spans="1:14" x14ac:dyDescent="0.2">
      <c r="A70" s="5">
        <f>A69-14</f>
        <v>45272</v>
      </c>
      <c r="B70" s="3" t="str">
        <f t="shared" ca="1" si="9"/>
        <v>HDFCSML250</v>
      </c>
      <c r="C70" s="3">
        <f t="shared" ca="1" si="10"/>
        <v>0.11743786957780267</v>
      </c>
      <c r="D70" s="3">
        <f t="shared" ca="1" si="10"/>
        <v>3.6585365853658569E-2</v>
      </c>
      <c r="E70" s="3">
        <f t="shared" ca="1" si="10"/>
        <v>4.8912303011035885E-2</v>
      </c>
      <c r="F70" s="3">
        <f t="shared" ca="1" si="10"/>
        <v>9.6369636963696381E-2</v>
      </c>
      <c r="G70" s="3">
        <f t="shared" ca="1" si="10"/>
        <v>0.12816468830414207</v>
      </c>
      <c r="I70" s="2" vm="162">
        <f t="shared" ca="1" si="11"/>
        <v>105.03</v>
      </c>
      <c r="J70" s="2" t="str">
        <f t="shared" ca="1" si="12"/>
        <v/>
      </c>
      <c r="K70" s="4" t="str">
        <f t="shared" ca="1" si="13"/>
        <v/>
      </c>
      <c r="L70" s="10">
        <f t="shared" ca="1" si="14"/>
        <v>118.72655247191643</v>
      </c>
    </row>
    <row r="71" spans="1:14" x14ac:dyDescent="0.2">
      <c r="A71" s="5">
        <f t="shared" si="8"/>
        <v>45265</v>
      </c>
      <c r="B71" s="3" t="str">
        <f t="shared" ca="1" si="9"/>
        <v>HDFCSML250</v>
      </c>
      <c r="C71" s="3">
        <f t="shared" ca="1" si="10"/>
        <v>0.10555532454571903</v>
      </c>
      <c r="D71" s="3">
        <f t="shared" ca="1" si="10"/>
        <v>5.1439920556107133E-2</v>
      </c>
      <c r="E71" s="3">
        <f t="shared" ca="1" si="10"/>
        <v>6.5882134914751589E-2</v>
      </c>
      <c r="F71" s="3">
        <f t="shared" ca="1" si="10"/>
        <v>8.5413929040735859E-2</v>
      </c>
      <c r="G71" s="3">
        <f t="shared" ca="1" si="10"/>
        <v>0.10742251223491039</v>
      </c>
      <c r="I71" s="2" vm="162">
        <f t="shared" ca="1" si="11"/>
        <v>105.03</v>
      </c>
      <c r="J71" s="2" t="str">
        <f t="shared" ca="1" si="12"/>
        <v/>
      </c>
      <c r="K71" s="4" t="str">
        <f t="shared" ca="1" si="13"/>
        <v/>
      </c>
      <c r="L71" s="10">
        <f t="shared" ca="1" si="14"/>
        <v>118.72655247191643</v>
      </c>
    </row>
    <row r="72" spans="1:14" x14ac:dyDescent="0.2">
      <c r="A72" s="5">
        <f t="shared" si="8"/>
        <v>45258</v>
      </c>
      <c r="B72" s="3" t="str">
        <f t="shared" ca="1" si="9"/>
        <v>HDFCSML250</v>
      </c>
      <c r="C72" s="3">
        <f t="shared" ca="1" si="10"/>
        <v>6.3185645037843186E-2</v>
      </c>
      <c r="D72" s="3">
        <f t="shared" ca="1" si="10"/>
        <v>5.0200803212851364E-2</v>
      </c>
      <c r="E72" s="3">
        <f t="shared" ca="1" si="10"/>
        <v>3.142763188800668E-2</v>
      </c>
      <c r="F72" s="3">
        <f t="shared" ca="1" si="10"/>
        <v>8.7611225188227282E-2</v>
      </c>
      <c r="G72" s="3">
        <f t="shared" ca="1" si="10"/>
        <v>0.1196266483986983</v>
      </c>
      <c r="I72" s="2" vm="162">
        <f t="shared" ca="1" si="11"/>
        <v>105.03</v>
      </c>
      <c r="J72" s="2" t="str">
        <f t="shared" ca="1" si="12"/>
        <v/>
      </c>
      <c r="K72" s="4" t="str">
        <f t="shared" ca="1" si="13"/>
        <v/>
      </c>
      <c r="L72" s="10">
        <f t="shared" ca="1" si="14"/>
        <v>118.72655247191643</v>
      </c>
    </row>
    <row r="73" spans="1:14" x14ac:dyDescent="0.2">
      <c r="A73" s="5">
        <f t="shared" si="8"/>
        <v>45251</v>
      </c>
      <c r="B73" s="3" t="str">
        <f t="shared" ca="1" si="9"/>
        <v>HDFCSML250</v>
      </c>
      <c r="C73" s="3">
        <f t="shared" ca="1" si="10"/>
        <v>6.6350609232881386E-2</v>
      </c>
      <c r="D73" s="3">
        <f t="shared" ca="1" si="10"/>
        <v>4.4283413848631215E-2</v>
      </c>
      <c r="E73" s="3">
        <f t="shared" ca="1" si="10"/>
        <v>2.2903981264636997E-2</v>
      </c>
      <c r="F73" s="3">
        <f t="shared" ca="1" si="10"/>
        <v>9.3815149409312015E-2</v>
      </c>
      <c r="G73" s="3">
        <f t="shared" ca="1" si="10"/>
        <v>0.14249452954048136</v>
      </c>
      <c r="I73" s="2" vm="162">
        <f t="shared" ca="1" si="11"/>
        <v>105.03</v>
      </c>
      <c r="J73" s="2" t="str">
        <f t="shared" ca="1" si="12"/>
        <v/>
      </c>
      <c r="K73" s="4" t="str">
        <f t="shared" ca="1" si="13"/>
        <v/>
      </c>
      <c r="L73" s="10">
        <f t="shared" ca="1" si="14"/>
        <v>118.72655247191643</v>
      </c>
    </row>
    <row r="74" spans="1:14" x14ac:dyDescent="0.2">
      <c r="A74" s="5">
        <f>A73-14</f>
        <v>45237</v>
      </c>
      <c r="B74" s="3" t="str">
        <f t="shared" ca="1" si="9"/>
        <v>HDFCSML250</v>
      </c>
      <c r="C74" s="3">
        <f t="shared" ca="1" si="10"/>
        <v>1.6560884368038264E-2</v>
      </c>
      <c r="D74" s="3">
        <f t="shared" ca="1" si="10"/>
        <v>1.7231134878193721E-2</v>
      </c>
      <c r="E74" s="3">
        <f t="shared" ca="1" si="10"/>
        <v>-6.7608242648760086E-3</v>
      </c>
      <c r="F74" s="3">
        <f t="shared" ca="1" si="10"/>
        <v>6.0350877192982377E-2</v>
      </c>
      <c r="G74" s="3">
        <f t="shared" ca="1" si="10"/>
        <v>9.4937264192331394E-2</v>
      </c>
      <c r="I74" s="2" vm="162">
        <f t="shared" ca="1" si="11"/>
        <v>105.03</v>
      </c>
      <c r="J74" s="2" t="str">
        <f t="shared" ca="1" si="12"/>
        <v/>
      </c>
      <c r="K74" s="4" t="str">
        <f t="shared" ca="1" si="13"/>
        <v/>
      </c>
      <c r="L74" s="10">
        <f t="shared" ca="1" si="14"/>
        <v>118.72655247191643</v>
      </c>
    </row>
    <row r="75" spans="1:14" x14ac:dyDescent="0.2">
      <c r="A75" s="5">
        <f t="shared" si="8"/>
        <v>45230</v>
      </c>
      <c r="B75" s="3" t="str">
        <f t="shared" ca="1" si="9"/>
        <v>HDFCSML250</v>
      </c>
      <c r="C75" s="3">
        <f t="shared" ca="1" si="10"/>
        <v>-2.6110856619331102E-2</v>
      </c>
      <c r="D75" s="3">
        <f t="shared" ca="1" si="10"/>
        <v>2.7635215159889537E-2</v>
      </c>
      <c r="E75" s="3">
        <f t="shared" ca="1" si="10"/>
        <v>-3.0333670374115385E-2</v>
      </c>
      <c r="F75" s="3">
        <f t="shared" ca="1" si="10"/>
        <v>3.0898876404494402E-2</v>
      </c>
      <c r="G75" s="3">
        <f t="shared" ca="1" si="10"/>
        <v>6.1995082543027769E-2</v>
      </c>
      <c r="I75" s="2" vm="162">
        <f t="shared" ca="1" si="11"/>
        <v>105.03</v>
      </c>
      <c r="J75" s="2" t="str">
        <f t="shared" ca="1" si="12"/>
        <v/>
      </c>
      <c r="K75" s="4" t="str">
        <f t="shared" ca="1" si="13"/>
        <v/>
      </c>
      <c r="L75" s="10">
        <f t="shared" ca="1" si="14"/>
        <v>118.72655247191643</v>
      </c>
    </row>
    <row r="76" spans="1:14" x14ac:dyDescent="0.2">
      <c r="A76" s="5">
        <f>A75-14</f>
        <v>45216</v>
      </c>
      <c r="B76" s="3" t="str">
        <f t="shared" ca="1" si="9"/>
        <v>HDFCSML250</v>
      </c>
      <c r="C76" s="3">
        <f t="shared" ca="1" si="10"/>
        <v>2.5691699604743157E-2</v>
      </c>
      <c r="D76" s="3">
        <f t="shared" ca="1" si="10"/>
        <v>-3.5650623885917776E-3</v>
      </c>
      <c r="E76" s="3">
        <f t="shared" ca="1" si="10"/>
        <v>9.3289613448483966E-3</v>
      </c>
      <c r="F76" s="3">
        <f t="shared" ca="1" si="10"/>
        <v>0.11393323657474608</v>
      </c>
      <c r="G76" s="3">
        <f t="shared" ca="1" si="10"/>
        <v>0.13632667811003718</v>
      </c>
      <c r="I76" s="2" vm="162">
        <f t="shared" ca="1" si="11"/>
        <v>105.03</v>
      </c>
      <c r="J76" s="2" t="str">
        <f t="shared" ca="1" si="12"/>
        <v/>
      </c>
      <c r="K76" s="4" t="str">
        <f t="shared" ca="1" si="13"/>
        <v/>
      </c>
      <c r="L76" s="10">
        <f t="shared" ca="1" si="14"/>
        <v>118.72655247191643</v>
      </c>
    </row>
    <row r="77" spans="1:14" x14ac:dyDescent="0.2">
      <c r="A77" s="5">
        <f t="shared" si="8"/>
        <v>45209</v>
      </c>
      <c r="B77" s="3" t="str">
        <f t="shared" ca="1" si="9"/>
        <v>HDFCSML250</v>
      </c>
      <c r="C77" s="3">
        <f t="shared" ca="1" si="10"/>
        <v>2.7316042515576955E-2</v>
      </c>
      <c r="D77" s="3">
        <f t="shared" ca="1" si="10"/>
        <v>-2.1986807915250872E-2</v>
      </c>
      <c r="E77" s="3">
        <f t="shared" ca="1" si="10"/>
        <v>2.1115500376222673E-2</v>
      </c>
      <c r="F77" s="3">
        <f t="shared" ca="1" si="10"/>
        <v>0.12204142011834329</v>
      </c>
      <c r="G77" s="3">
        <f t="shared" ca="1" si="10"/>
        <v>0.13923698134224449</v>
      </c>
      <c r="I77" s="2" vm="162">
        <f t="shared" ca="1" si="11"/>
        <v>105.03</v>
      </c>
      <c r="J77" s="2" t="str">
        <f t="shared" ca="1" si="12"/>
        <v/>
      </c>
      <c r="K77" s="4" t="str">
        <f t="shared" ca="1" si="13"/>
        <v/>
      </c>
      <c r="L77" s="10">
        <f t="shared" ca="1" si="14"/>
        <v>118.72655247191643</v>
      </c>
    </row>
    <row r="78" spans="1:14" x14ac:dyDescent="0.2">
      <c r="A78" s="5">
        <f t="shared" si="8"/>
        <v>45202</v>
      </c>
      <c r="B78" s="3" t="str">
        <f t="shared" ca="1" si="9"/>
        <v>HDFCSML250</v>
      </c>
      <c r="C78" s="3">
        <f t="shared" ca="1" si="10"/>
        <v>2.9156714651517923E-2</v>
      </c>
      <c r="D78" s="3">
        <f t="shared" ca="1" si="10"/>
        <v>-1.472962066182415E-2</v>
      </c>
      <c r="E78" s="3">
        <f t="shared" ca="1" si="10"/>
        <v>1.5402731983042761E-2</v>
      </c>
      <c r="F78" s="3">
        <f t="shared" ca="1" si="10"/>
        <v>0.13249444855662484</v>
      </c>
      <c r="G78" s="3">
        <f t="shared" ca="1" si="10"/>
        <v>0.15809720397823246</v>
      </c>
      <c r="I78" s="2" vm="162">
        <f t="shared" ca="1" si="11"/>
        <v>105.03</v>
      </c>
      <c r="J78" s="2" t="str">
        <f t="shared" ca="1" si="12"/>
        <v/>
      </c>
      <c r="K78" s="4" t="str">
        <f t="shared" ca="1" si="13"/>
        <v/>
      </c>
      <c r="L78" s="10">
        <f t="shared" ca="1" si="14"/>
        <v>118.72655247191643</v>
      </c>
    </row>
    <row r="79" spans="1:14" x14ac:dyDescent="0.2">
      <c r="A79" s="5">
        <f t="shared" si="8"/>
        <v>45195</v>
      </c>
      <c r="B79" s="3" t="str">
        <f t="shared" ca="1" si="9"/>
        <v>HDFCSML250</v>
      </c>
      <c r="C79" s="3">
        <f t="shared" ca="1" si="10"/>
        <v>5.3684048607906432E-2</v>
      </c>
      <c r="D79" s="3">
        <f t="shared" ca="1" si="10"/>
        <v>6.0012002400489095E-4</v>
      </c>
      <c r="E79" s="3">
        <f t="shared" ca="1" si="10"/>
        <v>5.5563678900424129E-2</v>
      </c>
      <c r="F79" s="3">
        <f t="shared" ca="1" si="10"/>
        <v>0.14221218961625293</v>
      </c>
      <c r="G79" s="3">
        <f t="shared" ca="1" si="10"/>
        <v>0.16231468197034915</v>
      </c>
      <c r="I79" s="2" vm="162">
        <f t="shared" ca="1" si="11"/>
        <v>105.03</v>
      </c>
      <c r="J79" s="2" t="str">
        <f t="shared" ca="1" si="12"/>
        <v/>
      </c>
      <c r="K79" s="4" t="str">
        <f t="shared" ca="1" si="13"/>
        <v/>
      </c>
      <c r="L79" s="10">
        <f t="shared" ca="1" si="14"/>
        <v>118.72655247191643</v>
      </c>
    </row>
    <row r="80" spans="1:14" x14ac:dyDescent="0.2">
      <c r="A80" s="5">
        <f>A79-14</f>
        <v>45181</v>
      </c>
      <c r="B80" s="3" t="str">
        <f t="shared" ca="1" si="9"/>
        <v>HDFCSML250</v>
      </c>
      <c r="C80" s="3">
        <f t="shared" ca="1" si="10"/>
        <v>6.6222829681231055E-2</v>
      </c>
      <c r="D80" s="3">
        <f t="shared" ca="1" si="10"/>
        <v>-1.7867661496171139E-2</v>
      </c>
      <c r="E80" s="3">
        <f t="shared" ca="1" si="10"/>
        <v>7.6934363689719287E-2</v>
      </c>
      <c r="F80" s="3">
        <f t="shared" ca="1" si="10"/>
        <v>0.16988416988416999</v>
      </c>
      <c r="G80" s="3">
        <f t="shared" ca="1" si="10"/>
        <v>0.17646484374999982</v>
      </c>
      <c r="I80" s="2" vm="162">
        <f t="shared" ca="1" si="11"/>
        <v>105.03</v>
      </c>
      <c r="J80" s="2" t="str">
        <f t="shared" ca="1" si="12"/>
        <v/>
      </c>
      <c r="K80" s="4" t="str">
        <f t="shared" ca="1" si="13"/>
        <v/>
      </c>
      <c r="L80" s="10">
        <f t="shared" ca="1" si="14"/>
        <v>118.72655247191643</v>
      </c>
    </row>
    <row r="81" spans="1:12" x14ac:dyDescent="0.2">
      <c r="A81" s="5">
        <f t="shared" si="8"/>
        <v>45174</v>
      </c>
      <c r="B81" s="3" t="str">
        <f t="shared" ca="1" si="9"/>
        <v>HDFCSML250</v>
      </c>
      <c r="C81" s="3">
        <f t="shared" ca="1" si="10"/>
        <v>7.1034114189008735E-2</v>
      </c>
      <c r="D81" s="3">
        <f t="shared" ca="1" si="10"/>
        <v>-7.2949526813879118E-3</v>
      </c>
      <c r="E81" s="3">
        <f t="shared" ca="1" si="10"/>
        <v>5.6588995496377636E-2</v>
      </c>
      <c r="F81" s="3">
        <f t="shared" ca="1" si="10"/>
        <v>0.1881342701014832</v>
      </c>
      <c r="G81" s="3">
        <f t="shared" ca="1" si="10"/>
        <v>0.21374121374121358</v>
      </c>
      <c r="I81" s="2" vm="162">
        <f t="shared" ca="1" si="11"/>
        <v>105.03</v>
      </c>
      <c r="J81" s="2" t="str">
        <f t="shared" ca="1" si="12"/>
        <v/>
      </c>
      <c r="K81" s="4" t="str">
        <f t="shared" ca="1" si="13"/>
        <v/>
      </c>
      <c r="L81" s="10">
        <f t="shared" ca="1" si="14"/>
        <v>118.72655247191643</v>
      </c>
    </row>
    <row r="82" spans="1:12" x14ac:dyDescent="0.2">
      <c r="A82" s="5">
        <f>A81-14</f>
        <v>45160</v>
      </c>
      <c r="B82" s="3" t="str">
        <f t="shared" ca="1" si="9"/>
        <v>HDFCSML250</v>
      </c>
      <c r="C82" s="3">
        <f t="shared" ca="1" si="10"/>
        <v>8.59035922061131E-2</v>
      </c>
      <c r="D82" s="3">
        <f t="shared" ca="1" si="10"/>
        <v>-4.001539053482106E-2</v>
      </c>
      <c r="E82" s="3">
        <f t="shared" ca="1" si="10"/>
        <v>6.3216100428414856E-2</v>
      </c>
      <c r="F82" s="3">
        <f t="shared" ca="1" si="10"/>
        <v>0.18262987012987009</v>
      </c>
      <c r="G82" s="3">
        <f t="shared" ca="1" si="10"/>
        <v>0.18384914941586383</v>
      </c>
      <c r="I82" s="2" vm="162">
        <f t="shared" ca="1" si="11"/>
        <v>105.03</v>
      </c>
      <c r="J82" s="2" t="str">
        <f t="shared" ca="1" si="12"/>
        <v/>
      </c>
      <c r="K82" s="4" t="str">
        <f t="shared" ca="1" si="13"/>
        <v/>
      </c>
      <c r="L82" s="10">
        <f t="shared" ca="1" si="14"/>
        <v>118.72655247191643</v>
      </c>
    </row>
    <row r="83" spans="1:12" x14ac:dyDescent="0.2">
      <c r="A83" s="5">
        <f>A82-14</f>
        <v>45146</v>
      </c>
      <c r="B83" s="3" t="str">
        <f t="shared" ca="1" si="9"/>
        <v>HDFCSML250</v>
      </c>
      <c r="C83" s="3">
        <f t="shared" ca="1" si="10"/>
        <v>0.11487847140916974</v>
      </c>
      <c r="D83" s="3">
        <f t="shared" ca="1" si="10"/>
        <v>-3.0860647881924441E-2</v>
      </c>
      <c r="E83" s="3">
        <f t="shared" ca="1" si="10"/>
        <v>8.051674928646535E-2</v>
      </c>
      <c r="F83" s="3">
        <f t="shared" ca="1" si="10"/>
        <v>0.16693944353518808</v>
      </c>
      <c r="G83" s="3">
        <f t="shared" ca="1" si="10"/>
        <v>0.18918073796122581</v>
      </c>
      <c r="I83" s="2" vm="162">
        <f t="shared" ca="1" si="11"/>
        <v>105.03</v>
      </c>
      <c r="J83" s="2" t="str">
        <f t="shared" ca="1" si="12"/>
        <v/>
      </c>
      <c r="K83" s="4" t="str">
        <f t="shared" ca="1" si="13"/>
        <v/>
      </c>
      <c r="L83" s="10">
        <f t="shared" ca="1" si="14"/>
        <v>118.72655247191643</v>
      </c>
    </row>
    <row r="84" spans="1:12" x14ac:dyDescent="0.2">
      <c r="A84" s="5">
        <f>A83-14</f>
        <v>45132</v>
      </c>
      <c r="B84" s="3" t="str">
        <f t="shared" ca="1" si="9"/>
        <v>HDFCSML250</v>
      </c>
      <c r="C84" s="3">
        <f t="shared" ca="1" si="10"/>
        <v>0.14423896888628995</v>
      </c>
      <c r="D84" s="3">
        <f t="shared" ca="1" si="10"/>
        <v>-1.4419329696024996E-2</v>
      </c>
      <c r="E84" s="3">
        <f t="shared" ca="1" si="10"/>
        <v>0.11595322721887391</v>
      </c>
      <c r="F84" s="3">
        <f t="shared" ca="1" si="10"/>
        <v>0.18266779949022949</v>
      </c>
      <c r="G84" s="3">
        <f t="shared" ca="1" si="10"/>
        <v>0.20697850275467222</v>
      </c>
      <c r="I84" s="2" vm="162">
        <f t="shared" ca="1" si="11"/>
        <v>105.03</v>
      </c>
      <c r="J84" s="2" t="str">
        <f t="shared" ca="1" si="12"/>
        <v/>
      </c>
      <c r="K84" s="4" t="str">
        <f t="shared" ca="1" si="13"/>
        <v/>
      </c>
      <c r="L84" s="10">
        <f t="shared" ca="1" si="14"/>
        <v>118.72655247191643</v>
      </c>
    </row>
    <row r="85" spans="1:12" x14ac:dyDescent="0.2">
      <c r="A85" s="5">
        <f t="shared" si="8"/>
        <v>45125</v>
      </c>
      <c r="B85" s="3" t="str">
        <f t="shared" ca="1" si="9"/>
        <v>HDFCSML250</v>
      </c>
      <c r="C85" s="3">
        <f t="shared" ca="1" si="10"/>
        <v>0.13982886036561637</v>
      </c>
      <c r="D85" s="3">
        <f t="shared" ca="1" si="10"/>
        <v>-1.6692546583851109E-2</v>
      </c>
      <c r="E85" s="3">
        <f t="shared" ca="1" si="10"/>
        <v>0.12305940799006421</v>
      </c>
      <c r="F85" s="3">
        <f t="shared" ca="1" si="10"/>
        <v>0.16286919831223634</v>
      </c>
      <c r="G85" s="3">
        <f t="shared" ca="1" si="10"/>
        <v>0.19975985154459108</v>
      </c>
      <c r="I85" s="2" vm="162">
        <f t="shared" ca="1" si="11"/>
        <v>105.03</v>
      </c>
      <c r="J85" s="2" t="str">
        <f t="shared" ca="1" si="12"/>
        <v/>
      </c>
      <c r="K85" s="4" t="str">
        <f ca="1">IF(ISNUMBER(J85),J85/I86-1,"")</f>
        <v/>
      </c>
      <c r="L85" s="10">
        <f t="shared" ca="1" si="14"/>
        <v>118.72655247191643</v>
      </c>
    </row>
    <row r="86" spans="1:12" x14ac:dyDescent="0.2">
      <c r="A86" s="5">
        <f>A85-7</f>
        <v>45118</v>
      </c>
      <c r="B86" s="3" t="str">
        <f t="shared" ca="1" si="9"/>
        <v>HDFCSML250</v>
      </c>
      <c r="C86" s="3">
        <f t="shared" ca="1" si="10"/>
        <v>0.14770576814372438</v>
      </c>
      <c r="D86" s="3">
        <f t="shared" ca="1" si="10"/>
        <v>-2.6964112512124161E-2</v>
      </c>
      <c r="E86" s="3">
        <f t="shared" ca="1" si="10"/>
        <v>0.10162056151940546</v>
      </c>
      <c r="F86" s="3">
        <f t="shared" ca="1" si="10"/>
        <v>0.17010309278350499</v>
      </c>
      <c r="G86" s="3">
        <f t="shared" ca="1" si="10"/>
        <v>0.19920538571901547</v>
      </c>
      <c r="I86" s="2" vm="162">
        <f ca="1">IF(B86&lt;&gt;B87,INDEX(_xlfn.STOCKHISTORY(B86,A86),2,2),I87)</f>
        <v>105.03</v>
      </c>
      <c r="J86" s="2" t="str">
        <f t="shared" ca="1" si="12"/>
        <v/>
      </c>
      <c r="K86" s="4" t="str">
        <f ca="1">IF(ISNUMBER(J86),J86/I87-1,"")</f>
        <v/>
      </c>
      <c r="L86" s="10">
        <f t="shared" ca="1" si="14"/>
        <v>118.72655247191643</v>
      </c>
    </row>
    <row r="87" spans="1:12" x14ac:dyDescent="0.2">
      <c r="A87" s="5">
        <f>A86-14</f>
        <v>45104</v>
      </c>
      <c r="B87" s="3" t="str">
        <f t="shared" ca="1" si="9"/>
        <v>HDFCSML250</v>
      </c>
      <c r="C87" s="3">
        <f t="shared" ca="1" si="10"/>
        <v>0.15319707955435424</v>
      </c>
      <c r="D87" s="3">
        <f t="shared" ca="1" si="10"/>
        <v>-1.1904761904761973E-2</v>
      </c>
      <c r="E87" s="3">
        <f t="shared" ca="1" si="10"/>
        <v>0.10892684498872063</v>
      </c>
      <c r="F87" s="3">
        <f t="shared" ca="1" si="10"/>
        <v>0.19874100719424459</v>
      </c>
      <c r="G87" s="3">
        <f t="shared" ca="1" si="10"/>
        <v>0.21379868253784817</v>
      </c>
      <c r="I87" s="2" vm="162">
        <f ca="1">IF(B87&lt;&gt;B88,INDEX(_xlfn.STOCKHISTORY(B87,A87),2,2),I88)</f>
        <v>105.03</v>
      </c>
      <c r="J87" s="2" vm="163">
        <f ca="1">IF(B87&lt;&gt;B88,INDEX(_xlfn.STOCKHISTORY(B88,A87),2,2),"")</f>
        <v>13.33</v>
      </c>
      <c r="K87" s="4">
        <f ca="1">IF(ISNUMBER(J87),J87/I88-1,"")</f>
        <v>1.7557251908397076E-2</v>
      </c>
      <c r="L87" s="10">
        <f t="shared" ca="1" si="14"/>
        <v>118.72655247191643</v>
      </c>
    </row>
    <row r="88" spans="1:12" x14ac:dyDescent="0.2">
      <c r="A88" s="5">
        <f>A87-14</f>
        <v>45090</v>
      </c>
      <c r="B88" s="3" t="str">
        <f t="shared" ca="1" si="9"/>
        <v>MIDCAPETF</v>
      </c>
      <c r="C88" s="3">
        <f t="shared" ca="1" si="10"/>
        <v>0.1458656783693093</v>
      </c>
      <c r="D88" s="3">
        <f t="shared" ca="1" si="10"/>
        <v>4.2400655469070125E-2</v>
      </c>
      <c r="E88" s="3">
        <f t="shared" ca="1" si="10"/>
        <v>9.2122049755475111E-2</v>
      </c>
      <c r="F88" s="3">
        <f t="shared" ca="1" si="10"/>
        <v>0.14610673665791785</v>
      </c>
      <c r="G88" s="3">
        <f t="shared" ca="1" si="10"/>
        <v>0.14110497237569053</v>
      </c>
      <c r="I88" s="2" vm="164">
        <f ca="1">IF(B88&lt;&gt;B89,INDEX(_xlfn.STOCKHISTORY(B88,A88),2,2),I89)</f>
        <v>13.1</v>
      </c>
      <c r="J88" s="2" vm="165">
        <f ca="1">IF(B88&lt;&gt;B89,INDEX(_xlfn.STOCKHISTORY(B89,A88),2,2),"")</f>
        <v>457.59</v>
      </c>
      <c r="K88" s="4">
        <f ca="1">IF(ISNUMBER(J88),J88/I89-1,"")</f>
        <v>5.3723575738036988E-2</v>
      </c>
      <c r="L88" s="10">
        <f t="shared" ca="1" si="14"/>
        <v>116.67800730548426</v>
      </c>
    </row>
    <row r="89" spans="1:12" x14ac:dyDescent="0.2">
      <c r="A89" s="5">
        <f>A88-14</f>
        <v>45076</v>
      </c>
      <c r="B89" s="3" t="str">
        <f t="shared" ca="1" si="9"/>
        <v>JUNIORBEES</v>
      </c>
      <c r="C89" s="3">
        <f t="shared" ca="1" si="10"/>
        <v>0.12398914999873245</v>
      </c>
      <c r="D89" s="3">
        <f t="shared" ca="1" si="10"/>
        <v>7.8675384939886239E-2</v>
      </c>
      <c r="E89" s="3">
        <f t="shared" ca="1" si="10"/>
        <v>7.7279915656299547E-2</v>
      </c>
      <c r="F89" s="3">
        <f t="shared" ca="1" si="10"/>
        <v>0.10200523103748904</v>
      </c>
      <c r="G89" s="3">
        <f t="shared" ca="1" si="10"/>
        <v>8.7933884297520803E-2</v>
      </c>
      <c r="I89" s="2" vm="166">
        <f t="shared" ref="I89" ca="1" si="15">IF(B89&lt;&gt;B90,INDEX(_xlfn.STOCKHISTORY(B89,A89),2,2),I90)</f>
        <v>434.26</v>
      </c>
      <c r="J89" s="2" t="str">
        <f t="shared" ref="J89" ca="1" si="16">IF(B89&lt;&gt;B90,INDEX(_xlfn.STOCKHISTORY(B90,A89),2,2),"")</f>
        <v/>
      </c>
      <c r="K89" s="4" t="str">
        <f t="shared" ref="K89" ca="1" si="17">IF(ISNUMBER(J89),J89/I90-1,"")</f>
        <v/>
      </c>
      <c r="L89" s="10">
        <f t="shared" ref="L89" ca="1" si="18">IF(K89&lt;&gt;"",L90*(1+K89),L90)</f>
        <v>110.72923676758583</v>
      </c>
    </row>
    <row r="90" spans="1:12" x14ac:dyDescent="0.2">
      <c r="A90" s="5">
        <f t="shared" si="8"/>
        <v>45069</v>
      </c>
      <c r="B90" s="3" t="str">
        <f t="shared" ca="1" si="9"/>
        <v>JUNIORBEES</v>
      </c>
      <c r="C90" s="3">
        <f t="shared" ca="1" si="10"/>
        <v>9.1407172836713624E-2</v>
      </c>
      <c r="D90" s="3">
        <f t="shared" ca="1" si="10"/>
        <v>7.4592561638111121E-2</v>
      </c>
      <c r="E90" s="3">
        <f t="shared" ca="1" si="10"/>
        <v>4.6924639341701102E-2</v>
      </c>
      <c r="F90" s="3">
        <f t="shared" ca="1" si="10"/>
        <v>7.4782608695652231E-2</v>
      </c>
      <c r="G90" s="3">
        <f t="shared" ca="1" si="10"/>
        <v>7.8485484049012122E-2</v>
      </c>
      <c r="I90" s="2" vm="166">
        <f t="shared" ref="I90:I137" ca="1" si="19">IF(B90&lt;&gt;B91,INDEX(_xlfn.STOCKHISTORY(B90,A90),2,2),I91)</f>
        <v>434.26</v>
      </c>
      <c r="J90" s="2" vm="167">
        <f t="shared" ref="J90:J136" ca="1" si="20">IF(B90&lt;&gt;B91,INDEX(_xlfn.STOCKHISTORY(B91,A90),2,2),"")</f>
        <v>51.43</v>
      </c>
      <c r="K90" s="4">
        <f t="shared" ref="K90:K137" ca="1" si="21">IF(ISNUMBER(J90),J90/I91-1,"")</f>
        <v>-1.7949207561581026E-2</v>
      </c>
      <c r="L90" s="10">
        <f t="shared" ref="L90:L136" ca="1" si="22">IF(K90&lt;&gt;"",L91*(1+K90),L91)</f>
        <v>110.72923676758583</v>
      </c>
    </row>
    <row r="91" spans="1:12" x14ac:dyDescent="0.2">
      <c r="A91" s="5">
        <f>A90-7</f>
        <v>45062</v>
      </c>
      <c r="B91" s="3" t="str">
        <f t="shared" ref="B91:B136" ca="1" si="23">INDEX($C$1:$G$1, 1, MATCH(MAX(C91:G91), C91:G91, 0))</f>
        <v>GOLDBEES</v>
      </c>
      <c r="C91" s="3">
        <f t="shared" ca="1" si="10"/>
        <v>5.7646800517186625E-2</v>
      </c>
      <c r="D91" s="3">
        <f t="shared" ca="1" si="10"/>
        <v>8.0323785803237735E-2</v>
      </c>
      <c r="E91" s="3">
        <f t="shared" ca="1" si="10"/>
        <v>1.6012161135039227E-2</v>
      </c>
      <c r="F91" s="3">
        <f t="shared" ca="1" si="10"/>
        <v>5.2855924978687074E-2</v>
      </c>
      <c r="G91" s="3"/>
      <c r="I91" s="2" vm="168">
        <f t="shared" ca="1" si="19"/>
        <v>52.37</v>
      </c>
      <c r="J91" s="2" t="str">
        <f t="shared" ca="1" si="20"/>
        <v/>
      </c>
      <c r="K91" s="4" t="str">
        <f t="shared" ca="1" si="21"/>
        <v/>
      </c>
      <c r="L91" s="10">
        <f t="shared" ca="1" si="22"/>
        <v>112.75306493327766</v>
      </c>
    </row>
    <row r="92" spans="1:12" x14ac:dyDescent="0.2">
      <c r="A92" s="5">
        <f>A91-7</f>
        <v>45055</v>
      </c>
      <c r="B92" s="3" t="str">
        <f t="shared" ca="1" si="23"/>
        <v>GOLDBEES</v>
      </c>
      <c r="C92" s="3">
        <f t="shared" ref="C92:F110" ca="1" si="24">IFERROR(INDEX(_xlfn.STOCKHISTORY(C$1,$A92),2,2),0)/IFERROR(INDEX(_xlfn.STOCKHISTORY(C$1,EDATE($A92,-3)),2,2),0)-1</f>
        <v>4.2553711534231153E-2</v>
      </c>
      <c r="D92" s="3">
        <f t="shared" ca="1" si="24"/>
        <v>6.6381592343718099E-2</v>
      </c>
      <c r="E92" s="3">
        <f t="shared" ca="1" si="24"/>
        <v>1.9449691153198279E-2</v>
      </c>
      <c r="F92" s="3">
        <f t="shared" ca="1" si="24"/>
        <v>4.4180118946474112E-2</v>
      </c>
      <c r="G92" s="3"/>
      <c r="I92" s="2" vm="168">
        <f t="shared" ca="1" si="19"/>
        <v>52.37</v>
      </c>
      <c r="J92" s="2" vm="169">
        <f t="shared" ca="1" si="20"/>
        <v>12.29</v>
      </c>
      <c r="K92" s="4">
        <f t="shared" ca="1" si="21"/>
        <v>1.3190436933223193E-2</v>
      </c>
      <c r="L92" s="10">
        <f t="shared" ca="1" si="22"/>
        <v>112.75306493327766</v>
      </c>
    </row>
    <row r="93" spans="1:12" x14ac:dyDescent="0.2">
      <c r="A93" s="5">
        <f>A92-7</f>
        <v>45048</v>
      </c>
      <c r="B93" s="3" t="str">
        <f t="shared" ca="1" si="23"/>
        <v>MIDCAPETF</v>
      </c>
      <c r="C93" s="3">
        <f t="shared" ca="1" si="24"/>
        <v>3.2009236740609737E-2</v>
      </c>
      <c r="D93" s="3">
        <f t="shared" ca="1" si="24"/>
        <v>1.6643550624133141E-2</v>
      </c>
      <c r="E93" s="3">
        <f t="shared" ca="1" si="24"/>
        <v>2.8407029184593702E-2</v>
      </c>
      <c r="F93" s="3">
        <f t="shared" ca="1" si="24"/>
        <v>4.8401037165082261E-2</v>
      </c>
      <c r="G93" s="3"/>
      <c r="I93" s="2" vm="170">
        <f t="shared" ca="1" si="19"/>
        <v>12.13</v>
      </c>
      <c r="J93" s="2" vm="171">
        <f t="shared" ca="1" si="20"/>
        <v>51.31</v>
      </c>
      <c r="K93" s="4">
        <f t="shared" ca="1" si="21"/>
        <v>0.11156845753899503</v>
      </c>
      <c r="L93" s="10">
        <f t="shared" ca="1" si="22"/>
        <v>111.28516498296649</v>
      </c>
    </row>
    <row r="94" spans="1:12" x14ac:dyDescent="0.2">
      <c r="A94" s="5">
        <f>A93-14</f>
        <v>45034</v>
      </c>
      <c r="B94" s="3" t="str">
        <f t="shared" ca="1" si="23"/>
        <v>GOLDBEES</v>
      </c>
      <c r="C94" s="3">
        <f t="shared" ca="1" si="24"/>
        <v>-7.6612269635682018E-2</v>
      </c>
      <c r="D94" s="3">
        <f t="shared" ca="1" si="24"/>
        <v>6.3144861741642577E-2</v>
      </c>
      <c r="E94" s="3">
        <f t="shared" ca="1" si="24"/>
        <v>-2.7233828341303834E-2</v>
      </c>
      <c r="F94" s="3">
        <f t="shared" ca="1" si="24"/>
        <v>-3.364171572750263E-3</v>
      </c>
      <c r="G94" s="3"/>
      <c r="I94" s="2" vm="172">
        <f t="shared" ca="1" si="19"/>
        <v>46.16</v>
      </c>
      <c r="J94" s="2" t="str">
        <f t="shared" ca="1" si="20"/>
        <v/>
      </c>
      <c r="K94" s="4" t="str">
        <f t="shared" ca="1" si="21"/>
        <v/>
      </c>
      <c r="L94" s="10">
        <f t="shared" ca="1" si="22"/>
        <v>100.11543978978234</v>
      </c>
    </row>
    <row r="95" spans="1:12" x14ac:dyDescent="0.2">
      <c r="A95" s="5">
        <f>A94-7</f>
        <v>45027</v>
      </c>
      <c r="B95" s="3" t="str">
        <f t="shared" ca="1" si="23"/>
        <v>GOLDBEES</v>
      </c>
      <c r="C95" s="3">
        <f t="shared" ca="1" si="24"/>
        <v>-8.1097560975609828E-2</v>
      </c>
      <c r="D95" s="3">
        <f t="shared" ca="1" si="24"/>
        <v>7.3511037067888196E-2</v>
      </c>
      <c r="E95" s="3">
        <f t="shared" ca="1" si="24"/>
        <v>-1.2083821954825935E-2</v>
      </c>
      <c r="F95" s="3">
        <f t="shared" ca="1" si="24"/>
        <v>-2.2670025188916809E-2</v>
      </c>
      <c r="G95" s="3"/>
      <c r="I95" s="2" vm="172">
        <f t="shared" ca="1" si="19"/>
        <v>46.16</v>
      </c>
      <c r="J95" s="2" t="str">
        <f t="shared" ca="1" si="20"/>
        <v/>
      </c>
      <c r="K95" s="4" t="str">
        <f t="shared" ca="1" si="21"/>
        <v/>
      </c>
      <c r="L95" s="10">
        <f t="shared" ca="1" si="22"/>
        <v>100.11543978978234</v>
      </c>
    </row>
    <row r="96" spans="1:12" x14ac:dyDescent="0.2">
      <c r="A96" s="5">
        <f>A95-14</f>
        <v>45013</v>
      </c>
      <c r="B96" s="3" t="str">
        <f t="shared" ca="1" si="23"/>
        <v>GOLDBEES</v>
      </c>
      <c r="C96" s="3">
        <f t="shared" ca="1" si="24"/>
        <v>-0.12289178186373195</v>
      </c>
      <c r="D96" s="3">
        <f t="shared" ca="1" si="24"/>
        <v>8.2921589688506936E-2</v>
      </c>
      <c r="E96" s="3">
        <f t="shared" ca="1" si="24"/>
        <v>-6.2023334511844053E-2</v>
      </c>
      <c r="F96" s="3">
        <f t="shared" ca="1" si="24"/>
        <v>-6.170752324598483E-2</v>
      </c>
      <c r="G96" s="3"/>
      <c r="I96" s="2" vm="172">
        <f t="shared" ca="1" si="19"/>
        <v>46.16</v>
      </c>
      <c r="J96" s="2" t="str">
        <f t="shared" ca="1" si="20"/>
        <v/>
      </c>
      <c r="K96" s="4" t="str">
        <f t="shared" ca="1" si="21"/>
        <v/>
      </c>
      <c r="L96" s="10">
        <f t="shared" ca="1" si="22"/>
        <v>100.11543978978234</v>
      </c>
    </row>
    <row r="97" spans="1:12" x14ac:dyDescent="0.2">
      <c r="A97" s="5">
        <f>A96-7</f>
        <v>45006</v>
      </c>
      <c r="B97" s="3" t="str">
        <f t="shared" ca="1" si="23"/>
        <v>GOLDBEES</v>
      </c>
      <c r="C97" s="3">
        <f t="shared" ca="1" si="24"/>
        <v>-0.11521084337349397</v>
      </c>
      <c r="D97" s="3">
        <f t="shared" ca="1" si="24"/>
        <v>7.7251387110542025E-2</v>
      </c>
      <c r="E97" s="3">
        <f t="shared" ca="1" si="24"/>
        <v>-5.9879638916750189E-2</v>
      </c>
      <c r="F97" s="3">
        <f t="shared" ca="1" si="24"/>
        <v>-4.93311036789299E-2</v>
      </c>
      <c r="G97" s="3"/>
      <c r="I97" s="2" vm="172">
        <f t="shared" ca="1" si="19"/>
        <v>46.16</v>
      </c>
      <c r="J97" s="2" t="str">
        <f t="shared" ca="1" si="20"/>
        <v/>
      </c>
      <c r="K97" s="4" t="str">
        <f t="shared" ca="1" si="21"/>
        <v/>
      </c>
      <c r="L97" s="10">
        <f t="shared" ca="1" si="22"/>
        <v>100.11543978978234</v>
      </c>
    </row>
    <row r="98" spans="1:12" x14ac:dyDescent="0.2">
      <c r="A98" s="5">
        <f>A97-7</f>
        <v>44999</v>
      </c>
      <c r="B98" s="3" t="str">
        <f t="shared" ca="1" si="23"/>
        <v>GOLDBEES</v>
      </c>
      <c r="C98" s="3">
        <f t="shared" ca="1" si="24"/>
        <v>-0.15108903653056394</v>
      </c>
      <c r="D98" s="3">
        <f t="shared" ca="1" si="24"/>
        <v>5.5651052857756733E-2</v>
      </c>
      <c r="E98" s="3">
        <f t="shared" ca="1" si="24"/>
        <v>-8.5343772938585749E-2</v>
      </c>
      <c r="F98" s="3">
        <f t="shared" ca="1" si="24"/>
        <v>-8.622078968573732E-2</v>
      </c>
      <c r="G98" s="3"/>
      <c r="I98" s="2" vm="172">
        <f t="shared" ca="1" si="19"/>
        <v>46.16</v>
      </c>
      <c r="J98" s="2" t="str">
        <f t="shared" ca="1" si="20"/>
        <v/>
      </c>
      <c r="K98" s="4" t="str">
        <f t="shared" ca="1" si="21"/>
        <v/>
      </c>
      <c r="L98" s="10">
        <f t="shared" ca="1" si="22"/>
        <v>100.11543978978234</v>
      </c>
    </row>
    <row r="99" spans="1:12" x14ac:dyDescent="0.2">
      <c r="A99" s="5">
        <f>A98-14</f>
        <v>44985</v>
      </c>
      <c r="B99" s="3" t="str">
        <f t="shared" ca="1" si="23"/>
        <v>GOLDBEES</v>
      </c>
      <c r="C99" s="3">
        <f t="shared" ca="1" si="24"/>
        <v>-0.13225103939813887</v>
      </c>
      <c r="D99" s="3">
        <f t="shared" ca="1" si="24"/>
        <v>5.0753546099290725E-2</v>
      </c>
      <c r="E99" s="3">
        <f t="shared" ca="1" si="24"/>
        <v>-6.5701339637509903E-2</v>
      </c>
      <c r="F99" s="3">
        <f t="shared" ca="1" si="24"/>
        <v>-4.9710024855012414E-2</v>
      </c>
      <c r="G99" s="3"/>
      <c r="I99" s="2" vm="172">
        <f t="shared" ca="1" si="19"/>
        <v>46.16</v>
      </c>
      <c r="J99" s="2" t="str">
        <f t="shared" ca="1" si="20"/>
        <v/>
      </c>
      <c r="K99" s="4" t="str">
        <f t="shared" ca="1" si="21"/>
        <v/>
      </c>
      <c r="L99" s="10">
        <f t="shared" ca="1" si="22"/>
        <v>100.11543978978234</v>
      </c>
    </row>
    <row r="100" spans="1:12" x14ac:dyDescent="0.2">
      <c r="A100" s="5">
        <f>A99-7</f>
        <v>44978</v>
      </c>
      <c r="B100" s="3" t="str">
        <f t="shared" ca="1" si="23"/>
        <v>GOLDBEES</v>
      </c>
      <c r="C100" s="3">
        <f t="shared" ca="1" si="24"/>
        <v>-9.5612822684916776E-2</v>
      </c>
      <c r="D100" s="3">
        <f t="shared" ca="1" si="24"/>
        <v>7.7232142857142971E-2</v>
      </c>
      <c r="E100" s="3">
        <f t="shared" ca="1" si="24"/>
        <v>-1.6570133467640469E-2</v>
      </c>
      <c r="F100" s="3">
        <f t="shared" ca="1" si="24"/>
        <v>-6.7969413763806497E-3</v>
      </c>
      <c r="G100" s="3"/>
      <c r="I100" s="2" vm="172">
        <f t="shared" ca="1" si="19"/>
        <v>46.16</v>
      </c>
      <c r="J100" s="2" t="str">
        <f t="shared" ca="1" si="20"/>
        <v/>
      </c>
      <c r="K100" s="4" t="str">
        <f t="shared" ca="1" si="21"/>
        <v/>
      </c>
      <c r="L100" s="10">
        <f t="shared" ca="1" si="22"/>
        <v>100.11543978978234</v>
      </c>
    </row>
    <row r="101" spans="1:12" x14ac:dyDescent="0.2">
      <c r="A101" s="5">
        <f>A100-14</f>
        <v>44964</v>
      </c>
      <c r="B101" s="3" t="str">
        <f t="shared" ca="1" si="23"/>
        <v>GOLDBEES</v>
      </c>
      <c r="C101" s="3">
        <f t="shared" ca="1" si="24"/>
        <v>-0.10760639574198894</v>
      </c>
      <c r="D101" s="3">
        <f t="shared" ca="1" si="24"/>
        <v>0.12185642432555999</v>
      </c>
      <c r="E101" s="3">
        <f t="shared" ca="1" si="24"/>
        <v>-2.3059107844124571E-2</v>
      </c>
      <c r="F101" s="3">
        <f t="shared" ca="1" si="24"/>
        <v>-4.0462427745664775E-2</v>
      </c>
      <c r="G101" s="3"/>
      <c r="I101" s="2" vm="172">
        <f t="shared" ca="1" si="19"/>
        <v>46.16</v>
      </c>
      <c r="J101" s="2" t="str">
        <f t="shared" ca="1" si="20"/>
        <v/>
      </c>
      <c r="K101" s="4" t="str">
        <f t="shared" ca="1" si="21"/>
        <v/>
      </c>
      <c r="L101" s="10">
        <f t="shared" ca="1" si="22"/>
        <v>100.11543978978234</v>
      </c>
    </row>
    <row r="102" spans="1:12" x14ac:dyDescent="0.2">
      <c r="A102" s="5">
        <f>A101-7</f>
        <v>44957</v>
      </c>
      <c r="B102" s="3" t="str">
        <f t="shared" ca="1" si="23"/>
        <v>GOLDBEES</v>
      </c>
      <c r="C102" s="3">
        <f t="shared" ca="1" si="24"/>
        <v>-7.740227378912945E-2</v>
      </c>
      <c r="D102" s="3">
        <f t="shared" ca="1" si="24"/>
        <v>0.12583853805227863</v>
      </c>
      <c r="E102" s="3">
        <f t="shared" ca="1" si="24"/>
        <v>-1.4418912722270361E-2</v>
      </c>
      <c r="F102" s="3">
        <f t="shared" ca="1" si="24"/>
        <v>-2.1812080536912748E-2</v>
      </c>
      <c r="G102" s="3"/>
      <c r="I102" s="2" vm="172">
        <f t="shared" ca="1" si="19"/>
        <v>46.16</v>
      </c>
      <c r="J102" s="2" t="str">
        <f t="shared" ca="1" si="20"/>
        <v/>
      </c>
      <c r="K102" s="4" t="str">
        <f t="shared" ca="1" si="21"/>
        <v/>
      </c>
      <c r="L102" s="10">
        <f t="shared" ca="1" si="22"/>
        <v>100.11543978978234</v>
      </c>
    </row>
    <row r="103" spans="1:12" x14ac:dyDescent="0.2">
      <c r="A103" s="5">
        <f>A102-7</f>
        <v>44950</v>
      </c>
      <c r="B103" s="3" t="str">
        <f t="shared" ca="1" si="23"/>
        <v>GOLDBEES</v>
      </c>
      <c r="C103" s="3">
        <f t="shared" ca="1" si="24"/>
        <v>-5.0540218782991753E-3</v>
      </c>
      <c r="D103" s="3">
        <f t="shared" ca="1" si="24"/>
        <v>0.124885004599816</v>
      </c>
      <c r="E103" s="3">
        <f t="shared" ca="1" si="24"/>
        <v>2.7178133250504777E-2</v>
      </c>
      <c r="F103" s="3">
        <f t="shared" ca="1" si="24"/>
        <v>-1.6949152542373724E-3</v>
      </c>
      <c r="G103" s="3"/>
      <c r="I103" s="2" vm="172">
        <f t="shared" ca="1" si="19"/>
        <v>46.16</v>
      </c>
      <c r="J103" s="2" t="str">
        <f t="shared" ca="1" si="20"/>
        <v/>
      </c>
      <c r="K103" s="4" t="str">
        <f t="shared" ca="1" si="21"/>
        <v/>
      </c>
      <c r="L103" s="10">
        <f t="shared" ca="1" si="22"/>
        <v>100.11543978978234</v>
      </c>
    </row>
    <row r="104" spans="1:12" x14ac:dyDescent="0.2">
      <c r="A104" s="5">
        <f>A103-14</f>
        <v>44936</v>
      </c>
      <c r="B104" s="3" t="str">
        <f t="shared" ca="1" si="23"/>
        <v>GOLDBEES</v>
      </c>
      <c r="C104" s="3">
        <f t="shared" ca="1" si="24"/>
        <v>-4.5621254137222511E-3</v>
      </c>
      <c r="D104" s="3">
        <f t="shared" ca="1" si="24"/>
        <v>9.6729933683969982E-2</v>
      </c>
      <c r="E104" s="3">
        <f t="shared" ca="1" si="24"/>
        <v>3.9099337748344398E-2</v>
      </c>
      <c r="F104" s="3">
        <f t="shared" ca="1" si="24"/>
        <v>1.0135135135135309E-2</v>
      </c>
      <c r="G104" s="3"/>
      <c r="I104" s="2" vm="172">
        <f t="shared" ca="1" si="19"/>
        <v>46.16</v>
      </c>
      <c r="J104" s="2" t="str">
        <f t="shared" ca="1" si="20"/>
        <v/>
      </c>
      <c r="K104" s="4" t="str">
        <f t="shared" ca="1" si="21"/>
        <v/>
      </c>
      <c r="L104" s="10">
        <f t="shared" ca="1" si="22"/>
        <v>100.11543978978234</v>
      </c>
    </row>
    <row r="105" spans="1:12" x14ac:dyDescent="0.2">
      <c r="A105" s="5">
        <f>A104-7</f>
        <v>44929</v>
      </c>
      <c r="B105" s="3" t="str">
        <f t="shared" ca="1" si="23"/>
        <v>GOLDBEES</v>
      </c>
      <c r="C105" s="3">
        <f t="shared" ca="1" si="24"/>
        <v>2.2894148766360978E-2</v>
      </c>
      <c r="D105" s="3">
        <f t="shared" ca="1" si="24"/>
        <v>0.10407974038015766</v>
      </c>
      <c r="E105" s="3">
        <f t="shared" ca="1" si="24"/>
        <v>8.3744911804613409E-2</v>
      </c>
      <c r="F105" s="3">
        <f t="shared" ca="1" si="24"/>
        <v>3.7100949094046598E-2</v>
      </c>
      <c r="G105" s="3"/>
      <c r="I105" s="2" vm="172">
        <f t="shared" ca="1" si="19"/>
        <v>46.16</v>
      </c>
      <c r="J105" s="2" t="str">
        <f t="shared" ca="1" si="20"/>
        <v/>
      </c>
      <c r="K105" s="4" t="str">
        <f t="shared" ca="1" si="21"/>
        <v/>
      </c>
      <c r="L105" s="10">
        <f t="shared" ca="1" si="22"/>
        <v>100.11543978978234</v>
      </c>
    </row>
    <row r="106" spans="1:12" x14ac:dyDescent="0.2">
      <c r="A106" s="5">
        <f>A105-7</f>
        <v>44922</v>
      </c>
      <c r="B106" s="3" t="str">
        <f t="shared" ca="1" si="23"/>
        <v>GOLDBEES</v>
      </c>
      <c r="C106" s="3">
        <f t="shared" ca="1" si="24"/>
        <v>-7.8699781513354994E-3</v>
      </c>
      <c r="D106" s="3">
        <f t="shared" ca="1" si="24"/>
        <v>0.10490334747760488</v>
      </c>
      <c r="E106" s="3">
        <f t="shared" ca="1" si="24"/>
        <v>6.4230045686643367E-2</v>
      </c>
      <c r="F106" s="3">
        <f t="shared" ca="1" si="24"/>
        <v>2.8695652173913011E-2</v>
      </c>
      <c r="G106" s="3"/>
      <c r="I106" s="2" vm="172">
        <f t="shared" ca="1" si="19"/>
        <v>46.16</v>
      </c>
      <c r="J106" s="2" t="str">
        <f t="shared" ca="1" si="20"/>
        <v/>
      </c>
      <c r="K106" s="4" t="str">
        <f t="shared" ca="1" si="21"/>
        <v/>
      </c>
      <c r="L106" s="10">
        <f t="shared" ca="1" si="22"/>
        <v>100.11543978978234</v>
      </c>
    </row>
    <row r="107" spans="1:12" x14ac:dyDescent="0.2">
      <c r="A107" s="5">
        <f>A106-7</f>
        <v>44915</v>
      </c>
      <c r="B107" s="3" t="str">
        <f t="shared" ca="1" si="23"/>
        <v>GOLDBEES</v>
      </c>
      <c r="C107" s="3">
        <f t="shared" ca="1" si="24"/>
        <v>-2.8783677961438436E-2</v>
      </c>
      <c r="D107" s="3">
        <f t="shared" ca="1" si="24"/>
        <v>0.10025888444339848</v>
      </c>
      <c r="E107" s="3">
        <f t="shared" ca="1" si="24"/>
        <v>3.4817938695741679E-2</v>
      </c>
      <c r="F107" s="3">
        <f t="shared" ca="1" si="24"/>
        <v>-2.4691358024692134E-3</v>
      </c>
      <c r="G107" s="3"/>
      <c r="I107" s="2" vm="172">
        <f t="shared" ca="1" si="19"/>
        <v>46.16</v>
      </c>
      <c r="J107" s="2" t="str">
        <f t="shared" ca="1" si="20"/>
        <v/>
      </c>
      <c r="K107" s="4" t="str">
        <f t="shared" ca="1" si="21"/>
        <v/>
      </c>
      <c r="L107" s="10">
        <f t="shared" ca="1" si="22"/>
        <v>100.11543978978234</v>
      </c>
    </row>
    <row r="108" spans="1:12" x14ac:dyDescent="0.2">
      <c r="A108" s="5">
        <f t="shared" ref="A108:A110" si="25">A107-7</f>
        <v>44908</v>
      </c>
      <c r="B108" s="3" t="str">
        <f t="shared" ca="1" si="23"/>
        <v>GOLDBEES</v>
      </c>
      <c r="C108" s="3">
        <f t="shared" ca="1" si="24"/>
        <v>-2.5271441797828476E-2</v>
      </c>
      <c r="D108" s="3">
        <f t="shared" ca="1" si="24"/>
        <v>6.114942528735634E-2</v>
      </c>
      <c r="E108" s="3">
        <f t="shared" ca="1" si="24"/>
        <v>3.462807819243463E-2</v>
      </c>
      <c r="F108" s="3">
        <f t="shared" ca="1" si="24"/>
        <v>4.0716612377851291E-3</v>
      </c>
      <c r="G108" s="3"/>
      <c r="I108" s="2" vm="172">
        <f t="shared" ca="1" si="19"/>
        <v>46.16</v>
      </c>
      <c r="J108" s="2" vm="173">
        <f t="shared" ca="1" si="20"/>
        <v>203.77</v>
      </c>
      <c r="K108" s="4">
        <f t="shared" ca="1" si="21"/>
        <v>2.2787732771169189E-2</v>
      </c>
      <c r="L108" s="10">
        <f t="shared" ca="1" si="22"/>
        <v>100.11543978978234</v>
      </c>
    </row>
    <row r="109" spans="1:12" x14ac:dyDescent="0.2">
      <c r="A109" s="5">
        <f>A108-14</f>
        <v>44894</v>
      </c>
      <c r="B109" s="3" t="str">
        <f t="shared" ca="1" si="23"/>
        <v>NIFTYBEES</v>
      </c>
      <c r="C109" s="3">
        <f t="shared" ca="1" si="24"/>
        <v>8.7430728810191649E-3</v>
      </c>
      <c r="D109" s="3">
        <f t="shared" ca="1" si="24"/>
        <v>2.8506271379703518E-2</v>
      </c>
      <c r="E109" s="3">
        <f t="shared" ca="1" si="24"/>
        <v>7.3849239864864913E-2</v>
      </c>
      <c r="F109" s="3">
        <f t="shared" ca="1" si="24"/>
        <v>3.0848329048843048E-2</v>
      </c>
      <c r="G109" s="3"/>
      <c r="I109" s="2" vm="174">
        <f t="shared" ca="1" si="19"/>
        <v>199.23</v>
      </c>
      <c r="J109" s="2" t="str">
        <f t="shared" ca="1" si="20"/>
        <v/>
      </c>
      <c r="K109" s="4" t="str">
        <f t="shared" ca="1" si="21"/>
        <v/>
      </c>
      <c r="L109" s="10">
        <f t="shared" ca="1" si="22"/>
        <v>97.884865629476039</v>
      </c>
    </row>
    <row r="110" spans="1:12" x14ac:dyDescent="0.2">
      <c r="A110" s="5">
        <f t="shared" si="25"/>
        <v>44887</v>
      </c>
      <c r="B110" s="3" t="str">
        <f t="shared" ca="1" si="23"/>
        <v>NIFTYBEES</v>
      </c>
      <c r="C110" s="3">
        <f t="shared" ca="1" si="24"/>
        <v>4.8746673822142039E-3</v>
      </c>
      <c r="D110" s="3">
        <f t="shared" ca="1" si="24"/>
        <v>2.0686519663559721E-2</v>
      </c>
      <c r="E110" s="3">
        <f t="shared" ca="1" si="24"/>
        <v>4.3362136684996111E-2</v>
      </c>
      <c r="F110" s="3">
        <f t="shared" ca="1" si="24"/>
        <v>2.5151777970511713E-2</v>
      </c>
      <c r="G110" s="3"/>
      <c r="I110" s="2" vm="174">
        <f t="shared" ca="1" si="19"/>
        <v>199.23</v>
      </c>
      <c r="J110" s="2" vm="175">
        <f t="shared" ca="1" si="20"/>
        <v>11.82</v>
      </c>
      <c r="K110" s="4">
        <f t="shared" ca="1" si="21"/>
        <v>-2.7160493827160459E-2</v>
      </c>
      <c r="L110" s="10">
        <f t="shared" ca="1" si="22"/>
        <v>97.884865629476039</v>
      </c>
    </row>
    <row r="111" spans="1:12" x14ac:dyDescent="0.2">
      <c r="A111" s="5">
        <f>A110-21</f>
        <v>44866</v>
      </c>
      <c r="B111" s="3" t="str">
        <f t="shared" ca="1" si="23"/>
        <v>MIDCAPETF</v>
      </c>
      <c r="C111" s="3">
        <f t="shared" ref="C111:F127" ca="1" si="26">IFERROR(INDEX(_xlfn.STOCKHISTORY(C$1,$A111),2,2),0)/IFERROR(INDEX(_xlfn.STOCKHISTORY(C$1,EDATE($A111,-3)),2,2),0)-1</f>
        <v>3.9426769061985834E-2</v>
      </c>
      <c r="D111" s="3">
        <f t="shared" ca="1" si="26"/>
        <v>-2.0578923563998153E-2</v>
      </c>
      <c r="E111" s="3">
        <f t="shared" ca="1" si="26"/>
        <v>4.9567937231617343E-2</v>
      </c>
      <c r="F111" s="3">
        <f t="shared" ca="1" si="26"/>
        <v>5.5311676909569618E-2</v>
      </c>
      <c r="G111" s="3"/>
      <c r="I111" s="2" vm="176">
        <f t="shared" ca="1" si="19"/>
        <v>12.15</v>
      </c>
      <c r="J111" s="2" t="str">
        <f t="shared" ca="1" si="20"/>
        <v/>
      </c>
      <c r="K111" s="4" t="str">
        <f t="shared" ca="1" si="21"/>
        <v/>
      </c>
      <c r="L111" s="10">
        <f t="shared" ca="1" si="22"/>
        <v>100.61769182725328</v>
      </c>
    </row>
    <row r="112" spans="1:12" x14ac:dyDescent="0.2">
      <c r="A112" s="5">
        <f>A111-7</f>
        <v>44859</v>
      </c>
      <c r="B112" s="3" t="str">
        <f t="shared" ca="1" si="23"/>
        <v>MIDCAPETF</v>
      </c>
      <c r="C112" s="3">
        <f t="shared" ca="1" si="26"/>
        <v>4.6936945440815503E-2</v>
      </c>
      <c r="D112" s="3">
        <f t="shared" ca="1" si="26"/>
        <v>-9.8623853211009527E-3</v>
      </c>
      <c r="E112" s="3">
        <f t="shared" ca="1" si="26"/>
        <v>6.0784745949520547E-2</v>
      </c>
      <c r="F112" s="3">
        <f t="shared" ca="1" si="26"/>
        <v>7.0000000000000062E-2</v>
      </c>
      <c r="G112" s="3"/>
      <c r="I112" s="2" vm="176">
        <f t="shared" ca="1" si="19"/>
        <v>12.15</v>
      </c>
      <c r="J112" s="2" t="str">
        <f t="shared" ca="1" si="20"/>
        <v/>
      </c>
      <c r="K112" s="4" t="str">
        <f t="shared" ca="1" si="21"/>
        <v/>
      </c>
      <c r="L112" s="10">
        <f t="shared" ca="1" si="22"/>
        <v>100.61769182725328</v>
      </c>
    </row>
    <row r="113" spans="1:12" x14ac:dyDescent="0.2">
      <c r="A113" s="5">
        <f>A112-7</f>
        <v>44852</v>
      </c>
      <c r="B113" s="3" t="str">
        <f t="shared" ca="1" si="23"/>
        <v>MIDCAPETF</v>
      </c>
      <c r="C113" s="3">
        <f t="shared" ca="1" si="26"/>
        <v>6.8291627605105765E-2</v>
      </c>
      <c r="D113" s="3">
        <f t="shared" ca="1" si="26"/>
        <v>-9.8737083811710757E-3</v>
      </c>
      <c r="E113" s="3">
        <f t="shared" ca="1" si="26"/>
        <v>7.4694176672867707E-2</v>
      </c>
      <c r="F113" s="3">
        <f t="shared" ca="1" si="26"/>
        <v>9.6082089552238736E-2</v>
      </c>
      <c r="G113" s="3"/>
      <c r="I113" s="2" vm="176">
        <f t="shared" ca="1" si="19"/>
        <v>12.15</v>
      </c>
      <c r="J113" s="2" t="str">
        <f t="shared" ca="1" si="20"/>
        <v/>
      </c>
      <c r="K113" s="4" t="str">
        <f t="shared" ca="1" si="21"/>
        <v/>
      </c>
      <c r="L113" s="10">
        <f t="shared" ca="1" si="22"/>
        <v>100.61769182725328</v>
      </c>
    </row>
    <row r="114" spans="1:12" x14ac:dyDescent="0.2">
      <c r="A114" s="5">
        <f>A113-14</f>
        <v>44838</v>
      </c>
      <c r="B114" s="3" t="str">
        <f t="shared" ca="1" si="23"/>
        <v>MIDCAPETF</v>
      </c>
      <c r="C114" s="3">
        <f t="shared" ca="1" si="26"/>
        <v>0.14310819070904635</v>
      </c>
      <c r="D114" s="3">
        <f t="shared" ca="1" si="26"/>
        <v>-1.4100268576544339E-2</v>
      </c>
      <c r="E114" s="3">
        <f t="shared" ca="1" si="26"/>
        <v>9.0714244337600558E-2</v>
      </c>
      <c r="F114" s="3">
        <f t="shared" ca="1" si="26"/>
        <v>0.16469428007889553</v>
      </c>
      <c r="G114" s="3"/>
      <c r="I114" s="2" vm="176">
        <f t="shared" ca="1" si="19"/>
        <v>12.15</v>
      </c>
      <c r="J114" s="2" t="str">
        <f t="shared" ca="1" si="20"/>
        <v/>
      </c>
      <c r="K114" s="4" t="str">
        <f t="shared" ca="1" si="21"/>
        <v/>
      </c>
      <c r="L114" s="10">
        <f t="shared" ca="1" si="22"/>
        <v>100.61769182725328</v>
      </c>
    </row>
    <row r="115" spans="1:12" x14ac:dyDescent="0.2">
      <c r="A115" s="5">
        <f>A114-14</f>
        <v>44824</v>
      </c>
      <c r="B115" s="3" t="str">
        <f t="shared" ca="1" si="23"/>
        <v>MIDCAPETF</v>
      </c>
      <c r="C115" s="3">
        <f t="shared" ca="1" si="26"/>
        <v>0.26246459680436063</v>
      </c>
      <c r="D115" s="3">
        <f t="shared" ca="1" si="26"/>
        <v>-3.0351437699680517E-2</v>
      </c>
      <c r="E115" s="3">
        <f t="shared" ca="1" si="26"/>
        <v>0.16215408523100838</v>
      </c>
      <c r="F115" s="3">
        <f t="shared" ca="1" si="26"/>
        <v>0.26694473409801889</v>
      </c>
      <c r="G115" s="3"/>
      <c r="I115" s="2" vm="176">
        <f t="shared" ca="1" si="19"/>
        <v>12.15</v>
      </c>
      <c r="J115" s="2" vm="177">
        <f t="shared" ca="1" si="20"/>
        <v>472.49</v>
      </c>
      <c r="K115" s="4">
        <f t="shared" ca="1" si="21"/>
        <v>1.7004240297897155E-2</v>
      </c>
      <c r="L115" s="10">
        <f t="shared" ca="1" si="22"/>
        <v>100.61769182725328</v>
      </c>
    </row>
    <row r="116" spans="1:12" x14ac:dyDescent="0.2">
      <c r="A116" s="5">
        <f>A115-7</f>
        <v>44817</v>
      </c>
      <c r="B116" s="3" t="str">
        <f t="shared" ca="1" si="23"/>
        <v>JUNIORBEES</v>
      </c>
      <c r="C116" s="3">
        <f t="shared" ca="1" si="26"/>
        <v>0.22072384475096962</v>
      </c>
      <c r="D116" s="3">
        <f t="shared" ca="1" si="26"/>
        <v>-1.5614392396469778E-2</v>
      </c>
      <c r="E116" s="3">
        <f t="shared" ca="1" si="26"/>
        <v>0.1459242450689473</v>
      </c>
      <c r="F116" s="3">
        <f t="shared" ca="1" si="26"/>
        <v>0.21584158415841581</v>
      </c>
      <c r="G116" s="3"/>
      <c r="I116" s="2" vm="178">
        <f t="shared" ca="1" si="19"/>
        <v>464.59</v>
      </c>
      <c r="J116" s="2" t="str">
        <f t="shared" ca="1" si="20"/>
        <v/>
      </c>
      <c r="K116" s="4" t="str">
        <f t="shared" ca="1" si="21"/>
        <v/>
      </c>
      <c r="L116" s="10">
        <f t="shared" ca="1" si="22"/>
        <v>98.935371004727287</v>
      </c>
    </row>
    <row r="117" spans="1:12" x14ac:dyDescent="0.2">
      <c r="A117" s="5">
        <f>A116-7</f>
        <v>44810</v>
      </c>
      <c r="B117" s="3" t="str">
        <f t="shared" ca="1" si="23"/>
        <v>JUNIORBEES</v>
      </c>
      <c r="C117" s="3">
        <f t="shared" ca="1" si="26"/>
        <v>0.15388818518242542</v>
      </c>
      <c r="D117" s="3">
        <f t="shared" ca="1" si="26"/>
        <v>-1.1363636363636354E-2</v>
      </c>
      <c r="E117" s="3">
        <f t="shared" ca="1" si="26"/>
        <v>6.8442964196502754E-2</v>
      </c>
      <c r="F117" s="3">
        <f t="shared" ca="1" si="26"/>
        <v>0.14258555133079853</v>
      </c>
      <c r="G117" s="3"/>
      <c r="I117" s="2" vm="178">
        <f t="shared" ca="1" si="19"/>
        <v>464.59</v>
      </c>
      <c r="J117" s="2" vm="179">
        <f t="shared" ca="1" si="20"/>
        <v>12.02</v>
      </c>
      <c r="K117" s="4">
        <f t="shared" ca="1" si="21"/>
        <v>5.2539404553415103E-2</v>
      </c>
      <c r="L117" s="10">
        <f t="shared" ca="1" si="22"/>
        <v>98.935371004727287</v>
      </c>
    </row>
    <row r="118" spans="1:12" x14ac:dyDescent="0.2">
      <c r="A118" s="5">
        <f>A117-7</f>
        <v>44803</v>
      </c>
      <c r="B118" s="3" t="str">
        <f t="shared" ca="1" si="23"/>
        <v>MIDCAPETF</v>
      </c>
      <c r="C118" s="3">
        <f t="shared" ca="1" si="26"/>
        <v>0.1257032905472879</v>
      </c>
      <c r="D118" s="3">
        <f t="shared" ca="1" si="26"/>
        <v>-1.8190086402910532E-3</v>
      </c>
      <c r="E118" s="3">
        <f t="shared" ca="1" si="26"/>
        <v>7.4765837166768101E-2</v>
      </c>
      <c r="F118" s="3">
        <f t="shared" ca="1" si="26"/>
        <v>0.12677388836329229</v>
      </c>
      <c r="G118" s="3"/>
      <c r="I118" s="2" vm="180">
        <f t="shared" ca="1" si="19"/>
        <v>11.42</v>
      </c>
      <c r="J118" s="2" t="str">
        <f t="shared" ca="1" si="20"/>
        <v/>
      </c>
      <c r="K118" s="4" t="str">
        <f t="shared" ca="1" si="21"/>
        <v/>
      </c>
      <c r="L118" s="10">
        <f t="shared" ca="1" si="22"/>
        <v>93.996833350581156</v>
      </c>
    </row>
    <row r="119" spans="1:12" x14ac:dyDescent="0.2">
      <c r="A119" s="5">
        <f>A118-7</f>
        <v>44796</v>
      </c>
      <c r="B119" s="3" t="str">
        <f t="shared" ca="1" si="23"/>
        <v>MIDCAPETF</v>
      </c>
      <c r="C119" s="3">
        <f t="shared" ca="1" si="26"/>
        <v>0.11441726903653837</v>
      </c>
      <c r="D119" s="3">
        <f t="shared" ca="1" si="26"/>
        <v>-2.2598870056497189E-3</v>
      </c>
      <c r="E119" s="3">
        <f t="shared" ca="1" si="26"/>
        <v>9.491255056115766E-2</v>
      </c>
      <c r="F119" s="3">
        <f t="shared" ca="1" si="26"/>
        <v>0.11623439000960611</v>
      </c>
      <c r="G119" s="3"/>
      <c r="I119" s="2" vm="180">
        <f t="shared" ca="1" si="19"/>
        <v>11.42</v>
      </c>
      <c r="J119" s="2" t="str">
        <f t="shared" ca="1" si="20"/>
        <v/>
      </c>
      <c r="K119" s="4" t="str">
        <f t="shared" ca="1" si="21"/>
        <v/>
      </c>
      <c r="L119" s="10">
        <f t="shared" ca="1" si="22"/>
        <v>93.996833350581156</v>
      </c>
    </row>
    <row r="120" spans="1:12" x14ac:dyDescent="0.2">
      <c r="A120" s="5">
        <f>A119-7</f>
        <v>44789</v>
      </c>
      <c r="B120" s="3" t="str">
        <f t="shared" ca="1" si="23"/>
        <v>MIDCAPETF</v>
      </c>
      <c r="C120" s="3">
        <f t="shared" ca="1" si="26"/>
        <v>0.12798345707309777</v>
      </c>
      <c r="D120" s="3">
        <f t="shared" ca="1" si="26"/>
        <v>3.5002318034306867E-2</v>
      </c>
      <c r="E120" s="3">
        <f t="shared" ca="1" si="26"/>
        <v>0.12757799337709885</v>
      </c>
      <c r="F120" s="3">
        <f t="shared" ca="1" si="26"/>
        <v>0.14494163424124507</v>
      </c>
      <c r="G120" s="3"/>
      <c r="I120" s="2" vm="180">
        <f t="shared" ca="1" si="19"/>
        <v>11.42</v>
      </c>
      <c r="J120" s="2" t="str">
        <f t="shared" ca="1" si="20"/>
        <v/>
      </c>
      <c r="K120" s="4" t="str">
        <f t="shared" ca="1" si="21"/>
        <v/>
      </c>
      <c r="L120" s="10">
        <f t="shared" ca="1" si="22"/>
        <v>93.996833350581156</v>
      </c>
    </row>
    <row r="121" spans="1:12" x14ac:dyDescent="0.2">
      <c r="A121" s="5">
        <f>A120-14</f>
        <v>44775</v>
      </c>
      <c r="B121" s="3" t="str">
        <f t="shared" ca="1" si="23"/>
        <v>MIDCAPETF</v>
      </c>
      <c r="C121" s="3">
        <f t="shared" ca="1" si="26"/>
        <v>-1.5658952933533477E-2</v>
      </c>
      <c r="D121" s="3">
        <f t="shared" ca="1" si="26"/>
        <v>4.5289855072461194E-4</v>
      </c>
      <c r="E121" s="3">
        <f t="shared" ca="1" si="26"/>
        <v>1.8906655142610251E-2</v>
      </c>
      <c r="F121" s="3">
        <f t="shared" ca="1" si="26"/>
        <v>2.7902790279027867E-2</v>
      </c>
      <c r="G121" s="3"/>
      <c r="I121" s="2" vm="180">
        <f t="shared" ca="1" si="19"/>
        <v>11.42</v>
      </c>
      <c r="J121" s="2" vm="181">
        <f t="shared" ca="1" si="20"/>
        <v>44.18</v>
      </c>
      <c r="K121" s="4">
        <f t="shared" ca="1" si="21"/>
        <v>1.656695812241149E-2</v>
      </c>
      <c r="L121" s="10">
        <f t="shared" ca="1" si="22"/>
        <v>93.996833350581156</v>
      </c>
    </row>
    <row r="122" spans="1:12" x14ac:dyDescent="0.2">
      <c r="A122" s="5">
        <f t="shared" ref="A122:A129" si="27">A121-7</f>
        <v>44768</v>
      </c>
      <c r="B122" s="3" t="str">
        <f t="shared" ca="1" si="23"/>
        <v>GOLDBEES</v>
      </c>
      <c r="C122" s="3">
        <f t="shared" ca="1" si="26"/>
        <v>-7.8057165524384464E-2</v>
      </c>
      <c r="D122" s="3">
        <f t="shared" ca="1" si="26"/>
        <v>-2.6433691756272415E-2</v>
      </c>
      <c r="E122" s="3">
        <f t="shared" ca="1" si="26"/>
        <v>-3.3313631723174586E-2</v>
      </c>
      <c r="F122" s="3">
        <f t="shared" ca="1" si="26"/>
        <v>-3.4605146406388565E-2</v>
      </c>
      <c r="G122" s="3"/>
      <c r="I122" s="2" vm="92">
        <f t="shared" ca="1" si="19"/>
        <v>43.46</v>
      </c>
      <c r="J122" s="2" vm="182">
        <f t="shared" ca="1" si="20"/>
        <v>179.91</v>
      </c>
      <c r="K122" s="4">
        <f t="shared" ca="1" si="21"/>
        <v>1.1412187991904688E-2</v>
      </c>
      <c r="L122" s="10">
        <f t="shared" ca="1" si="22"/>
        <v>92.464970063745056</v>
      </c>
    </row>
    <row r="123" spans="1:12" x14ac:dyDescent="0.2">
      <c r="A123" s="5">
        <f t="shared" si="27"/>
        <v>44761</v>
      </c>
      <c r="B123" s="3" t="str">
        <f t="shared" ca="1" si="23"/>
        <v>NIFTYBEES</v>
      </c>
      <c r="C123" s="3">
        <f t="shared" ca="1" si="26"/>
        <v>-6.608164992538812E-2</v>
      </c>
      <c r="D123" s="3">
        <f t="shared" ca="1" si="26"/>
        <v>-5.6328838625489319E-2</v>
      </c>
      <c r="E123" s="3">
        <f t="shared" ca="1" si="26"/>
        <v>-3.1576655052264924E-2</v>
      </c>
      <c r="F123" s="3">
        <f t="shared" ca="1" si="26"/>
        <v>-3.9858281665190343E-2</v>
      </c>
      <c r="G123" s="3"/>
      <c r="I123" s="2" vm="183">
        <f t="shared" ca="1" si="19"/>
        <v>177.88</v>
      </c>
      <c r="J123" s="2" vm="184">
        <f t="shared" ca="1" si="20"/>
        <v>43.39</v>
      </c>
      <c r="K123" s="4">
        <f t="shared" ca="1" si="21"/>
        <v>-4.1312829928850103E-3</v>
      </c>
      <c r="L123" s="10">
        <f t="shared" ca="1" si="22"/>
        <v>91.421649018614701</v>
      </c>
    </row>
    <row r="124" spans="1:12" x14ac:dyDescent="0.2">
      <c r="A124" s="5">
        <f t="shared" si="27"/>
        <v>44754</v>
      </c>
      <c r="B124" s="3" t="str">
        <f t="shared" ca="1" si="23"/>
        <v>GOLDBEES</v>
      </c>
      <c r="C124" s="3">
        <f t="shared" ca="1" si="26"/>
        <v>-0.10214016314358398</v>
      </c>
      <c r="D124" s="3">
        <f t="shared" ca="1" si="26"/>
        <v>-3.4955752212389446E-2</v>
      </c>
      <c r="E124" s="3">
        <f t="shared" ca="1" si="26"/>
        <v>-8.0453733851486131E-2</v>
      </c>
      <c r="F124" s="3">
        <f t="shared" ca="1" si="26"/>
        <v>-8.7597571552471831E-2</v>
      </c>
      <c r="G124" s="3"/>
      <c r="I124" s="2" vm="185">
        <f t="shared" ca="1" si="19"/>
        <v>43.57</v>
      </c>
      <c r="J124" s="2" t="str">
        <f t="shared" ca="1" si="20"/>
        <v/>
      </c>
      <c r="K124" s="4" t="str">
        <f t="shared" ca="1" si="21"/>
        <v/>
      </c>
      <c r="L124" s="10">
        <f t="shared" ca="1" si="22"/>
        <v>91.800904534248502</v>
      </c>
    </row>
    <row r="125" spans="1:12" x14ac:dyDescent="0.2">
      <c r="A125" s="5">
        <f t="shared" si="27"/>
        <v>44747</v>
      </c>
      <c r="B125" s="3" t="str">
        <f t="shared" ca="1" si="23"/>
        <v>GOLDBEES</v>
      </c>
      <c r="C125" s="3">
        <f t="shared" ca="1" si="26"/>
        <v>-0.12689477883166389</v>
      </c>
      <c r="D125" s="3">
        <f t="shared" ca="1" si="26"/>
        <v>1.1058451816745585E-2</v>
      </c>
      <c r="E125" s="3">
        <f t="shared" ca="1" si="26"/>
        <v>-0.11570290413775386</v>
      </c>
      <c r="F125" s="3">
        <f t="shared" ca="1" si="26"/>
        <v>-0.1235955056179775</v>
      </c>
      <c r="G125" s="3"/>
      <c r="I125" s="2" vm="185">
        <f t="shared" ca="1" si="19"/>
        <v>43.57</v>
      </c>
      <c r="J125" s="2" t="str">
        <f t="shared" ca="1" si="20"/>
        <v/>
      </c>
      <c r="K125" s="4" t="str">
        <f t="shared" ca="1" si="21"/>
        <v/>
      </c>
      <c r="L125" s="10">
        <f t="shared" ca="1" si="22"/>
        <v>91.800904534248502</v>
      </c>
    </row>
    <row r="126" spans="1:12" x14ac:dyDescent="0.2">
      <c r="A126" s="5">
        <f t="shared" si="27"/>
        <v>44740</v>
      </c>
      <c r="B126" s="3" t="str">
        <f t="shared" ca="1" si="23"/>
        <v>GOLDBEES</v>
      </c>
      <c r="C126" s="3">
        <f t="shared" ca="1" si="26"/>
        <v>-8.8353413654618462E-2</v>
      </c>
      <c r="D126" s="3">
        <f t="shared" ca="1" si="26"/>
        <v>-1.5509103169251581E-2</v>
      </c>
      <c r="E126" s="3">
        <f t="shared" ca="1" si="26"/>
        <v>-7.3368398454272121E-2</v>
      </c>
      <c r="F126" s="3">
        <f t="shared" ca="1" si="26"/>
        <v>-7.1494042163153027E-2</v>
      </c>
      <c r="G126" s="3"/>
      <c r="I126" s="2" vm="185">
        <f t="shared" ca="1" si="19"/>
        <v>43.57</v>
      </c>
      <c r="J126" s="2" t="str">
        <f t="shared" ca="1" si="20"/>
        <v/>
      </c>
      <c r="K126" s="4" t="str">
        <f t="shared" ca="1" si="21"/>
        <v/>
      </c>
      <c r="L126" s="10">
        <f t="shared" ca="1" si="22"/>
        <v>91.800904534248502</v>
      </c>
    </row>
    <row r="127" spans="1:12" x14ac:dyDescent="0.2">
      <c r="A127" s="5">
        <f t="shared" si="27"/>
        <v>44733</v>
      </c>
      <c r="B127" s="3" t="str">
        <f t="shared" ca="1" si="23"/>
        <v>GOLDBEES</v>
      </c>
      <c r="C127" s="3">
        <f t="shared" ca="1" si="26"/>
        <v>-0.10489019855469017</v>
      </c>
      <c r="D127" s="3">
        <f t="shared" ca="1" si="26"/>
        <v>-8.1558676937018015E-3</v>
      </c>
      <c r="E127" s="3">
        <f t="shared" ca="1" si="26"/>
        <v>-8.1562196569209267E-2</v>
      </c>
      <c r="F127" s="3">
        <f t="shared" ca="1" si="26"/>
        <v>-9.1160220994475183E-2</v>
      </c>
      <c r="G127" s="3"/>
      <c r="I127" s="2" vm="185">
        <f t="shared" ca="1" si="19"/>
        <v>43.57</v>
      </c>
      <c r="J127" s="2" t="str">
        <f t="shared" ca="1" si="20"/>
        <v/>
      </c>
      <c r="K127" s="4" t="str">
        <f t="shared" ca="1" si="21"/>
        <v/>
      </c>
      <c r="L127" s="10">
        <f t="shared" ca="1" si="22"/>
        <v>91.800904534248502</v>
      </c>
    </row>
    <row r="128" spans="1:12" x14ac:dyDescent="0.2">
      <c r="A128" s="5">
        <f t="shared" si="27"/>
        <v>44726</v>
      </c>
      <c r="B128" s="3" t="str">
        <f t="shared" ca="1" si="23"/>
        <v>GOLDBEES</v>
      </c>
      <c r="C128" s="3">
        <f t="shared" ref="C128:E136" ca="1" si="28">IFERROR(INDEX(_xlfn.STOCKHISTORY(C$1,$A128),2,2),0)/IFERROR(INDEX(_xlfn.STOCKHISTORY(C$1,EDATE($A128,-3)),2,2),0)-1</f>
        <v>-7.2911224053579082E-2</v>
      </c>
      <c r="D128" s="3">
        <f t="shared" ca="1" si="28"/>
        <v>-2.3969534050179209E-2</v>
      </c>
      <c r="E128" s="3">
        <f t="shared" ca="1" si="28"/>
        <v>-6.1935271890915078E-2</v>
      </c>
      <c r="F128" s="3"/>
      <c r="G128" s="3"/>
      <c r="I128" s="2" vm="185">
        <f t="shared" ca="1" si="19"/>
        <v>43.57</v>
      </c>
      <c r="J128" s="2" vm="186">
        <f t="shared" ca="1" si="20"/>
        <v>171.3</v>
      </c>
      <c r="K128" s="4">
        <f t="shared" ca="1" si="21"/>
        <v>-4.0658602150537626E-2</v>
      </c>
      <c r="L128" s="10">
        <f t="shared" ca="1" si="22"/>
        <v>91.800904534248502</v>
      </c>
    </row>
    <row r="129" spans="1:12" x14ac:dyDescent="0.2">
      <c r="A129" s="5">
        <f t="shared" si="27"/>
        <v>44719</v>
      </c>
      <c r="B129" s="3" t="str">
        <f t="shared" ca="1" si="23"/>
        <v>NIFTYBEES</v>
      </c>
      <c r="C129" s="3">
        <f t="shared" ca="1" si="28"/>
        <v>-1.1362229868554619E-2</v>
      </c>
      <c r="D129" s="3">
        <f t="shared" ca="1" si="28"/>
        <v>-4.652173913043478E-2</v>
      </c>
      <c r="E129" s="3">
        <f t="shared" ca="1" si="28"/>
        <v>3.6151569662856042E-2</v>
      </c>
      <c r="F129" s="3"/>
      <c r="G129" s="3"/>
      <c r="I129" s="2" vm="187">
        <f t="shared" ca="1" si="19"/>
        <v>178.56</v>
      </c>
      <c r="J129" s="2" vm="188">
        <f t="shared" ca="1" si="20"/>
        <v>399.38</v>
      </c>
      <c r="K129" s="4">
        <f t="shared" ca="1" si="21"/>
        <v>-2.6968985666483425E-3</v>
      </c>
      <c r="L129" s="10">
        <f t="shared" ca="1" si="22"/>
        <v>95.691590856015253</v>
      </c>
    </row>
    <row r="130" spans="1:12" x14ac:dyDescent="0.2">
      <c r="A130" s="5">
        <f>A129-14</f>
        <v>44705</v>
      </c>
      <c r="B130" s="3" t="str">
        <f t="shared" ca="1" si="23"/>
        <v>JUNIORBEES</v>
      </c>
      <c r="C130" s="3">
        <f t="shared" ca="1" si="28"/>
        <v>-7.041904289610823E-3</v>
      </c>
      <c r="D130" s="3">
        <f t="shared" ca="1" si="28"/>
        <v>-1.232631107126847E-2</v>
      </c>
      <c r="E130" s="3">
        <f t="shared" ca="1" si="28"/>
        <v>-1.8333707109217334E-2</v>
      </c>
      <c r="F130" s="3"/>
      <c r="G130" s="3"/>
      <c r="I130" s="2" vm="189">
        <f t="shared" ca="1" si="19"/>
        <v>400.46</v>
      </c>
      <c r="J130" s="2" vm="190">
        <f t="shared" ca="1" si="20"/>
        <v>44.07</v>
      </c>
      <c r="K130" s="4">
        <f t="shared" ca="1" si="21"/>
        <v>-4.0496407576747218E-2</v>
      </c>
      <c r="L130" s="10">
        <f t="shared" ca="1" si="22"/>
        <v>95.950359242325277</v>
      </c>
    </row>
    <row r="131" spans="1:12" x14ac:dyDescent="0.2">
      <c r="A131" s="5">
        <f>A130-7</f>
        <v>44698</v>
      </c>
      <c r="B131" s="3" t="str">
        <f t="shared" ca="1" si="23"/>
        <v>GOLDBEES</v>
      </c>
      <c r="C131" s="3">
        <f t="shared" ca="1" si="28"/>
        <v>-4.8301449275362285E-2</v>
      </c>
      <c r="D131" s="3">
        <f t="shared" ca="1" si="28"/>
        <v>3.4570177460244711E-3</v>
      </c>
      <c r="E131" s="3">
        <f t="shared" ca="1" si="28"/>
        <v>-5.6117263146632457E-2</v>
      </c>
      <c r="F131" s="3"/>
      <c r="G131" s="3"/>
      <c r="I131" s="2" vm="191">
        <f t="shared" ca="1" si="19"/>
        <v>45.93</v>
      </c>
      <c r="J131" s="2" t="str">
        <f t="shared" ca="1" si="20"/>
        <v/>
      </c>
      <c r="K131" s="4" t="str">
        <f t="shared" ca="1" si="21"/>
        <v/>
      </c>
      <c r="L131" s="10">
        <f t="shared" ca="1" si="22"/>
        <v>100</v>
      </c>
    </row>
    <row r="132" spans="1:12" x14ac:dyDescent="0.2">
      <c r="A132" s="5">
        <f>A131-7</f>
        <v>44691</v>
      </c>
      <c r="B132" s="3" t="str">
        <f t="shared" ca="1" si="23"/>
        <v>GOLDBEES</v>
      </c>
      <c r="C132" s="3">
        <f t="shared" ca="1" si="28"/>
        <v>-7.7167806132809824E-2</v>
      </c>
      <c r="D132" s="3">
        <f t="shared" ca="1" si="28"/>
        <v>4.9561299502015599E-2</v>
      </c>
      <c r="E132" s="3">
        <f t="shared" ca="1" si="28"/>
        <v>-7.3378570301404489E-2</v>
      </c>
      <c r="F132" s="3"/>
      <c r="G132" s="3"/>
      <c r="I132" s="2" vm="191">
        <f t="shared" ca="1" si="19"/>
        <v>45.93</v>
      </c>
      <c r="J132" s="2" t="str">
        <f t="shared" ca="1" si="20"/>
        <v/>
      </c>
      <c r="K132" s="4" t="str">
        <f t="shared" ca="1" si="21"/>
        <v/>
      </c>
      <c r="L132" s="10">
        <f t="shared" ca="1" si="22"/>
        <v>100</v>
      </c>
    </row>
    <row r="133" spans="1:12" x14ac:dyDescent="0.2">
      <c r="A133" s="5">
        <f>A132-21</f>
        <v>44670</v>
      </c>
      <c r="B133" s="3" t="str">
        <f t="shared" ca="1" si="23"/>
        <v>GOLDBEES</v>
      </c>
      <c r="C133" s="3">
        <f t="shared" ca="1" si="28"/>
        <v>-5.1185464214491549E-3</v>
      </c>
      <c r="D133" s="3">
        <f t="shared" ca="1" si="28"/>
        <v>0.1052884615384615</v>
      </c>
      <c r="E133" s="3">
        <f t="shared" ca="1" si="28"/>
        <v>-5.4073540014419663E-2</v>
      </c>
      <c r="F133" s="3"/>
      <c r="G133" s="3"/>
      <c r="I133" s="2" vm="191">
        <f t="shared" ca="1" si="19"/>
        <v>45.93</v>
      </c>
      <c r="J133" s="2" t="str">
        <f t="shared" ca="1" si="20"/>
        <v/>
      </c>
      <c r="K133" s="4" t="str">
        <f t="shared" ca="1" si="21"/>
        <v/>
      </c>
      <c r="L133" s="10">
        <f t="shared" ca="1" si="22"/>
        <v>100</v>
      </c>
    </row>
    <row r="134" spans="1:12" x14ac:dyDescent="0.2">
      <c r="A134" s="5">
        <f>A133-14</f>
        <v>44656</v>
      </c>
      <c r="B134" s="3" t="str">
        <f t="shared" ca="1" si="23"/>
        <v>GOLDBEES</v>
      </c>
      <c r="C134" s="3">
        <f t="shared" ca="1" si="28"/>
        <v>9.1242508274442802E-3</v>
      </c>
      <c r="D134" s="3">
        <f t="shared" ca="1" si="28"/>
        <v>6.6169393647738106E-2</v>
      </c>
      <c r="E134" s="3">
        <f t="shared" ca="1" si="28"/>
        <v>6.2584048825902183E-3</v>
      </c>
      <c r="F134" s="3"/>
      <c r="G134" s="3"/>
      <c r="I134" s="2" vm="191">
        <f t="shared" ca="1" si="19"/>
        <v>45.93</v>
      </c>
      <c r="J134" s="2" t="str">
        <f t="shared" ca="1" si="20"/>
        <v/>
      </c>
      <c r="K134" s="4" t="str">
        <f t="shared" ca="1" si="21"/>
        <v/>
      </c>
      <c r="L134" s="10">
        <f t="shared" ca="1" si="22"/>
        <v>100</v>
      </c>
    </row>
    <row r="135" spans="1:12" x14ac:dyDescent="0.2">
      <c r="A135" s="5">
        <f>A134-14</f>
        <v>44642</v>
      </c>
      <c r="B135" s="3" t="str">
        <f t="shared" ca="1" si="23"/>
        <v>GOLDBEES</v>
      </c>
      <c r="C135" s="3">
        <f t="shared" ca="1" si="28"/>
        <v>-1.7569646999380018E-2</v>
      </c>
      <c r="D135" s="3">
        <f t="shared" ca="1" si="28"/>
        <v>6.7437379576107848E-2</v>
      </c>
      <c r="E135" s="3">
        <f t="shared" ca="1" si="28"/>
        <v>2.1873124965908319E-2</v>
      </c>
      <c r="F135" s="3"/>
      <c r="G135" s="3"/>
      <c r="I135" s="2" vm="191">
        <f t="shared" ca="1" si="19"/>
        <v>45.93</v>
      </c>
      <c r="J135" s="2" t="str">
        <f t="shared" ca="1" si="20"/>
        <v/>
      </c>
      <c r="K135" s="4" t="str">
        <f t="shared" ca="1" si="21"/>
        <v/>
      </c>
      <c r="L135" s="10">
        <f t="shared" ca="1" si="22"/>
        <v>100</v>
      </c>
    </row>
    <row r="136" spans="1:12" x14ac:dyDescent="0.2">
      <c r="A136" s="5">
        <f>A135-7</f>
        <v>44635</v>
      </c>
      <c r="B136" s="3" t="str">
        <f t="shared" ca="1" si="23"/>
        <v>GOLDBEES</v>
      </c>
      <c r="C136" s="3">
        <f t="shared" ca="1" si="28"/>
        <v>-6.6075149559723045E-2</v>
      </c>
      <c r="D136" s="3">
        <f t="shared" ca="1" si="28"/>
        <v>6.8965517241379226E-2</v>
      </c>
      <c r="E136" s="3">
        <f t="shared" ca="1" si="28"/>
        <v>-3.0335570469798734E-2</v>
      </c>
      <c r="F136" s="3"/>
      <c r="G136" s="3"/>
      <c r="I136" s="2" vm="191">
        <f t="shared" ca="1" si="19"/>
        <v>45.93</v>
      </c>
      <c r="J136" s="2" t="str">
        <f t="shared" ca="1" si="20"/>
        <v/>
      </c>
      <c r="K136" s="4" t="str">
        <f t="shared" ca="1" si="21"/>
        <v/>
      </c>
      <c r="L136" s="10">
        <f t="shared" ca="1" si="22"/>
        <v>100</v>
      </c>
    </row>
    <row r="137" spans="1:12" x14ac:dyDescent="0.2">
      <c r="A137" s="5">
        <f>A136-7</f>
        <v>44628</v>
      </c>
      <c r="B137" s="3" t="str">
        <f t="shared" ref="B137" ca="1" si="29">INDEX($C$1:$G$1, 1, MATCH(MAX(C137:G137), C137:G137, 0))</f>
        <v>GOLDBEES</v>
      </c>
      <c r="C137" s="3">
        <f ca="1">IFERROR(INDEX(_xlfn.STOCKHISTORY(C$1,$A137),2,2),0)/IFERROR(INDEX(_xlfn.STOCKHISTORY(C$1,EDATE($A137,-1)),2,2),0)-1</f>
        <v>-7.1765190336749662E-2</v>
      </c>
      <c r="D137" s="3">
        <f ca="1">IFERROR(INDEX(_xlfn.STOCKHISTORY(D$1,$A137),2,2),0)/IFERROR(INDEX(_xlfn.STOCKHISTORY(D$1,EDATE($A137,-1)),2,2),0)-1</f>
        <v>9.8278335724533594E-2</v>
      </c>
      <c r="E137" s="3">
        <f ca="1">IFERROR(INDEX(_xlfn.STOCKHISTORY(E$1,$A137),2,2),0)/IFERROR(INDEX(_xlfn.STOCKHISTORY(E$1,EDATE($A137,-1)),2,2),0)-1</f>
        <v>-7.1784165729885996E-2</v>
      </c>
      <c r="F137" s="3"/>
      <c r="G137" s="3"/>
      <c r="I137" s="2" vm="191">
        <f t="shared" ca="1" si="19"/>
        <v>45.93</v>
      </c>
      <c r="K137" s="4" t="str">
        <f t="shared" si="21"/>
        <v/>
      </c>
      <c r="L137" s="10">
        <v>100</v>
      </c>
    </row>
    <row r="138" spans="1:12" x14ac:dyDescent="0.2">
      <c r="A138" s="5"/>
      <c r="B138" s="3"/>
      <c r="C138" s="3"/>
      <c r="D138" s="3"/>
      <c r="E138" s="3"/>
      <c r="F138" s="3"/>
      <c r="G138" s="3"/>
    </row>
    <row r="139" spans="1:12" x14ac:dyDescent="0.2">
      <c r="A139" s="5"/>
      <c r="B139" s="3"/>
      <c r="C139" s="3"/>
      <c r="D139" s="3"/>
      <c r="E139" s="3"/>
      <c r="F139" s="3"/>
      <c r="G139" s="3"/>
    </row>
    <row r="140" spans="1:12" x14ac:dyDescent="0.2">
      <c r="A140" s="5"/>
      <c r="B140" s="3"/>
      <c r="C140" s="3"/>
      <c r="D140" s="3"/>
      <c r="E140" s="3"/>
      <c r="F140" s="3"/>
      <c r="G140" s="3"/>
    </row>
    <row r="141" spans="1:12" x14ac:dyDescent="0.2">
      <c r="A141" s="5"/>
      <c r="B141" s="3"/>
      <c r="C141" s="3"/>
      <c r="D141" s="3"/>
      <c r="E141" s="3"/>
      <c r="F141" s="3"/>
      <c r="G141" s="3"/>
    </row>
    <row r="142" spans="1:12" x14ac:dyDescent="0.2">
      <c r="A142" s="5"/>
      <c r="B142" s="3"/>
      <c r="C142" s="3"/>
      <c r="D142" s="3"/>
      <c r="E142" s="3"/>
      <c r="F142" s="3"/>
      <c r="G142" s="3"/>
    </row>
    <row r="143" spans="1:12" x14ac:dyDescent="0.2">
      <c r="A143" s="5"/>
      <c r="B143" s="3"/>
      <c r="C143" s="3"/>
      <c r="D143" s="3"/>
      <c r="E143" s="3"/>
      <c r="F143" s="3"/>
      <c r="G143" s="3"/>
    </row>
    <row r="144" spans="1:12" x14ac:dyDescent="0.2">
      <c r="A144" s="5"/>
      <c r="B144" s="3"/>
      <c r="C144" s="3"/>
      <c r="D144" s="3"/>
      <c r="E144" s="3"/>
      <c r="F144" s="3"/>
      <c r="G144" s="3"/>
    </row>
    <row r="145" spans="1:7" x14ac:dyDescent="0.2">
      <c r="A145" s="5"/>
      <c r="B145" s="3"/>
      <c r="C145" s="3"/>
      <c r="D145" s="3"/>
      <c r="E145" s="3"/>
      <c r="F145" s="3"/>
      <c r="G145" s="3"/>
    </row>
    <row r="146" spans="1:7" x14ac:dyDescent="0.2">
      <c r="A146" s="5"/>
      <c r="B146" s="3"/>
      <c r="C146" s="3"/>
      <c r="D146" s="3"/>
      <c r="E146" s="3"/>
      <c r="F146" s="3"/>
      <c r="G146" s="3"/>
    </row>
    <row r="147" spans="1:7" x14ac:dyDescent="0.2">
      <c r="A147" s="5"/>
      <c r="B147" s="3"/>
      <c r="C147" s="3"/>
      <c r="D147" s="3"/>
      <c r="E147" s="3"/>
      <c r="F147" s="3"/>
      <c r="G147" s="3"/>
    </row>
    <row r="148" spans="1:7" x14ac:dyDescent="0.2">
      <c r="A148" s="5"/>
      <c r="B148" s="3"/>
      <c r="C148" s="3"/>
      <c r="D148" s="3"/>
      <c r="E148" s="3"/>
      <c r="F148" s="3"/>
      <c r="G148" s="3"/>
    </row>
    <row r="149" spans="1:7" x14ac:dyDescent="0.2">
      <c r="A149" s="5"/>
      <c r="B149" s="3"/>
      <c r="C149" s="3"/>
      <c r="D149" s="3"/>
      <c r="E149" s="3"/>
      <c r="F149" s="3"/>
      <c r="G149" s="3"/>
    </row>
    <row r="150" spans="1:7" x14ac:dyDescent="0.2">
      <c r="A150" s="5"/>
      <c r="B150" s="3"/>
      <c r="C150" s="3"/>
      <c r="D150" s="3"/>
      <c r="E150" s="3"/>
      <c r="F150" s="3"/>
      <c r="G150" s="3"/>
    </row>
    <row r="151" spans="1:7" x14ac:dyDescent="0.2">
      <c r="A151" s="5"/>
      <c r="B151" s="3"/>
      <c r="C151" s="3"/>
      <c r="D151" s="3"/>
      <c r="E151" s="3"/>
      <c r="F151" s="3"/>
      <c r="G151" s="3"/>
    </row>
    <row r="152" spans="1:7" x14ac:dyDescent="0.2">
      <c r="A152" s="5"/>
      <c r="B152" s="3"/>
      <c r="C152" s="3"/>
      <c r="D152" s="3"/>
      <c r="E152" s="3"/>
      <c r="F152" s="3"/>
      <c r="G152" s="3"/>
    </row>
    <row r="153" spans="1:7" x14ac:dyDescent="0.2">
      <c r="A153" s="5"/>
      <c r="B153" s="3"/>
      <c r="C153" s="3"/>
      <c r="D153" s="3"/>
      <c r="E153" s="3"/>
      <c r="F153" s="3"/>
      <c r="G153" s="3"/>
    </row>
    <row r="154" spans="1:7" x14ac:dyDescent="0.2">
      <c r="A154" s="5"/>
      <c r="B154" s="3"/>
      <c r="C154" s="3"/>
      <c r="D154" s="3"/>
      <c r="E154" s="3"/>
      <c r="F154" s="3"/>
      <c r="G154" s="3"/>
    </row>
    <row r="155" spans="1:7" x14ac:dyDescent="0.2">
      <c r="A155" s="5"/>
      <c r="B155" s="3"/>
      <c r="C155" s="3"/>
      <c r="D155" s="3"/>
      <c r="E155" s="3"/>
      <c r="F155" s="3"/>
      <c r="G155" s="3"/>
    </row>
    <row r="156" spans="1:7" x14ac:dyDescent="0.2">
      <c r="A156" s="5"/>
      <c r="B156" s="3"/>
      <c r="C156" s="3"/>
      <c r="D156" s="3"/>
      <c r="E156" s="3"/>
      <c r="F156" s="3"/>
      <c r="G156" s="3"/>
    </row>
    <row r="157" spans="1:7" x14ac:dyDescent="0.2">
      <c r="A157" s="5"/>
      <c r="B157" s="3"/>
      <c r="C157" s="3"/>
      <c r="D157" s="3"/>
      <c r="E157" s="3"/>
      <c r="F157" s="3"/>
      <c r="G157" s="3"/>
    </row>
    <row r="158" spans="1:7" x14ac:dyDescent="0.2">
      <c r="A158" s="5"/>
      <c r="B158" s="3"/>
      <c r="C158" s="3"/>
      <c r="D158" s="3"/>
      <c r="E158" s="3"/>
      <c r="F158" s="3"/>
      <c r="G158" s="3"/>
    </row>
    <row r="159" spans="1:7" x14ac:dyDescent="0.2">
      <c r="A159" s="5"/>
      <c r="B159" s="3"/>
      <c r="C159" s="3"/>
      <c r="D159" s="3"/>
      <c r="E159" s="3"/>
      <c r="F159" s="3"/>
      <c r="G159" s="3"/>
    </row>
    <row r="160" spans="1:7" x14ac:dyDescent="0.2">
      <c r="A160" s="5"/>
      <c r="B160" s="3"/>
      <c r="C160" s="3"/>
      <c r="D160" s="3"/>
      <c r="E160" s="3"/>
      <c r="F160" s="3"/>
      <c r="G160" s="3"/>
    </row>
    <row r="161" spans="1:7" x14ac:dyDescent="0.2">
      <c r="A161" s="5"/>
      <c r="B161" s="3"/>
      <c r="C161" s="3"/>
      <c r="D161" s="3"/>
      <c r="E161" s="3"/>
      <c r="F161" s="3"/>
      <c r="G161" s="3"/>
    </row>
    <row r="162" spans="1:7" x14ac:dyDescent="0.2">
      <c r="A162" s="5"/>
      <c r="B162" s="3"/>
      <c r="C162" s="3"/>
      <c r="D162" s="3"/>
      <c r="E162" s="3"/>
      <c r="F162" s="3"/>
      <c r="G162" s="3"/>
    </row>
    <row r="163" spans="1:7" x14ac:dyDescent="0.2">
      <c r="A163" s="5"/>
      <c r="B163" s="3"/>
      <c r="C163" s="3"/>
      <c r="D163" s="3"/>
      <c r="E163" s="3"/>
      <c r="F163" s="3"/>
      <c r="G163" s="3"/>
    </row>
    <row r="164" spans="1:7" x14ac:dyDescent="0.2">
      <c r="A164" s="5"/>
      <c r="B164" s="3"/>
      <c r="C164" s="3"/>
      <c r="D164" s="3"/>
      <c r="E164" s="3"/>
      <c r="F164" s="3"/>
      <c r="G164" s="3"/>
    </row>
    <row r="165" spans="1:7" x14ac:dyDescent="0.2">
      <c r="A165" s="5"/>
      <c r="B165" s="3"/>
      <c r="C165" s="3"/>
      <c r="D165" s="3"/>
      <c r="E165" s="3"/>
      <c r="F165" s="3"/>
      <c r="G165" s="3"/>
    </row>
    <row r="166" spans="1:7" x14ac:dyDescent="0.2">
      <c r="A166" s="5"/>
      <c r="B166" s="3"/>
      <c r="C166" s="3"/>
      <c r="D166" s="3"/>
      <c r="E166" s="3"/>
      <c r="F166" s="3"/>
      <c r="G166" s="3"/>
    </row>
    <row r="167" spans="1:7" x14ac:dyDescent="0.2">
      <c r="A167" s="5"/>
      <c r="B167" s="3"/>
      <c r="C167" s="3"/>
      <c r="D167" s="3"/>
      <c r="E167" s="3"/>
      <c r="F167" s="3"/>
      <c r="G167" s="3"/>
    </row>
    <row r="168" spans="1:7" x14ac:dyDescent="0.2">
      <c r="A168" s="5"/>
      <c r="B168" s="3"/>
      <c r="C168" s="3"/>
      <c r="D168" s="3"/>
      <c r="E168" s="3"/>
      <c r="F168" s="3"/>
      <c r="G168" s="3"/>
    </row>
    <row r="169" spans="1:7" x14ac:dyDescent="0.2">
      <c r="A169" s="5"/>
      <c r="B169" s="3"/>
      <c r="C169" s="3"/>
      <c r="D169" s="3"/>
      <c r="E169" s="3"/>
      <c r="F169" s="3"/>
      <c r="G169" s="3"/>
    </row>
    <row r="170" spans="1:7" x14ac:dyDescent="0.2">
      <c r="A170" s="5"/>
      <c r="B170" s="3"/>
      <c r="C170" s="3"/>
      <c r="D170" s="3"/>
      <c r="E170" s="3"/>
      <c r="F170" s="3"/>
      <c r="G170" s="3"/>
    </row>
    <row r="171" spans="1:7" x14ac:dyDescent="0.2">
      <c r="A171" s="5"/>
      <c r="B171" s="3"/>
      <c r="C171" s="3"/>
      <c r="D171" s="3"/>
      <c r="E171" s="3"/>
      <c r="F171" s="3"/>
      <c r="G171" s="3"/>
    </row>
    <row r="172" spans="1:7" x14ac:dyDescent="0.2">
      <c r="A172" s="5"/>
      <c r="B172" s="3"/>
      <c r="C172" s="3"/>
      <c r="D172" s="3"/>
      <c r="E172" s="3"/>
      <c r="F172" s="3"/>
      <c r="G172" s="3"/>
    </row>
    <row r="173" spans="1:7" x14ac:dyDescent="0.2">
      <c r="A173" s="5"/>
      <c r="B173" s="3"/>
      <c r="C173" s="3"/>
      <c r="D173" s="3"/>
      <c r="E173" s="3"/>
      <c r="F173" s="3"/>
      <c r="G173" s="3"/>
    </row>
    <row r="174" spans="1:7" x14ac:dyDescent="0.2">
      <c r="A174" s="5"/>
      <c r="B174" s="3"/>
      <c r="C174" s="3"/>
      <c r="D174" s="3"/>
      <c r="E174" s="3"/>
      <c r="F174" s="3"/>
      <c r="G174" s="3"/>
    </row>
    <row r="175" spans="1:7" x14ac:dyDescent="0.2">
      <c r="A175" s="5"/>
      <c r="B175" s="3"/>
      <c r="C175" s="3"/>
      <c r="D175" s="3"/>
      <c r="E175" s="3"/>
      <c r="F175" s="3"/>
      <c r="G175" s="3"/>
    </row>
    <row r="176" spans="1:7" x14ac:dyDescent="0.2">
      <c r="A176" s="5"/>
      <c r="B176" s="3"/>
      <c r="C176" s="3"/>
      <c r="D176" s="3"/>
      <c r="E176" s="3"/>
      <c r="F176" s="3"/>
      <c r="G176" s="3"/>
    </row>
    <row r="177" spans="1:7" x14ac:dyDescent="0.2">
      <c r="A177" s="5"/>
      <c r="B177" s="3"/>
      <c r="C177" s="3"/>
      <c r="D177" s="3"/>
      <c r="E177" s="3"/>
      <c r="F177" s="3"/>
      <c r="G177" s="3"/>
    </row>
    <row r="178" spans="1:7" x14ac:dyDescent="0.2">
      <c r="A178" s="5"/>
      <c r="B178" s="3"/>
      <c r="C178" s="3"/>
      <c r="D178" s="3"/>
      <c r="E178" s="3"/>
      <c r="F178" s="3"/>
      <c r="G178" s="3"/>
    </row>
    <row r="179" spans="1:7" x14ac:dyDescent="0.2">
      <c r="A179" s="5"/>
      <c r="B179" s="3"/>
      <c r="C179" s="3"/>
      <c r="D179" s="3"/>
      <c r="E179" s="3"/>
      <c r="F179" s="3"/>
      <c r="G179" s="3"/>
    </row>
    <row r="180" spans="1:7" x14ac:dyDescent="0.2">
      <c r="A180" s="5"/>
      <c r="B180" s="3"/>
      <c r="C180" s="3"/>
      <c r="D180" s="3"/>
      <c r="E180" s="3"/>
      <c r="F180" s="3"/>
      <c r="G180" s="3"/>
    </row>
    <row r="181" spans="1:7" x14ac:dyDescent="0.2">
      <c r="A181" s="5"/>
      <c r="B181" s="3"/>
      <c r="C181" s="3"/>
      <c r="D181" s="3"/>
      <c r="E181" s="3"/>
      <c r="F181" s="3"/>
      <c r="G181" s="3"/>
    </row>
    <row r="182" spans="1:7" x14ac:dyDescent="0.2">
      <c r="A182" s="5"/>
      <c r="B182" s="3"/>
      <c r="C182" s="3"/>
      <c r="D182" s="3"/>
      <c r="E182" s="3"/>
      <c r="F182" s="3"/>
      <c r="G182" s="3"/>
    </row>
    <row r="183" spans="1:7" x14ac:dyDescent="0.2">
      <c r="A183" s="5"/>
      <c r="B183" s="3"/>
      <c r="C183" s="3"/>
      <c r="D183" s="3"/>
      <c r="E183" s="3"/>
      <c r="F183" s="3"/>
      <c r="G183" s="3"/>
    </row>
    <row r="184" spans="1:7" x14ac:dyDescent="0.2">
      <c r="A184" s="5"/>
      <c r="B184" s="3"/>
      <c r="C184" s="3"/>
      <c r="D184" s="3"/>
      <c r="E184" s="3"/>
      <c r="F184" s="3"/>
      <c r="G184" s="3"/>
    </row>
    <row r="185" spans="1:7" x14ac:dyDescent="0.2">
      <c r="A185" s="5"/>
      <c r="B185" s="3"/>
      <c r="C185" s="3"/>
      <c r="D185" s="3"/>
      <c r="E185" s="3"/>
      <c r="F185" s="3"/>
      <c r="G185" s="3"/>
    </row>
    <row r="186" spans="1:7" x14ac:dyDescent="0.2">
      <c r="A186" s="5"/>
      <c r="B186" s="3"/>
      <c r="C186" s="3"/>
      <c r="D186" s="3"/>
      <c r="E186" s="3"/>
      <c r="F186" s="3"/>
      <c r="G186" s="3"/>
    </row>
    <row r="187" spans="1:7" x14ac:dyDescent="0.2">
      <c r="A187" s="5"/>
      <c r="B187" s="3"/>
      <c r="C187" s="3"/>
      <c r="D187" s="3"/>
      <c r="E187" s="3"/>
      <c r="F187" s="3"/>
      <c r="G187" s="3"/>
    </row>
    <row r="188" spans="1:7" x14ac:dyDescent="0.2">
      <c r="A188" s="5"/>
      <c r="B188" s="3"/>
      <c r="C188" s="3"/>
      <c r="D188" s="3"/>
      <c r="E188" s="3"/>
      <c r="F188" s="3"/>
      <c r="G188" s="3"/>
    </row>
    <row r="189" spans="1:7" x14ac:dyDescent="0.2">
      <c r="A189" s="5"/>
      <c r="B189" s="3"/>
      <c r="C189" s="3"/>
      <c r="D189" s="3"/>
      <c r="E189" s="3"/>
      <c r="F189" s="3"/>
      <c r="G189" s="3"/>
    </row>
    <row r="190" spans="1:7" x14ac:dyDescent="0.2">
      <c r="A190" s="5"/>
      <c r="B190" s="3"/>
      <c r="C190" s="3"/>
      <c r="D190" s="3"/>
      <c r="E190" s="3"/>
      <c r="F190" s="3"/>
      <c r="G190" s="3"/>
    </row>
    <row r="191" spans="1:7" x14ac:dyDescent="0.2">
      <c r="A191" s="5"/>
      <c r="B191" s="3"/>
      <c r="C191" s="3"/>
      <c r="D191" s="3"/>
      <c r="E191" s="3"/>
      <c r="F191" s="3"/>
      <c r="G191" s="3"/>
    </row>
    <row r="192" spans="1:7" x14ac:dyDescent="0.2">
      <c r="A192" s="5"/>
      <c r="B192" s="3"/>
      <c r="C192" s="3"/>
      <c r="D192" s="3"/>
      <c r="E192" s="3"/>
      <c r="F192" s="3"/>
      <c r="G192" s="3"/>
    </row>
    <row r="193" spans="1:7" x14ac:dyDescent="0.2">
      <c r="A193" s="5"/>
      <c r="B193" s="3"/>
      <c r="C193" s="3"/>
      <c r="D193" s="3"/>
      <c r="E193" s="3"/>
      <c r="F193" s="3"/>
      <c r="G193" s="3"/>
    </row>
    <row r="194" spans="1:7" x14ac:dyDescent="0.2">
      <c r="A194" s="5"/>
      <c r="B194" s="3"/>
      <c r="C194" s="3"/>
      <c r="D194" s="3"/>
      <c r="E194" s="3"/>
      <c r="F194" s="3"/>
      <c r="G194" s="3"/>
    </row>
    <row r="195" spans="1:7" x14ac:dyDescent="0.2">
      <c r="A195" s="5"/>
      <c r="B195" s="3"/>
      <c r="C195" s="3"/>
      <c r="D195" s="3"/>
      <c r="E195" s="3"/>
      <c r="F195" s="3"/>
      <c r="G195" s="3"/>
    </row>
    <row r="196" spans="1:7" x14ac:dyDescent="0.2">
      <c r="A196" s="5"/>
      <c r="B196" s="3"/>
      <c r="C196" s="3"/>
      <c r="D196" s="3"/>
      <c r="E196" s="3"/>
      <c r="F196" s="3"/>
      <c r="G196" s="3"/>
    </row>
    <row r="197" spans="1:7" x14ac:dyDescent="0.2">
      <c r="A197" s="5"/>
      <c r="B197" s="3"/>
      <c r="C197" s="3"/>
      <c r="D197" s="3"/>
      <c r="E197" s="3"/>
      <c r="F197" s="3"/>
      <c r="G197" s="3"/>
    </row>
    <row r="198" spans="1:7" x14ac:dyDescent="0.2">
      <c r="A198" s="5"/>
      <c r="B198" s="3"/>
      <c r="C198" s="3"/>
      <c r="D198" s="3"/>
      <c r="E198" s="3"/>
      <c r="F198" s="3"/>
      <c r="G198" s="3"/>
    </row>
    <row r="199" spans="1:7" x14ac:dyDescent="0.2">
      <c r="A199" s="5"/>
      <c r="B199" s="3"/>
      <c r="C199" s="3"/>
      <c r="D199" s="3"/>
      <c r="E199" s="3"/>
      <c r="F199" s="3"/>
      <c r="G199" s="3"/>
    </row>
    <row r="200" spans="1:7" x14ac:dyDescent="0.2">
      <c r="A200" s="5"/>
      <c r="B200" s="3"/>
      <c r="C200" s="3"/>
      <c r="D200" s="3"/>
      <c r="E200" s="3"/>
      <c r="F200" s="3"/>
      <c r="G200" s="3"/>
    </row>
    <row r="201" spans="1:7" x14ac:dyDescent="0.2">
      <c r="A201" s="5"/>
      <c r="B201" s="3"/>
      <c r="C201" s="3"/>
      <c r="D201" s="3"/>
      <c r="E201" s="3"/>
      <c r="F201" s="3"/>
      <c r="G201" s="3"/>
    </row>
    <row r="202" spans="1:7" x14ac:dyDescent="0.2">
      <c r="A202" s="5"/>
      <c r="B202" s="3"/>
      <c r="C202" s="3"/>
      <c r="D202" s="3"/>
      <c r="E202" s="3"/>
      <c r="F202" s="3"/>
      <c r="G202" s="3"/>
    </row>
    <row r="203" spans="1:7" x14ac:dyDescent="0.2">
      <c r="A203" s="5"/>
      <c r="B203" s="3"/>
      <c r="C203" s="3"/>
      <c r="D203" s="3"/>
      <c r="E203" s="3"/>
      <c r="F203" s="3"/>
      <c r="G203" s="3"/>
    </row>
    <row r="204" spans="1:7" x14ac:dyDescent="0.2">
      <c r="A204" s="5"/>
      <c r="B204" s="3"/>
      <c r="C204" s="3"/>
      <c r="D204" s="3"/>
      <c r="E204" s="3"/>
      <c r="F204" s="3"/>
      <c r="G204" s="3"/>
    </row>
    <row r="205" spans="1:7" x14ac:dyDescent="0.2">
      <c r="A205" s="5"/>
      <c r="B205" s="3"/>
      <c r="C205" s="3"/>
      <c r="D205" s="3"/>
      <c r="E205" s="3"/>
      <c r="F205" s="3"/>
      <c r="G205" s="3"/>
    </row>
    <row r="206" spans="1:7" x14ac:dyDescent="0.2">
      <c r="A206" s="5"/>
      <c r="B206" s="3"/>
      <c r="C206" s="3"/>
      <c r="D206" s="3"/>
      <c r="E206" s="3"/>
      <c r="F206" s="3"/>
      <c r="G206" s="3"/>
    </row>
    <row r="207" spans="1:7" x14ac:dyDescent="0.2">
      <c r="A207" s="5"/>
      <c r="B207" s="3"/>
      <c r="C207" s="3"/>
      <c r="D207" s="3"/>
      <c r="E207" s="3"/>
      <c r="F207" s="3"/>
      <c r="G207" s="3"/>
    </row>
    <row r="208" spans="1:7" x14ac:dyDescent="0.2">
      <c r="A208" s="5"/>
      <c r="B208" s="3"/>
      <c r="C208" s="3"/>
      <c r="D208" s="3"/>
      <c r="E208" s="3"/>
      <c r="F208" s="3"/>
      <c r="G208" s="3"/>
    </row>
    <row r="209" spans="1:7" x14ac:dyDescent="0.2">
      <c r="A209" s="5"/>
      <c r="B209" s="3"/>
      <c r="C209" s="3"/>
      <c r="D209" s="3"/>
      <c r="E209" s="3"/>
      <c r="F209" s="3"/>
      <c r="G209" s="3"/>
    </row>
    <row r="210" spans="1:7" x14ac:dyDescent="0.2">
      <c r="A210" s="5"/>
      <c r="B210" s="3"/>
      <c r="C210" s="3"/>
      <c r="D210" s="3"/>
      <c r="E210" s="3"/>
      <c r="F210" s="3"/>
      <c r="G210" s="3"/>
    </row>
    <row r="211" spans="1:7" x14ac:dyDescent="0.2">
      <c r="A211" s="5"/>
      <c r="B211" s="3"/>
      <c r="C211" s="3"/>
      <c r="D211" s="3"/>
      <c r="E211" s="3"/>
      <c r="F211" s="3"/>
      <c r="G211" s="3"/>
    </row>
    <row r="212" spans="1:7" x14ac:dyDescent="0.2">
      <c r="A212" s="5"/>
      <c r="B212" s="3"/>
      <c r="C212" s="3"/>
      <c r="D212" s="3"/>
      <c r="E212" s="3"/>
      <c r="F212" s="3"/>
      <c r="G212" s="3"/>
    </row>
    <row r="213" spans="1:7" x14ac:dyDescent="0.2">
      <c r="A213" s="5"/>
      <c r="B213" s="3"/>
      <c r="C213" s="3"/>
      <c r="D213" s="3"/>
      <c r="E213" s="3"/>
      <c r="F213" s="3"/>
      <c r="G213" s="3"/>
    </row>
    <row r="214" spans="1:7" x14ac:dyDescent="0.2">
      <c r="A214" s="5"/>
      <c r="B214" s="3"/>
      <c r="C214" s="3"/>
      <c r="D214" s="3"/>
      <c r="E214" s="3"/>
      <c r="F214" s="3"/>
      <c r="G214" s="3"/>
    </row>
    <row r="215" spans="1:7" x14ac:dyDescent="0.2">
      <c r="A215" s="5"/>
      <c r="B215" s="3"/>
      <c r="C215" s="3"/>
      <c r="D215" s="3"/>
      <c r="E215" s="3"/>
      <c r="F215" s="3"/>
      <c r="G215" s="3"/>
    </row>
    <row r="216" spans="1:7" x14ac:dyDescent="0.2">
      <c r="A216" s="5"/>
      <c r="B216" s="3"/>
      <c r="C216" s="3"/>
      <c r="D216" s="3"/>
      <c r="E216" s="3"/>
      <c r="F216" s="3"/>
      <c r="G216" s="3"/>
    </row>
    <row r="217" spans="1:7" x14ac:dyDescent="0.2">
      <c r="A217" s="5"/>
      <c r="B217" s="3"/>
      <c r="C217" s="3"/>
      <c r="D217" s="3"/>
      <c r="E217" s="3"/>
      <c r="F217" s="3"/>
      <c r="G217" s="3"/>
    </row>
    <row r="218" spans="1:7" x14ac:dyDescent="0.2">
      <c r="A218" s="5"/>
      <c r="B218" s="3"/>
      <c r="C218" s="3"/>
      <c r="D218" s="3"/>
      <c r="E218" s="3"/>
      <c r="F218" s="3"/>
      <c r="G218" s="3"/>
    </row>
    <row r="219" spans="1:7" x14ac:dyDescent="0.2">
      <c r="A219" s="5"/>
      <c r="B219" s="3"/>
      <c r="C219" s="3"/>
      <c r="D219" s="3"/>
      <c r="E219" s="3"/>
      <c r="F219" s="3"/>
      <c r="G219" s="3"/>
    </row>
    <row r="220" spans="1:7" x14ac:dyDescent="0.2">
      <c r="A220" s="5"/>
      <c r="B220" s="3"/>
      <c r="C220" s="3"/>
      <c r="D220" s="3"/>
      <c r="E220" s="3"/>
      <c r="F220" s="3"/>
      <c r="G220" s="3"/>
    </row>
    <row r="221" spans="1:7" x14ac:dyDescent="0.2">
      <c r="A221" s="5"/>
      <c r="B221" s="3"/>
      <c r="C221" s="3"/>
      <c r="D221" s="3"/>
      <c r="E221" s="3"/>
      <c r="F221" s="3"/>
      <c r="G221" s="3"/>
    </row>
    <row r="222" spans="1:7" x14ac:dyDescent="0.2">
      <c r="A222" s="5"/>
      <c r="B222" s="3"/>
      <c r="C222" s="3"/>
      <c r="D222" s="3"/>
      <c r="E222" s="3"/>
      <c r="F222" s="3"/>
      <c r="G222" s="3"/>
    </row>
    <row r="223" spans="1:7" x14ac:dyDescent="0.2">
      <c r="A223" s="5"/>
      <c r="B223" s="3"/>
      <c r="C223" s="3"/>
      <c r="D223" s="3"/>
      <c r="E223" s="3"/>
      <c r="F223" s="3"/>
      <c r="G223" s="3"/>
    </row>
    <row r="224" spans="1:7" x14ac:dyDescent="0.2">
      <c r="A224" s="5"/>
      <c r="B224" s="3"/>
      <c r="C224" s="3"/>
      <c r="D224" s="3"/>
      <c r="E224" s="3"/>
      <c r="F224" s="3"/>
      <c r="G224" s="3"/>
    </row>
    <row r="225" spans="1:7" x14ac:dyDescent="0.2">
      <c r="A225" s="5"/>
      <c r="B225" s="3"/>
      <c r="C225" s="3"/>
      <c r="D225" s="3"/>
      <c r="E225" s="3"/>
      <c r="F225" s="3"/>
      <c r="G225" s="3"/>
    </row>
    <row r="226" spans="1:7" x14ac:dyDescent="0.2">
      <c r="A226" s="5"/>
      <c r="B226" s="3"/>
      <c r="C226" s="3"/>
      <c r="D226" s="3"/>
      <c r="E226" s="3"/>
      <c r="F226" s="3"/>
      <c r="G226" s="3"/>
    </row>
    <row r="227" spans="1:7" x14ac:dyDescent="0.2">
      <c r="A227" s="5"/>
      <c r="B227" s="3"/>
      <c r="C227" s="3"/>
      <c r="D227" s="3"/>
      <c r="E227" s="3"/>
      <c r="F227" s="3"/>
      <c r="G227" s="3"/>
    </row>
    <row r="228" spans="1:7" x14ac:dyDescent="0.2">
      <c r="A228" s="5"/>
      <c r="B228" s="3"/>
      <c r="C228" s="3"/>
      <c r="D228" s="3"/>
      <c r="E228" s="3"/>
      <c r="F228" s="3"/>
      <c r="G228" s="3"/>
    </row>
    <row r="229" spans="1:7" x14ac:dyDescent="0.2">
      <c r="A229" s="5"/>
      <c r="B229" s="3"/>
      <c r="C229" s="3"/>
      <c r="D229" s="3"/>
      <c r="E229" s="3"/>
      <c r="F229" s="3"/>
      <c r="G229" s="3"/>
    </row>
    <row r="230" spans="1:7" x14ac:dyDescent="0.2">
      <c r="A230" s="5"/>
      <c r="B230" s="3"/>
      <c r="C230" s="3"/>
      <c r="D230" s="3"/>
      <c r="E230" s="3"/>
      <c r="F230" s="3"/>
      <c r="G230" s="3"/>
    </row>
    <row r="231" spans="1:7" x14ac:dyDescent="0.2">
      <c r="A231" s="5"/>
      <c r="B231" s="3"/>
      <c r="C231" s="3"/>
      <c r="D231" s="3"/>
      <c r="E231" s="3"/>
      <c r="F231" s="3"/>
      <c r="G231" s="3"/>
    </row>
    <row r="232" spans="1:7" x14ac:dyDescent="0.2">
      <c r="A232" s="5"/>
      <c r="B232" s="3"/>
      <c r="C232" s="3"/>
      <c r="D232" s="3"/>
      <c r="E232" s="3"/>
      <c r="F232" s="3"/>
      <c r="G232" s="3"/>
    </row>
    <row r="233" spans="1:7" x14ac:dyDescent="0.2">
      <c r="A233" s="5"/>
      <c r="B233" s="3"/>
      <c r="C233" s="3"/>
      <c r="D233" s="3"/>
      <c r="E233" s="3"/>
      <c r="F233" s="3"/>
      <c r="G233" s="3"/>
    </row>
    <row r="234" spans="1:7" x14ac:dyDescent="0.2">
      <c r="A234" s="5"/>
      <c r="B234" s="3"/>
      <c r="C234" s="3"/>
      <c r="D234" s="3"/>
      <c r="E234" s="3"/>
      <c r="F234" s="3"/>
      <c r="G234" s="3"/>
    </row>
    <row r="235" spans="1:7" x14ac:dyDescent="0.2">
      <c r="A235" s="5"/>
      <c r="B235" s="3"/>
      <c r="C235" s="3"/>
      <c r="D235" s="3"/>
      <c r="E235" s="3"/>
      <c r="F235" s="3"/>
      <c r="G235" s="3"/>
    </row>
    <row r="236" spans="1:7" x14ac:dyDescent="0.2">
      <c r="A236" s="5"/>
      <c r="B236" s="3"/>
      <c r="C236" s="3"/>
      <c r="D236" s="3"/>
      <c r="E236" s="3"/>
      <c r="F236" s="3"/>
      <c r="G236" s="3"/>
    </row>
    <row r="237" spans="1:7" x14ac:dyDescent="0.2">
      <c r="A237" s="5"/>
      <c r="B237" s="3"/>
      <c r="C237" s="3"/>
      <c r="D237" s="3"/>
      <c r="E237" s="3"/>
      <c r="F237" s="3"/>
      <c r="G237" s="3"/>
    </row>
    <row r="238" spans="1:7" x14ac:dyDescent="0.2">
      <c r="A238" s="5"/>
      <c r="B238" s="3"/>
      <c r="C238" s="3"/>
      <c r="D238" s="3"/>
      <c r="E238" s="3"/>
      <c r="F238" s="3"/>
      <c r="G238" s="3"/>
    </row>
    <row r="239" spans="1:7" x14ac:dyDescent="0.2">
      <c r="A239" s="5"/>
      <c r="B239" s="3"/>
      <c r="C239" s="3"/>
      <c r="D239" s="3"/>
      <c r="E239" s="3"/>
      <c r="F239" s="3"/>
      <c r="G239" s="3"/>
    </row>
    <row r="240" spans="1:7" x14ac:dyDescent="0.2">
      <c r="A240" s="5"/>
      <c r="B240" s="3"/>
      <c r="C240" s="3"/>
      <c r="D240" s="3"/>
      <c r="E240" s="3"/>
      <c r="F240" s="3"/>
      <c r="G240" s="3"/>
    </row>
    <row r="241" spans="1:7" x14ac:dyDescent="0.2">
      <c r="A241" s="5"/>
      <c r="B241" s="3"/>
      <c r="C241" s="3"/>
      <c r="D241" s="3"/>
      <c r="E241" s="3"/>
      <c r="F241" s="3"/>
      <c r="G241" s="3"/>
    </row>
    <row r="242" spans="1:7" x14ac:dyDescent="0.2">
      <c r="A242" s="5"/>
      <c r="B242" s="3"/>
      <c r="C242" s="3"/>
      <c r="D242" s="3"/>
      <c r="E242" s="3"/>
      <c r="F242" s="3"/>
      <c r="G242" s="3"/>
    </row>
    <row r="243" spans="1:7" x14ac:dyDescent="0.2">
      <c r="A243" s="5"/>
      <c r="B243" s="3"/>
      <c r="C243" s="3"/>
      <c r="D243" s="3"/>
      <c r="E243" s="3"/>
      <c r="F243" s="3"/>
      <c r="G243" s="3"/>
    </row>
    <row r="244" spans="1:7" x14ac:dyDescent="0.2">
      <c r="A244" s="5"/>
      <c r="B244" s="3"/>
      <c r="C244" s="3"/>
      <c r="D244" s="3"/>
      <c r="E244" s="3"/>
      <c r="F244" s="3"/>
      <c r="G244" s="3"/>
    </row>
    <row r="245" spans="1:7" x14ac:dyDescent="0.2">
      <c r="A245" s="5"/>
      <c r="B245" s="3"/>
      <c r="C245" s="3"/>
      <c r="D245" s="3"/>
      <c r="E245" s="3"/>
      <c r="F245" s="3"/>
      <c r="G245" s="3"/>
    </row>
    <row r="246" spans="1:7" x14ac:dyDescent="0.2">
      <c r="A246" s="5"/>
      <c r="B246" s="3"/>
      <c r="C246" s="3"/>
      <c r="D246" s="3"/>
      <c r="E246" s="3"/>
      <c r="F246" s="3"/>
      <c r="G246" s="3"/>
    </row>
    <row r="247" spans="1:7" x14ac:dyDescent="0.2">
      <c r="A247" s="5"/>
      <c r="B247" s="3"/>
      <c r="C247" s="3"/>
      <c r="D247" s="3"/>
      <c r="E247" s="3"/>
      <c r="F247" s="3"/>
      <c r="G247" s="3"/>
    </row>
    <row r="248" spans="1:7" x14ac:dyDescent="0.2">
      <c r="A248" s="5"/>
      <c r="B248" s="3"/>
      <c r="C248" s="3"/>
      <c r="D248" s="3"/>
      <c r="E248" s="3"/>
      <c r="F248" s="3"/>
      <c r="G248" s="3"/>
    </row>
    <row r="249" spans="1:7" x14ac:dyDescent="0.2">
      <c r="A249" s="5"/>
      <c r="B249" s="3"/>
      <c r="C249" s="3"/>
      <c r="D249" s="3"/>
      <c r="E249" s="3"/>
      <c r="F249" s="3"/>
      <c r="G249" s="3"/>
    </row>
    <row r="250" spans="1:7" x14ac:dyDescent="0.2">
      <c r="A250" s="5"/>
      <c r="B250" s="3"/>
      <c r="C250" s="3"/>
      <c r="D250" s="3"/>
      <c r="E250" s="3"/>
      <c r="F250" s="3"/>
      <c r="G250" s="3"/>
    </row>
    <row r="251" spans="1:7" x14ac:dyDescent="0.2">
      <c r="A251" s="5"/>
      <c r="B251" s="3"/>
      <c r="C251" s="3"/>
      <c r="D251" s="3"/>
      <c r="E251" s="3"/>
      <c r="F251" s="3"/>
      <c r="G251" s="3"/>
    </row>
    <row r="252" spans="1:7" x14ac:dyDescent="0.2">
      <c r="A252" s="5"/>
      <c r="B252" s="3"/>
      <c r="C252" s="3"/>
      <c r="D252" s="3"/>
      <c r="E252" s="3"/>
      <c r="F252" s="3"/>
      <c r="G252" s="3"/>
    </row>
    <row r="253" spans="1:7" x14ac:dyDescent="0.2">
      <c r="A253" s="5"/>
      <c r="B253" s="3"/>
      <c r="C253" s="3"/>
      <c r="D253" s="3"/>
      <c r="E253" s="3"/>
      <c r="F253" s="3"/>
      <c r="G253" s="3"/>
    </row>
    <row r="254" spans="1:7" x14ac:dyDescent="0.2">
      <c r="A254" s="5"/>
      <c r="B254" s="3"/>
      <c r="C254" s="3"/>
      <c r="D254" s="3"/>
      <c r="E254" s="3"/>
      <c r="F254" s="3"/>
      <c r="G254" s="3"/>
    </row>
    <row r="255" spans="1:7" x14ac:dyDescent="0.2">
      <c r="A255" s="5"/>
      <c r="B255" s="3"/>
      <c r="C255" s="3"/>
      <c r="D255" s="3"/>
      <c r="E255" s="3"/>
      <c r="F255" s="3"/>
      <c r="G255" s="3"/>
    </row>
    <row r="256" spans="1:7" x14ac:dyDescent="0.2">
      <c r="A256" s="5"/>
      <c r="B256" s="3"/>
      <c r="C256" s="3"/>
      <c r="D256" s="3"/>
      <c r="E256" s="3"/>
      <c r="F256" s="3"/>
      <c r="G256" s="3"/>
    </row>
    <row r="257" spans="1:7" x14ac:dyDescent="0.2">
      <c r="A257" s="5"/>
      <c r="B257" s="3"/>
      <c r="C257" s="3"/>
      <c r="D257" s="3"/>
      <c r="E257" s="3"/>
      <c r="F257" s="3"/>
      <c r="G257" s="3"/>
    </row>
    <row r="258" spans="1:7" x14ac:dyDescent="0.2">
      <c r="A258" s="5"/>
      <c r="B258" s="3"/>
      <c r="C258" s="3"/>
      <c r="D258" s="3"/>
      <c r="E258" s="3"/>
      <c r="F258" s="3"/>
      <c r="G258" s="3"/>
    </row>
    <row r="259" spans="1:7" x14ac:dyDescent="0.2">
      <c r="A259" s="5"/>
      <c r="B259" s="3"/>
      <c r="C259" s="3"/>
      <c r="D259" s="3"/>
      <c r="E259" s="3"/>
      <c r="F259" s="3"/>
      <c r="G259" s="3"/>
    </row>
    <row r="260" spans="1:7" x14ac:dyDescent="0.2">
      <c r="A260" s="5"/>
      <c r="B260" s="3"/>
      <c r="C260" s="3"/>
      <c r="D260" s="3"/>
      <c r="E260" s="3"/>
      <c r="F260" s="3"/>
      <c r="G260" s="3"/>
    </row>
    <row r="261" spans="1:7" x14ac:dyDescent="0.2">
      <c r="A261" s="5"/>
      <c r="B261" s="3"/>
      <c r="C261" s="3"/>
      <c r="D261" s="3"/>
      <c r="E261" s="3"/>
      <c r="F261" s="3"/>
      <c r="G261" s="3"/>
    </row>
    <row r="262" spans="1:7" x14ac:dyDescent="0.2">
      <c r="A262" s="5"/>
      <c r="B262" s="3"/>
      <c r="C262" s="3"/>
      <c r="D262" s="3"/>
      <c r="E262" s="3"/>
      <c r="F262" s="3"/>
      <c r="G262" s="3"/>
    </row>
    <row r="263" spans="1:7" x14ac:dyDescent="0.2">
      <c r="A263" s="5"/>
      <c r="B263" s="3"/>
      <c r="C263" s="3"/>
      <c r="D263" s="3"/>
      <c r="E263" s="3"/>
      <c r="F263" s="3"/>
      <c r="G263" s="3"/>
    </row>
    <row r="264" spans="1:7" x14ac:dyDescent="0.2">
      <c r="A264" s="5"/>
      <c r="B264" s="3"/>
      <c r="C264" s="3"/>
      <c r="D264" s="3"/>
      <c r="E264" s="3"/>
      <c r="F264" s="3"/>
      <c r="G264" s="3"/>
    </row>
    <row r="265" spans="1:7" x14ac:dyDescent="0.2">
      <c r="A265" s="5"/>
      <c r="B265" s="3"/>
      <c r="C265" s="3"/>
      <c r="D265" s="3"/>
      <c r="E265" s="3"/>
      <c r="F265" s="3"/>
      <c r="G265" s="3"/>
    </row>
    <row r="266" spans="1:7" x14ac:dyDescent="0.2">
      <c r="A266" s="5"/>
      <c r="B266" s="3"/>
      <c r="C266" s="3"/>
      <c r="D266" s="3"/>
      <c r="E266" s="3"/>
      <c r="F266" s="3"/>
      <c r="G266" s="3"/>
    </row>
    <row r="267" spans="1:7" x14ac:dyDescent="0.2">
      <c r="A267" s="5"/>
      <c r="B267" s="3"/>
      <c r="C267" s="3"/>
      <c r="D267" s="3"/>
      <c r="E267" s="3"/>
      <c r="F267" s="3"/>
      <c r="G267" s="3"/>
    </row>
    <row r="268" spans="1:7" x14ac:dyDescent="0.2">
      <c r="A268" s="5"/>
      <c r="B268" s="3"/>
      <c r="C268" s="3"/>
      <c r="D268" s="3"/>
      <c r="E268" s="3"/>
      <c r="F268" s="3"/>
      <c r="G268" s="3"/>
    </row>
    <row r="269" spans="1:7" x14ac:dyDescent="0.2">
      <c r="A269" s="5"/>
      <c r="B269" s="3"/>
      <c r="C269" s="3"/>
      <c r="D269" s="3"/>
      <c r="E269" s="3"/>
      <c r="F269" s="3"/>
      <c r="G269" s="3"/>
    </row>
    <row r="270" spans="1:7" x14ac:dyDescent="0.2">
      <c r="A270" s="5"/>
      <c r="B270" s="3"/>
      <c r="C270" s="3"/>
      <c r="D270" s="3"/>
      <c r="E270" s="3"/>
      <c r="F270" s="3"/>
      <c r="G270" s="3"/>
    </row>
    <row r="271" spans="1:7" x14ac:dyDescent="0.2">
      <c r="A271" s="5"/>
      <c r="B271" s="3"/>
      <c r="C271" s="3"/>
      <c r="D271" s="3"/>
      <c r="E271" s="3"/>
      <c r="F271" s="3"/>
      <c r="G271" s="3"/>
    </row>
    <row r="272" spans="1:7" x14ac:dyDescent="0.2">
      <c r="A272" s="5"/>
      <c r="B272" s="3"/>
      <c r="C272" s="3"/>
      <c r="D272" s="3"/>
      <c r="E272" s="3"/>
      <c r="F272" s="3"/>
      <c r="G272" s="3"/>
    </row>
    <row r="273" spans="1:7" x14ac:dyDescent="0.2">
      <c r="A273" s="5"/>
      <c r="B273" s="3"/>
      <c r="C273" s="3"/>
      <c r="D273" s="3"/>
      <c r="E273" s="3"/>
      <c r="F273" s="3"/>
      <c r="G273" s="3"/>
    </row>
    <row r="274" spans="1:7" x14ac:dyDescent="0.2">
      <c r="A274" s="5"/>
      <c r="B274" s="3"/>
      <c r="C274" s="3"/>
      <c r="D274" s="3"/>
      <c r="E274" s="3"/>
      <c r="F274" s="3"/>
      <c r="G274" s="3"/>
    </row>
    <row r="275" spans="1:7" x14ac:dyDescent="0.2">
      <c r="A275" s="5"/>
      <c r="B275" s="3"/>
      <c r="C275" s="3"/>
      <c r="D275" s="3"/>
      <c r="E275" s="3"/>
      <c r="F275" s="3"/>
      <c r="G275" s="3"/>
    </row>
    <row r="276" spans="1:7" x14ac:dyDescent="0.2">
      <c r="A276" s="5"/>
      <c r="B276" s="3"/>
      <c r="C276" s="3"/>
      <c r="D276" s="3"/>
      <c r="E276" s="3"/>
      <c r="F276" s="3"/>
      <c r="G276" s="3"/>
    </row>
    <row r="277" spans="1:7" x14ac:dyDescent="0.2">
      <c r="A277" s="5"/>
      <c r="B277" s="3"/>
      <c r="C277" s="3"/>
      <c r="D277" s="3"/>
      <c r="E277" s="3"/>
      <c r="F277" s="3"/>
      <c r="G277" s="3"/>
    </row>
    <row r="278" spans="1:7" x14ac:dyDescent="0.2">
      <c r="A278" s="5"/>
      <c r="B278" s="3"/>
      <c r="C278" s="3"/>
      <c r="D278" s="3"/>
      <c r="E278" s="3"/>
      <c r="F278" s="3"/>
      <c r="G278" s="3"/>
    </row>
    <row r="279" spans="1:7" x14ac:dyDescent="0.2">
      <c r="A279" s="5"/>
      <c r="B279" s="3"/>
      <c r="C279" s="3"/>
      <c r="D279" s="3"/>
      <c r="E279" s="3"/>
      <c r="F279" s="3"/>
      <c r="G279" s="3"/>
    </row>
    <row r="280" spans="1:7" x14ac:dyDescent="0.2">
      <c r="A280" s="5"/>
      <c r="B280" s="3"/>
      <c r="C280" s="3"/>
      <c r="D280" s="3"/>
      <c r="E280" s="3"/>
      <c r="F280" s="3"/>
      <c r="G280" s="3"/>
    </row>
    <row r="281" spans="1:7" x14ac:dyDescent="0.2">
      <c r="A281" s="5"/>
      <c r="B281" s="3"/>
      <c r="C281" s="3"/>
      <c r="D281" s="3"/>
      <c r="E281" s="3"/>
      <c r="F281" s="3"/>
      <c r="G281" s="3"/>
    </row>
    <row r="282" spans="1:7" x14ac:dyDescent="0.2">
      <c r="A282" s="5"/>
      <c r="B282" s="3"/>
      <c r="C282" s="3"/>
      <c r="D282" s="3"/>
      <c r="E282" s="3"/>
      <c r="F282" s="3"/>
      <c r="G282" s="3"/>
    </row>
    <row r="283" spans="1:7" x14ac:dyDescent="0.2">
      <c r="A283" s="5"/>
      <c r="B283" s="3"/>
      <c r="C283" s="3"/>
      <c r="D283" s="3"/>
      <c r="E283" s="3"/>
      <c r="F283" s="3"/>
      <c r="G283" s="3"/>
    </row>
    <row r="284" spans="1:7" x14ac:dyDescent="0.2">
      <c r="A284" s="5"/>
      <c r="B284" s="3"/>
      <c r="C284" s="3"/>
      <c r="D284" s="3"/>
      <c r="E284" s="3"/>
      <c r="F284" s="3"/>
      <c r="G284" s="3"/>
    </row>
    <row r="285" spans="1:7" x14ac:dyDescent="0.2">
      <c r="A285" s="5"/>
      <c r="B285" s="3"/>
      <c r="C285" s="3"/>
      <c r="D285" s="3"/>
      <c r="E285" s="3"/>
      <c r="F285" s="3"/>
      <c r="G285" s="3"/>
    </row>
    <row r="286" spans="1:7" x14ac:dyDescent="0.2">
      <c r="A286" s="5"/>
      <c r="B286" s="3"/>
      <c r="C286" s="3"/>
      <c r="D286" s="3"/>
      <c r="E286" s="3"/>
      <c r="F286" s="3"/>
      <c r="G286" s="3"/>
    </row>
    <row r="287" spans="1:7" x14ac:dyDescent="0.2">
      <c r="A287" s="5"/>
      <c r="B287" s="3"/>
      <c r="C287" s="3"/>
      <c r="D287" s="3"/>
      <c r="E287" s="3"/>
      <c r="F287" s="3"/>
      <c r="G287" s="3"/>
    </row>
    <row r="288" spans="1:7" x14ac:dyDescent="0.2">
      <c r="A288" s="5"/>
      <c r="B288" s="3"/>
      <c r="C288" s="3"/>
      <c r="D288" s="3"/>
      <c r="E288" s="3"/>
      <c r="F288" s="3"/>
      <c r="G288" s="3"/>
    </row>
    <row r="289" spans="1:7" x14ac:dyDescent="0.2">
      <c r="A289" s="5"/>
      <c r="B289" s="3"/>
      <c r="C289" s="3"/>
      <c r="D289" s="3"/>
      <c r="E289" s="3"/>
      <c r="F289" s="3"/>
      <c r="G289" s="3"/>
    </row>
    <row r="290" spans="1:7" x14ac:dyDescent="0.2">
      <c r="A290" s="5"/>
      <c r="B290" s="3"/>
      <c r="C290" s="3"/>
      <c r="D290" s="3"/>
      <c r="E290" s="3"/>
      <c r="F290" s="3"/>
      <c r="G290" s="3"/>
    </row>
    <row r="291" spans="1:7" x14ac:dyDescent="0.2">
      <c r="A291" s="5"/>
      <c r="B291" s="3"/>
      <c r="C291" s="3"/>
      <c r="D291" s="3"/>
      <c r="E291" s="3"/>
      <c r="F291" s="3"/>
      <c r="G291" s="3"/>
    </row>
    <row r="292" spans="1:7" x14ac:dyDescent="0.2">
      <c r="A292" s="5"/>
      <c r="B292" s="3"/>
      <c r="C292" s="3"/>
      <c r="D292" s="3"/>
      <c r="E292" s="3"/>
      <c r="F292" s="3"/>
      <c r="G292" s="3"/>
    </row>
    <row r="293" spans="1:7" x14ac:dyDescent="0.2">
      <c r="A293" s="5"/>
      <c r="B293" s="3"/>
      <c r="C293" s="3"/>
      <c r="D293" s="3"/>
      <c r="E293" s="3"/>
      <c r="F293" s="3"/>
      <c r="G293" s="3"/>
    </row>
    <row r="294" spans="1:7" x14ac:dyDescent="0.2">
      <c r="A294" s="5"/>
      <c r="B294" s="3"/>
      <c r="C294" s="3"/>
      <c r="D294" s="3"/>
      <c r="E294" s="3"/>
      <c r="F294" s="3"/>
      <c r="G294" s="3"/>
    </row>
    <row r="295" spans="1:7" x14ac:dyDescent="0.2">
      <c r="A295" s="5"/>
      <c r="B295" s="3"/>
      <c r="C295" s="3"/>
      <c r="D295" s="3"/>
      <c r="E295" s="3"/>
      <c r="F295" s="3"/>
      <c r="G295" s="3"/>
    </row>
    <row r="296" spans="1:7" x14ac:dyDescent="0.2">
      <c r="A296" s="5"/>
      <c r="B296" s="3"/>
      <c r="C296" s="3"/>
      <c r="D296" s="3"/>
      <c r="E296" s="3"/>
      <c r="F296" s="3"/>
      <c r="G296" s="3"/>
    </row>
    <row r="297" spans="1:7" x14ac:dyDescent="0.2">
      <c r="A297" s="5"/>
      <c r="B297" s="3"/>
      <c r="C297" s="3"/>
      <c r="D297" s="3"/>
      <c r="E297" s="3"/>
      <c r="F297" s="3"/>
      <c r="G297" s="3"/>
    </row>
    <row r="298" spans="1:7" x14ac:dyDescent="0.2">
      <c r="A298" s="5"/>
      <c r="B298" s="3"/>
      <c r="C298" s="3"/>
      <c r="D298" s="3"/>
      <c r="E298" s="3"/>
      <c r="F298" s="3"/>
      <c r="G298" s="3"/>
    </row>
    <row r="299" spans="1:7" x14ac:dyDescent="0.2">
      <c r="A299" s="5"/>
      <c r="B299" s="3"/>
      <c r="C299" s="3"/>
      <c r="D299" s="3"/>
      <c r="E299" s="3"/>
      <c r="F299" s="3"/>
      <c r="G299" s="3"/>
    </row>
    <row r="300" spans="1:7" x14ac:dyDescent="0.2">
      <c r="A300" s="5"/>
      <c r="B300" s="3"/>
      <c r="C300" s="3"/>
      <c r="D300" s="3"/>
      <c r="E300" s="3"/>
      <c r="F300" s="3"/>
      <c r="G300" s="3"/>
    </row>
    <row r="301" spans="1:7" x14ac:dyDescent="0.2">
      <c r="A301" s="5"/>
      <c r="B301" s="3"/>
      <c r="C301" s="3"/>
      <c r="D301" s="3"/>
      <c r="E301" s="3"/>
      <c r="F301" s="3"/>
      <c r="G301" s="3"/>
    </row>
    <row r="302" spans="1:7" x14ac:dyDescent="0.2">
      <c r="A302" s="5"/>
      <c r="B302" s="3"/>
      <c r="C302" s="3"/>
      <c r="D302" s="3"/>
      <c r="E302" s="3"/>
      <c r="F302" s="3"/>
      <c r="G302" s="3"/>
    </row>
    <row r="303" spans="1:7" x14ac:dyDescent="0.2">
      <c r="A303" s="5"/>
      <c r="B303" s="3"/>
      <c r="C303" s="3"/>
      <c r="D303" s="3"/>
      <c r="E303" s="3"/>
      <c r="F303" s="3"/>
      <c r="G303" s="3"/>
    </row>
    <row r="304" spans="1:7" x14ac:dyDescent="0.2">
      <c r="A304" s="5"/>
      <c r="B304" s="3"/>
      <c r="C304" s="3"/>
      <c r="D304" s="3"/>
      <c r="E304" s="3"/>
      <c r="F304" s="3"/>
      <c r="G304" s="3"/>
    </row>
    <row r="305" spans="1:7" x14ac:dyDescent="0.2">
      <c r="A305" s="5"/>
      <c r="B305" s="3"/>
      <c r="C305" s="3"/>
      <c r="D305" s="3"/>
      <c r="E305" s="3"/>
      <c r="F305" s="3"/>
      <c r="G305" s="3"/>
    </row>
    <row r="306" spans="1:7" x14ac:dyDescent="0.2">
      <c r="A306" s="5"/>
      <c r="B306" s="3"/>
      <c r="C306" s="3"/>
      <c r="D306" s="3"/>
      <c r="E306" s="3"/>
      <c r="F306" s="3"/>
      <c r="G306" s="3"/>
    </row>
    <row r="307" spans="1:7" x14ac:dyDescent="0.2">
      <c r="A307" s="5"/>
      <c r="B307" s="3"/>
      <c r="C307" s="3"/>
      <c r="D307" s="3"/>
      <c r="E307" s="3"/>
      <c r="F307" s="3"/>
      <c r="G307" s="3"/>
    </row>
    <row r="308" spans="1:7" x14ac:dyDescent="0.2">
      <c r="A308" s="5"/>
      <c r="B308" s="3"/>
      <c r="C308" s="3"/>
      <c r="D308" s="3"/>
      <c r="E308" s="3"/>
      <c r="F308" s="3"/>
      <c r="G308" s="3"/>
    </row>
    <row r="309" spans="1:7" x14ac:dyDescent="0.2">
      <c r="A309" s="5"/>
      <c r="B309" s="3"/>
      <c r="C309" s="3"/>
      <c r="D309" s="3"/>
      <c r="E309" s="3"/>
      <c r="F309" s="3"/>
      <c r="G309" s="3"/>
    </row>
    <row r="310" spans="1:7" x14ac:dyDescent="0.2">
      <c r="A310" s="5"/>
      <c r="B310" s="3"/>
      <c r="C310" s="3"/>
      <c r="D310" s="3"/>
      <c r="E310" s="3"/>
      <c r="F310" s="3"/>
      <c r="G310" s="3"/>
    </row>
    <row r="311" spans="1:7" x14ac:dyDescent="0.2">
      <c r="A311" s="5"/>
      <c r="B311" s="3"/>
      <c r="C311" s="3"/>
      <c r="D311" s="3"/>
      <c r="E311" s="3"/>
      <c r="F311" s="3"/>
      <c r="G311" s="3"/>
    </row>
    <row r="312" spans="1:7" x14ac:dyDescent="0.2">
      <c r="A312" s="5"/>
      <c r="B312" s="3"/>
      <c r="C312" s="3"/>
      <c r="D312" s="3"/>
      <c r="E312" s="3"/>
      <c r="F312" s="3"/>
      <c r="G312" s="3"/>
    </row>
    <row r="313" spans="1:7" x14ac:dyDescent="0.2">
      <c r="A313" s="5"/>
      <c r="B313" s="3"/>
      <c r="C313" s="3"/>
      <c r="D313" s="3"/>
      <c r="E313" s="3"/>
      <c r="F313" s="3"/>
      <c r="G313" s="3"/>
    </row>
    <row r="314" spans="1:7" x14ac:dyDescent="0.2">
      <c r="A314" s="5"/>
      <c r="B314" s="3"/>
      <c r="C314" s="3"/>
      <c r="D314" s="3"/>
      <c r="E314" s="3"/>
      <c r="F314" s="3"/>
      <c r="G314" s="3"/>
    </row>
    <row r="315" spans="1:7" x14ac:dyDescent="0.2">
      <c r="A315" s="5"/>
      <c r="B315" s="3"/>
      <c r="C315" s="3"/>
      <c r="D315" s="3"/>
      <c r="E315" s="3"/>
      <c r="F315" s="3"/>
      <c r="G315" s="3"/>
    </row>
    <row r="316" spans="1:7" x14ac:dyDescent="0.2">
      <c r="A316" s="5"/>
      <c r="B316" s="3"/>
      <c r="C316" s="3"/>
      <c r="D316" s="3"/>
      <c r="E316" s="3"/>
      <c r="F316" s="3"/>
      <c r="G316" s="3"/>
    </row>
    <row r="317" spans="1:7" x14ac:dyDescent="0.2">
      <c r="A317" s="5"/>
      <c r="B317" s="3"/>
      <c r="C317" s="3"/>
      <c r="D317" s="3"/>
      <c r="E317" s="3"/>
      <c r="F317" s="3"/>
      <c r="G317" s="3"/>
    </row>
    <row r="318" spans="1:7" x14ac:dyDescent="0.2">
      <c r="A318" s="5"/>
      <c r="B318" s="3"/>
      <c r="C318" s="3"/>
      <c r="D318" s="3"/>
      <c r="E318" s="3"/>
      <c r="F318" s="3"/>
      <c r="G318" s="3"/>
    </row>
    <row r="319" spans="1:7" x14ac:dyDescent="0.2">
      <c r="A319" s="5"/>
      <c r="B319" s="3"/>
      <c r="C319" s="3"/>
      <c r="D319" s="3"/>
      <c r="E319" s="3"/>
      <c r="F319" s="3"/>
      <c r="G319" s="3"/>
    </row>
    <row r="320" spans="1:7" x14ac:dyDescent="0.2">
      <c r="A320" s="5"/>
      <c r="B320" s="3"/>
      <c r="C320" s="3"/>
      <c r="D320" s="3"/>
      <c r="E320" s="3"/>
      <c r="F320" s="3"/>
      <c r="G320" s="3"/>
    </row>
    <row r="321" spans="1:7" x14ac:dyDescent="0.2">
      <c r="A321" s="5"/>
      <c r="B321" s="3"/>
      <c r="C321" s="3"/>
      <c r="D321" s="3"/>
      <c r="E321" s="3"/>
      <c r="F321" s="3"/>
      <c r="G321" s="3"/>
    </row>
    <row r="322" spans="1:7" x14ac:dyDescent="0.2">
      <c r="A322" s="5"/>
      <c r="B322" s="3"/>
      <c r="C322" s="3"/>
      <c r="D322" s="3"/>
      <c r="E322" s="3"/>
      <c r="F322" s="3"/>
      <c r="G322" s="3"/>
    </row>
    <row r="323" spans="1:7" x14ac:dyDescent="0.2">
      <c r="A323" s="5"/>
      <c r="B323" s="3"/>
      <c r="C323" s="3"/>
      <c r="D323" s="3"/>
      <c r="E323" s="3"/>
      <c r="F323" s="3"/>
      <c r="G323" s="3"/>
    </row>
    <row r="324" spans="1:7" x14ac:dyDescent="0.2">
      <c r="A324" s="5"/>
      <c r="B324" s="3"/>
      <c r="C324" s="3"/>
      <c r="D324" s="3"/>
      <c r="E324" s="3"/>
      <c r="F324" s="3"/>
      <c r="G324" s="3"/>
    </row>
    <row r="325" spans="1:7" x14ac:dyDescent="0.2">
      <c r="A325" s="5"/>
      <c r="B325" s="3"/>
      <c r="C325" s="3"/>
      <c r="D325" s="3"/>
      <c r="E325" s="3"/>
      <c r="F325" s="3"/>
      <c r="G325" s="3"/>
    </row>
    <row r="326" spans="1:7" x14ac:dyDescent="0.2">
      <c r="A326" s="5"/>
      <c r="B326" s="3"/>
      <c r="C326" s="3"/>
      <c r="D326" s="3"/>
      <c r="E326" s="3"/>
      <c r="F326" s="3"/>
      <c r="G326" s="3"/>
    </row>
    <row r="327" spans="1:7" x14ac:dyDescent="0.2">
      <c r="A327" s="5"/>
      <c r="B327" s="3"/>
      <c r="C327" s="3"/>
      <c r="D327" s="3"/>
      <c r="E327" s="3"/>
      <c r="F327" s="3"/>
      <c r="G327" s="3"/>
    </row>
    <row r="328" spans="1:7" x14ac:dyDescent="0.2">
      <c r="A328" s="5"/>
      <c r="B328" s="3"/>
      <c r="C328" s="3"/>
      <c r="D328" s="3"/>
      <c r="E328" s="3"/>
      <c r="F328" s="3"/>
      <c r="G328" s="3"/>
    </row>
    <row r="329" spans="1:7" x14ac:dyDescent="0.2">
      <c r="A329" s="5"/>
      <c r="B329" s="3"/>
      <c r="C329" s="3"/>
      <c r="D329" s="3"/>
      <c r="E329" s="3"/>
      <c r="F329" s="3"/>
      <c r="G329" s="3"/>
    </row>
    <row r="330" spans="1:7" x14ac:dyDescent="0.2">
      <c r="A330" s="5"/>
      <c r="B330" s="3"/>
      <c r="C330" s="3"/>
      <c r="D330" s="3"/>
      <c r="E330" s="3"/>
      <c r="F330" s="3"/>
      <c r="G330" s="3"/>
    </row>
    <row r="331" spans="1:7" x14ac:dyDescent="0.2">
      <c r="A331" s="5"/>
      <c r="B331" s="3"/>
      <c r="C331" s="3"/>
      <c r="D331" s="3"/>
      <c r="E331" s="3"/>
      <c r="F331" s="3"/>
      <c r="G331" s="3"/>
    </row>
    <row r="332" spans="1:7" x14ac:dyDescent="0.2">
      <c r="A332" s="5"/>
      <c r="B332" s="3"/>
      <c r="C332" s="3"/>
      <c r="D332" s="3"/>
      <c r="E332" s="3"/>
      <c r="F332" s="3"/>
      <c r="G332" s="3"/>
    </row>
    <row r="333" spans="1:7" x14ac:dyDescent="0.2">
      <c r="A333" s="5"/>
      <c r="B333" s="3"/>
      <c r="C333" s="3"/>
      <c r="D333" s="3"/>
      <c r="E333" s="3"/>
      <c r="F333" s="3"/>
      <c r="G333" s="3"/>
    </row>
    <row r="334" spans="1:7" x14ac:dyDescent="0.2">
      <c r="A334" s="5"/>
      <c r="B334" s="3"/>
      <c r="C334" s="3"/>
      <c r="D334" s="3"/>
      <c r="E334" s="3"/>
      <c r="F334" s="3"/>
      <c r="G334" s="3"/>
    </row>
    <row r="335" spans="1:7" x14ac:dyDescent="0.2">
      <c r="A335" s="5"/>
      <c r="B335" s="3"/>
      <c r="C335" s="3"/>
      <c r="D335" s="3"/>
      <c r="E335" s="3"/>
      <c r="F335" s="3"/>
      <c r="G335" s="3"/>
    </row>
    <row r="336" spans="1:7" x14ac:dyDescent="0.2">
      <c r="A336" s="5"/>
      <c r="B336" s="3"/>
      <c r="C336" s="3"/>
      <c r="D336" s="3"/>
      <c r="E336" s="3"/>
      <c r="F336" s="3"/>
      <c r="G336" s="3"/>
    </row>
    <row r="337" spans="1:7" x14ac:dyDescent="0.2">
      <c r="A337" s="5"/>
      <c r="B337" s="3"/>
      <c r="C337" s="3"/>
      <c r="D337" s="3"/>
      <c r="E337" s="3"/>
      <c r="F337" s="3"/>
      <c r="G337" s="3"/>
    </row>
    <row r="338" spans="1:7" x14ac:dyDescent="0.2">
      <c r="A338" s="5"/>
      <c r="B338" s="3"/>
      <c r="C338" s="3"/>
      <c r="D338" s="3"/>
      <c r="E338" s="3"/>
      <c r="F338" s="3"/>
      <c r="G338" s="3"/>
    </row>
    <row r="339" spans="1:7" x14ac:dyDescent="0.2">
      <c r="A339" s="5"/>
      <c r="B339" s="3"/>
      <c r="C339" s="3"/>
      <c r="D339" s="3"/>
      <c r="E339" s="3"/>
      <c r="F339" s="3"/>
      <c r="G339" s="3"/>
    </row>
    <row r="340" spans="1:7" x14ac:dyDescent="0.2">
      <c r="A340" s="5"/>
      <c r="B340" s="3"/>
      <c r="C340" s="3"/>
      <c r="D340" s="3"/>
      <c r="E340" s="3"/>
      <c r="F340" s="3"/>
      <c r="G340" s="3"/>
    </row>
    <row r="341" spans="1:7" x14ac:dyDescent="0.2">
      <c r="A341" s="5"/>
      <c r="B341" s="3"/>
      <c r="C341" s="3"/>
      <c r="D341" s="3"/>
      <c r="E341" s="3"/>
      <c r="F341" s="3"/>
      <c r="G341" s="3"/>
    </row>
    <row r="342" spans="1:7" x14ac:dyDescent="0.2">
      <c r="A342" s="5"/>
      <c r="B342" s="3"/>
      <c r="C342" s="3"/>
      <c r="D342" s="3"/>
      <c r="E342" s="3"/>
      <c r="F342" s="3"/>
      <c r="G342" s="3"/>
    </row>
    <row r="343" spans="1:7" x14ac:dyDescent="0.2">
      <c r="A343" s="5"/>
      <c r="B343" s="3"/>
      <c r="C343" s="3"/>
      <c r="D343" s="3"/>
      <c r="E343" s="3"/>
      <c r="F343" s="3"/>
      <c r="G343" s="3"/>
    </row>
    <row r="344" spans="1:7" x14ac:dyDescent="0.2">
      <c r="A344" s="5"/>
      <c r="B344" s="3"/>
      <c r="C344" s="3"/>
      <c r="D344" s="3"/>
      <c r="E344" s="3"/>
      <c r="F344" s="3"/>
      <c r="G344" s="3"/>
    </row>
    <row r="345" spans="1:7" x14ac:dyDescent="0.2">
      <c r="A345" s="5"/>
      <c r="B345" s="3"/>
      <c r="C345" s="3"/>
      <c r="D345" s="3"/>
      <c r="E345" s="3"/>
      <c r="F345" s="3"/>
      <c r="G345" s="3"/>
    </row>
    <row r="346" spans="1:7" x14ac:dyDescent="0.2">
      <c r="A346" s="5"/>
      <c r="B346" s="3"/>
      <c r="C346" s="3"/>
      <c r="D346" s="3"/>
      <c r="E346" s="3"/>
      <c r="F346" s="3"/>
      <c r="G346" s="3"/>
    </row>
    <row r="347" spans="1:7" x14ac:dyDescent="0.2">
      <c r="A347" s="5"/>
      <c r="B347" s="3"/>
      <c r="C347" s="3"/>
      <c r="D347" s="3"/>
      <c r="E347" s="3"/>
      <c r="F347" s="3"/>
      <c r="G347" s="3"/>
    </row>
    <row r="348" spans="1:7" x14ac:dyDescent="0.2">
      <c r="A348" s="5"/>
      <c r="B348" s="3"/>
      <c r="C348" s="3"/>
      <c r="D348" s="3"/>
      <c r="E348" s="3"/>
      <c r="F348" s="3"/>
      <c r="G348" s="3"/>
    </row>
    <row r="349" spans="1:7" x14ac:dyDescent="0.2">
      <c r="A349" s="5"/>
      <c r="B349" s="3"/>
      <c r="C349" s="3"/>
      <c r="D349" s="3"/>
      <c r="E349" s="3"/>
      <c r="F349" s="3"/>
      <c r="G349" s="3"/>
    </row>
    <row r="350" spans="1:7" x14ac:dyDescent="0.2">
      <c r="A350" s="5"/>
      <c r="B350" s="3"/>
      <c r="C350" s="3"/>
      <c r="D350" s="3"/>
      <c r="E350" s="3"/>
      <c r="F350" s="3"/>
      <c r="G350" s="3"/>
    </row>
    <row r="351" spans="1:7" x14ac:dyDescent="0.2">
      <c r="A351" s="5"/>
      <c r="B351" s="3"/>
      <c r="C351" s="3"/>
      <c r="D351" s="3"/>
      <c r="E351" s="3"/>
      <c r="F351" s="3"/>
      <c r="G351" s="3"/>
    </row>
    <row r="352" spans="1:7" x14ac:dyDescent="0.2">
      <c r="A352" s="5"/>
      <c r="B352" s="3"/>
      <c r="C352" s="3"/>
      <c r="D352" s="3"/>
      <c r="E352" s="3"/>
      <c r="F352" s="3"/>
      <c r="G352" s="3"/>
    </row>
    <row r="353" spans="1:7" x14ac:dyDescent="0.2">
      <c r="A353" s="5"/>
      <c r="B353" s="3"/>
      <c r="C353" s="3"/>
      <c r="D353" s="3"/>
      <c r="E353" s="3"/>
      <c r="F353" s="3"/>
      <c r="G353" s="3"/>
    </row>
    <row r="354" spans="1:7" x14ac:dyDescent="0.2">
      <c r="A354" s="5"/>
      <c r="B354" s="3"/>
      <c r="C354" s="3"/>
      <c r="D354" s="3"/>
      <c r="E354" s="3"/>
      <c r="F354" s="3"/>
      <c r="G354" s="3"/>
    </row>
    <row r="355" spans="1:7" x14ac:dyDescent="0.2">
      <c r="A355" s="5"/>
      <c r="B355" s="3"/>
      <c r="C355" s="3"/>
      <c r="D355" s="3"/>
      <c r="E355" s="3"/>
      <c r="F355" s="3"/>
      <c r="G355" s="3"/>
    </row>
    <row r="356" spans="1:7" x14ac:dyDescent="0.2">
      <c r="A356" s="5"/>
      <c r="B356" s="3"/>
      <c r="C356" s="3"/>
      <c r="D356" s="3"/>
      <c r="E356" s="3"/>
      <c r="F356" s="3"/>
      <c r="G356" s="3"/>
    </row>
    <row r="357" spans="1:7" x14ac:dyDescent="0.2">
      <c r="A357" s="5"/>
      <c r="B357" s="3"/>
      <c r="C357" s="3"/>
      <c r="D357" s="3"/>
      <c r="E357" s="3"/>
      <c r="F357" s="3"/>
      <c r="G357" s="3"/>
    </row>
    <row r="358" spans="1:7" x14ac:dyDescent="0.2">
      <c r="A358" s="5"/>
      <c r="B358" s="3"/>
      <c r="C358" s="3"/>
      <c r="D358" s="3"/>
      <c r="E358" s="3"/>
      <c r="F358" s="3"/>
      <c r="G358" s="3"/>
    </row>
    <row r="359" spans="1:7" x14ac:dyDescent="0.2">
      <c r="A359" s="5"/>
      <c r="B359" s="3"/>
      <c r="C359" s="3"/>
      <c r="D359" s="3"/>
      <c r="E359" s="3"/>
      <c r="F359" s="3"/>
      <c r="G359" s="3"/>
    </row>
    <row r="360" spans="1:7" x14ac:dyDescent="0.2">
      <c r="A360" s="5"/>
      <c r="B360" s="3"/>
      <c r="C360" s="3"/>
      <c r="D360" s="3"/>
      <c r="E360" s="3"/>
      <c r="F360" s="3"/>
      <c r="G360" s="3"/>
    </row>
    <row r="361" spans="1:7" x14ac:dyDescent="0.2">
      <c r="A361" s="5"/>
      <c r="B361" s="3"/>
      <c r="C361" s="3"/>
      <c r="D361" s="3"/>
      <c r="E361" s="3"/>
      <c r="F361" s="3"/>
      <c r="G361" s="3"/>
    </row>
    <row r="362" spans="1:7" x14ac:dyDescent="0.2">
      <c r="A362" s="5"/>
      <c r="B362" s="3"/>
      <c r="C362" s="3"/>
      <c r="D362" s="3"/>
      <c r="E362" s="3"/>
      <c r="F362" s="3"/>
      <c r="G362" s="3"/>
    </row>
    <row r="363" spans="1:7" x14ac:dyDescent="0.2">
      <c r="A363" s="5"/>
      <c r="B363" s="3"/>
      <c r="C363" s="3"/>
      <c r="D363" s="3"/>
      <c r="E363" s="3"/>
      <c r="F363" s="3"/>
      <c r="G363" s="3"/>
    </row>
    <row r="364" spans="1:7" x14ac:dyDescent="0.2">
      <c r="A364" s="5"/>
      <c r="B364" s="3"/>
      <c r="C364" s="3"/>
      <c r="D364" s="3"/>
      <c r="E364" s="3"/>
      <c r="F364" s="3"/>
      <c r="G364" s="3"/>
    </row>
    <row r="365" spans="1:7" x14ac:dyDescent="0.2">
      <c r="A365" s="5"/>
      <c r="B365" s="3"/>
      <c r="C365" s="3"/>
      <c r="D365" s="3"/>
      <c r="E365" s="3"/>
      <c r="F365" s="3"/>
      <c r="G365" s="3"/>
    </row>
    <row r="366" spans="1:7" x14ac:dyDescent="0.2">
      <c r="A366" s="5"/>
      <c r="B366" s="3"/>
      <c r="C366" s="3"/>
      <c r="D366" s="3"/>
      <c r="E366" s="3"/>
      <c r="F366" s="3"/>
      <c r="G366" s="3"/>
    </row>
    <row r="367" spans="1:7" x14ac:dyDescent="0.2">
      <c r="A367" s="5"/>
      <c r="B367" s="3"/>
      <c r="C367" s="3"/>
      <c r="D367" s="3"/>
      <c r="E367" s="3"/>
      <c r="F367" s="3"/>
      <c r="G367" s="3"/>
    </row>
    <row r="368" spans="1:7" x14ac:dyDescent="0.2">
      <c r="A368" s="5"/>
      <c r="B368" s="3"/>
      <c r="C368" s="3"/>
      <c r="D368" s="3"/>
      <c r="E368" s="3"/>
      <c r="F368" s="3"/>
      <c r="G368" s="3"/>
    </row>
    <row r="369" spans="1:7" x14ac:dyDescent="0.2">
      <c r="A369" s="5"/>
      <c r="B369" s="3"/>
      <c r="C369" s="3"/>
      <c r="D369" s="3"/>
      <c r="E369" s="3"/>
      <c r="F369" s="3"/>
      <c r="G369" s="3"/>
    </row>
    <row r="370" spans="1:7" x14ac:dyDescent="0.2">
      <c r="A370" s="5"/>
      <c r="B370" s="3"/>
      <c r="C370" s="3"/>
      <c r="D370" s="3"/>
      <c r="E370" s="3"/>
      <c r="F370" s="3"/>
      <c r="G370" s="3"/>
    </row>
    <row r="371" spans="1:7" x14ac:dyDescent="0.2">
      <c r="A371" s="5"/>
      <c r="B371" s="3"/>
      <c r="C371" s="3"/>
      <c r="D371" s="3"/>
      <c r="E371" s="3"/>
      <c r="F371" s="3"/>
      <c r="G371" s="3"/>
    </row>
    <row r="372" spans="1:7" x14ac:dyDescent="0.2">
      <c r="A372" s="5"/>
      <c r="B372" s="3"/>
      <c r="C372" s="3"/>
      <c r="D372" s="3"/>
      <c r="E372" s="3"/>
      <c r="F372" s="3"/>
      <c r="G372" s="3"/>
    </row>
    <row r="373" spans="1:7" x14ac:dyDescent="0.2">
      <c r="A373" s="5"/>
      <c r="B373" s="3"/>
      <c r="C373" s="3"/>
      <c r="D373" s="3"/>
      <c r="E373" s="3"/>
      <c r="F373" s="3"/>
      <c r="G373" s="3"/>
    </row>
    <row r="374" spans="1:7" x14ac:dyDescent="0.2">
      <c r="A374" s="5"/>
      <c r="B374" s="3"/>
      <c r="C374" s="3"/>
      <c r="D374" s="3"/>
      <c r="E374" s="3"/>
      <c r="F374" s="3"/>
      <c r="G374" s="3"/>
    </row>
    <row r="375" spans="1:7" x14ac:dyDescent="0.2">
      <c r="A375" s="5"/>
      <c r="B375" s="3"/>
      <c r="C375" s="3"/>
      <c r="D375" s="3"/>
      <c r="E375" s="3"/>
      <c r="F375" s="3"/>
      <c r="G375" s="3"/>
    </row>
    <row r="376" spans="1:7" x14ac:dyDescent="0.2">
      <c r="A376" s="5"/>
      <c r="B376" s="3"/>
      <c r="C376" s="3"/>
      <c r="D376" s="3"/>
      <c r="E376" s="3"/>
      <c r="F376" s="3"/>
      <c r="G376" s="3"/>
    </row>
    <row r="377" spans="1:7" x14ac:dyDescent="0.2">
      <c r="A377" s="5"/>
      <c r="B377" s="3"/>
      <c r="C377" s="3"/>
      <c r="D377" s="3"/>
      <c r="E377" s="3"/>
      <c r="F377" s="3"/>
      <c r="G377" s="3"/>
    </row>
    <row r="378" spans="1:7" x14ac:dyDescent="0.2">
      <c r="A378" s="5"/>
      <c r="B378" s="3"/>
      <c r="C378" s="3"/>
      <c r="D378" s="3"/>
      <c r="E378" s="3"/>
      <c r="F378" s="3"/>
      <c r="G378" s="3"/>
    </row>
    <row r="379" spans="1:7" x14ac:dyDescent="0.2">
      <c r="A379" s="5"/>
      <c r="B379" s="3"/>
      <c r="C379" s="3"/>
      <c r="D379" s="3"/>
      <c r="E379" s="3"/>
      <c r="F379" s="3"/>
      <c r="G379" s="3"/>
    </row>
    <row r="380" spans="1:7" x14ac:dyDescent="0.2">
      <c r="A380" s="5"/>
      <c r="B380" s="3"/>
      <c r="C380" s="3"/>
      <c r="D380" s="3"/>
      <c r="E380" s="3"/>
      <c r="F380" s="3"/>
      <c r="G380" s="3"/>
    </row>
    <row r="381" spans="1:7" x14ac:dyDescent="0.2">
      <c r="A381" s="5"/>
      <c r="B381" s="3"/>
      <c r="C381" s="3"/>
      <c r="D381" s="3"/>
      <c r="E381" s="3"/>
      <c r="F381" s="3"/>
      <c r="G381" s="3"/>
    </row>
    <row r="382" spans="1:7" x14ac:dyDescent="0.2">
      <c r="A382" s="5"/>
      <c r="B382" s="3"/>
      <c r="C382" s="3"/>
      <c r="D382" s="3"/>
      <c r="E382" s="3"/>
      <c r="F382" s="3"/>
      <c r="G382" s="3"/>
    </row>
    <row r="383" spans="1:7" x14ac:dyDescent="0.2">
      <c r="A383" s="5"/>
      <c r="B383" s="3"/>
      <c r="C383" s="3"/>
      <c r="D383" s="3"/>
      <c r="E383" s="3"/>
      <c r="F383" s="3"/>
      <c r="G383" s="3"/>
    </row>
    <row r="384" spans="1:7" x14ac:dyDescent="0.2">
      <c r="A384" s="5"/>
      <c r="B384" s="3"/>
      <c r="C384" s="3"/>
      <c r="D384" s="3"/>
      <c r="E384" s="3"/>
      <c r="F384" s="3"/>
      <c r="G384" s="3"/>
    </row>
    <row r="385" spans="1:7" x14ac:dyDescent="0.2">
      <c r="A385" s="5"/>
      <c r="B385" s="3"/>
      <c r="C385" s="3"/>
      <c r="D385" s="3"/>
      <c r="E385" s="3"/>
      <c r="F385" s="3"/>
      <c r="G385" s="3"/>
    </row>
    <row r="386" spans="1:7" x14ac:dyDescent="0.2">
      <c r="A386" s="5"/>
      <c r="B386" s="3"/>
      <c r="C386" s="3"/>
      <c r="D386" s="3"/>
      <c r="E386" s="3"/>
      <c r="F386" s="3"/>
      <c r="G386" s="3"/>
    </row>
    <row r="387" spans="1:7" x14ac:dyDescent="0.2">
      <c r="A387" s="5"/>
      <c r="B387" s="3"/>
      <c r="C387" s="3"/>
      <c r="D387" s="3"/>
      <c r="E387" s="3"/>
      <c r="F387" s="3"/>
      <c r="G387" s="3"/>
    </row>
    <row r="388" spans="1:7" x14ac:dyDescent="0.2">
      <c r="A388" s="5"/>
      <c r="B388" s="3"/>
      <c r="C388" s="3"/>
      <c r="D388" s="3"/>
      <c r="E388" s="3"/>
      <c r="F388" s="3"/>
      <c r="G388" s="3"/>
    </row>
    <row r="389" spans="1:7" x14ac:dyDescent="0.2">
      <c r="A389" s="5"/>
      <c r="B389" s="3"/>
      <c r="C389" s="3"/>
      <c r="D389" s="3"/>
      <c r="E389" s="3"/>
      <c r="F389" s="3"/>
      <c r="G389" s="3"/>
    </row>
    <row r="390" spans="1:7" x14ac:dyDescent="0.2">
      <c r="A390" s="5"/>
      <c r="B390" s="3"/>
      <c r="C390" s="3"/>
      <c r="D390" s="3"/>
      <c r="E390" s="3"/>
      <c r="F390" s="3"/>
      <c r="G390" s="3"/>
    </row>
    <row r="391" spans="1:7" x14ac:dyDescent="0.2">
      <c r="A391" s="5"/>
      <c r="B391" s="3"/>
      <c r="C391" s="3"/>
      <c r="D391" s="3"/>
      <c r="E391" s="3"/>
      <c r="F391" s="3"/>
      <c r="G391" s="3"/>
    </row>
    <row r="392" spans="1:7" x14ac:dyDescent="0.2">
      <c r="A392" s="5"/>
      <c r="B392" s="3"/>
      <c r="C392" s="3"/>
      <c r="D392" s="3"/>
      <c r="E392" s="3"/>
      <c r="F392" s="3"/>
      <c r="G392" s="3"/>
    </row>
    <row r="393" spans="1:7" x14ac:dyDescent="0.2">
      <c r="A393" s="5"/>
      <c r="B393" s="3"/>
      <c r="C393" s="3"/>
      <c r="D393" s="3"/>
      <c r="E393" s="3"/>
      <c r="F393" s="3"/>
      <c r="G393" s="3"/>
    </row>
    <row r="394" spans="1:7" x14ac:dyDescent="0.2">
      <c r="A394" s="5"/>
      <c r="B394" s="3"/>
      <c r="C394" s="3"/>
      <c r="D394" s="3"/>
      <c r="E394" s="3"/>
      <c r="F394" s="3"/>
      <c r="G394" s="3"/>
    </row>
    <row r="395" spans="1:7" x14ac:dyDescent="0.2">
      <c r="A395" s="5"/>
      <c r="B395" s="3"/>
      <c r="C395" s="3"/>
      <c r="D395" s="3"/>
      <c r="E395" s="3"/>
      <c r="F395" s="3"/>
      <c r="G395" s="3"/>
    </row>
    <row r="396" spans="1:7" x14ac:dyDescent="0.2">
      <c r="A396" s="5"/>
      <c r="B396" s="3"/>
      <c r="C396" s="3"/>
      <c r="D396" s="3"/>
      <c r="E396" s="3"/>
      <c r="F396" s="3"/>
      <c r="G396" s="3"/>
    </row>
    <row r="397" spans="1:7" x14ac:dyDescent="0.2">
      <c r="A397" s="5"/>
      <c r="B397" s="3"/>
      <c r="C397" s="3"/>
      <c r="D397" s="3"/>
      <c r="E397" s="3"/>
      <c r="F397" s="3"/>
      <c r="G397" s="3"/>
    </row>
    <row r="398" spans="1:7" x14ac:dyDescent="0.2">
      <c r="A398" s="5"/>
      <c r="B398" s="3"/>
      <c r="C398" s="3"/>
      <c r="D398" s="3"/>
      <c r="E398" s="3"/>
      <c r="F398" s="3"/>
      <c r="G398" s="3"/>
    </row>
    <row r="399" spans="1:7" x14ac:dyDescent="0.2">
      <c r="A399" s="5"/>
      <c r="B399" s="3"/>
      <c r="C399" s="3"/>
      <c r="D399" s="3"/>
      <c r="E399" s="3"/>
      <c r="F399" s="3"/>
      <c r="G399" s="3"/>
    </row>
    <row r="400" spans="1:7" x14ac:dyDescent="0.2">
      <c r="A400" s="5"/>
      <c r="B400" s="3"/>
      <c r="C400" s="3"/>
      <c r="D400" s="3"/>
      <c r="E400" s="3"/>
      <c r="F400" s="3"/>
      <c r="G400" s="3"/>
    </row>
    <row r="401" spans="1:7" x14ac:dyDescent="0.2">
      <c r="A401" s="5"/>
      <c r="B401" s="3"/>
      <c r="C401" s="3"/>
      <c r="D401" s="3"/>
      <c r="E401" s="3"/>
      <c r="F401" s="3"/>
      <c r="G401" s="3"/>
    </row>
    <row r="402" spans="1:7" x14ac:dyDescent="0.2">
      <c r="A402" s="5"/>
      <c r="B402" s="3"/>
      <c r="C402" s="3"/>
      <c r="D402" s="3"/>
      <c r="E402" s="3"/>
      <c r="F402" s="3"/>
      <c r="G402" s="3"/>
    </row>
    <row r="403" spans="1:7" x14ac:dyDescent="0.2">
      <c r="A403" s="5"/>
      <c r="B403" s="3"/>
      <c r="C403" s="3"/>
      <c r="D403" s="3"/>
      <c r="E403" s="3"/>
      <c r="F403" s="3"/>
      <c r="G403" s="3"/>
    </row>
    <row r="404" spans="1:7" x14ac:dyDescent="0.2">
      <c r="A404" s="5"/>
      <c r="B404" s="3"/>
      <c r="C404" s="3"/>
      <c r="D404" s="3"/>
      <c r="E404" s="3"/>
      <c r="F404" s="3"/>
      <c r="G404" s="3"/>
    </row>
    <row r="405" spans="1:7" x14ac:dyDescent="0.2">
      <c r="A405" s="5"/>
      <c r="B405" s="3"/>
      <c r="C405" s="3"/>
      <c r="D405" s="3"/>
      <c r="E405" s="3"/>
      <c r="F405" s="3"/>
      <c r="G405" s="3"/>
    </row>
    <row r="406" spans="1:7" x14ac:dyDescent="0.2">
      <c r="A406" s="5"/>
      <c r="B406" s="3"/>
      <c r="C406" s="3"/>
      <c r="D406" s="3"/>
      <c r="E406" s="3"/>
      <c r="F406" s="3"/>
      <c r="G406" s="3"/>
    </row>
    <row r="407" spans="1:7" x14ac:dyDescent="0.2">
      <c r="A407" s="5"/>
      <c r="B407" s="3"/>
      <c r="C407" s="3"/>
      <c r="D407" s="3"/>
      <c r="E407" s="3"/>
      <c r="F407" s="3"/>
      <c r="G407" s="3"/>
    </row>
    <row r="408" spans="1:7" x14ac:dyDescent="0.2">
      <c r="A408" s="5"/>
      <c r="B408" s="3"/>
      <c r="C408" s="3"/>
      <c r="D408" s="3"/>
      <c r="E408" s="3"/>
      <c r="F408" s="3"/>
      <c r="G408" s="3"/>
    </row>
    <row r="409" spans="1:7" x14ac:dyDescent="0.2">
      <c r="A409" s="5"/>
      <c r="B409" s="3"/>
      <c r="C409" s="3"/>
      <c r="D409" s="3"/>
      <c r="E409" s="3"/>
      <c r="F409" s="3"/>
      <c r="G409" s="3"/>
    </row>
    <row r="410" spans="1:7" x14ac:dyDescent="0.2">
      <c r="A410" s="5"/>
      <c r="B410" s="3"/>
      <c r="C410" s="3"/>
      <c r="D410" s="3"/>
      <c r="E410" s="3"/>
      <c r="F410" s="3"/>
      <c r="G410" s="3"/>
    </row>
    <row r="411" spans="1:7" x14ac:dyDescent="0.2">
      <c r="A411" s="5"/>
      <c r="B411" s="3"/>
      <c r="C411" s="3"/>
      <c r="D411" s="3"/>
      <c r="E411" s="3"/>
      <c r="F411" s="3"/>
      <c r="G411" s="3"/>
    </row>
    <row r="412" spans="1:7" x14ac:dyDescent="0.2">
      <c r="A412" s="5"/>
      <c r="B412" s="3"/>
      <c r="C412" s="3"/>
      <c r="D412" s="3"/>
      <c r="E412" s="3"/>
      <c r="F412" s="3"/>
      <c r="G412" s="3"/>
    </row>
    <row r="413" spans="1:7" x14ac:dyDescent="0.2">
      <c r="A413" s="5"/>
      <c r="B413" s="3"/>
      <c r="C413" s="3"/>
      <c r="D413" s="3"/>
      <c r="E413" s="3"/>
      <c r="F413" s="3"/>
      <c r="G413" s="3"/>
    </row>
    <row r="414" spans="1:7" x14ac:dyDescent="0.2">
      <c r="A414" s="5"/>
      <c r="B414" s="3"/>
      <c r="C414" s="3"/>
      <c r="D414" s="3"/>
      <c r="E414" s="3"/>
      <c r="F414" s="3"/>
      <c r="G414" s="3"/>
    </row>
    <row r="415" spans="1:7" x14ac:dyDescent="0.2">
      <c r="A415" s="5"/>
      <c r="B415" s="3"/>
      <c r="C415" s="3"/>
      <c r="D415" s="3"/>
      <c r="E415" s="3"/>
      <c r="F415" s="3"/>
      <c r="G415" s="3"/>
    </row>
    <row r="416" spans="1:7" x14ac:dyDescent="0.2">
      <c r="A416" s="5"/>
      <c r="B416" s="3"/>
      <c r="C416" s="3"/>
      <c r="D416" s="3"/>
      <c r="E416" s="3"/>
      <c r="F416" s="3"/>
      <c r="G416" s="3"/>
    </row>
    <row r="417" spans="1:7" x14ac:dyDescent="0.2">
      <c r="A417" s="5"/>
      <c r="B417" s="3"/>
      <c r="C417" s="3"/>
      <c r="D417" s="3"/>
      <c r="E417" s="3"/>
      <c r="F417" s="3"/>
      <c r="G417" s="3"/>
    </row>
    <row r="418" spans="1:7" x14ac:dyDescent="0.2">
      <c r="A418" s="5"/>
      <c r="B418" s="3"/>
      <c r="C418" s="3"/>
      <c r="D418" s="3"/>
      <c r="E418" s="3"/>
      <c r="F418" s="3"/>
      <c r="G418" s="3"/>
    </row>
    <row r="419" spans="1:7" x14ac:dyDescent="0.2">
      <c r="A419" s="5"/>
      <c r="B419" s="3"/>
      <c r="C419" s="3"/>
      <c r="D419" s="3"/>
      <c r="E419" s="3"/>
      <c r="F419" s="3"/>
      <c r="G419" s="3"/>
    </row>
    <row r="420" spans="1:7" x14ac:dyDescent="0.2">
      <c r="A420" s="5"/>
      <c r="B420" s="3"/>
      <c r="C420" s="3"/>
      <c r="D420" s="3"/>
      <c r="E420" s="3"/>
      <c r="F420" s="3"/>
      <c r="G420" s="3"/>
    </row>
    <row r="421" spans="1:7" x14ac:dyDescent="0.2">
      <c r="A421" s="5"/>
      <c r="B421" s="3"/>
      <c r="C421" s="3"/>
      <c r="D421" s="3"/>
      <c r="E421" s="3"/>
      <c r="F421" s="3"/>
      <c r="G421" s="3"/>
    </row>
    <row r="422" spans="1:7" x14ac:dyDescent="0.2">
      <c r="A422" s="5"/>
      <c r="B422" s="3"/>
      <c r="C422" s="3"/>
      <c r="D422" s="3"/>
      <c r="E422" s="3"/>
      <c r="F422" s="3"/>
      <c r="G422" s="3"/>
    </row>
    <row r="423" spans="1:7" x14ac:dyDescent="0.2">
      <c r="A423" s="5"/>
      <c r="B423" s="3"/>
      <c r="C423" s="3"/>
      <c r="D423" s="3"/>
      <c r="E423" s="3"/>
      <c r="F423" s="3"/>
      <c r="G423" s="3"/>
    </row>
    <row r="424" spans="1:7" x14ac:dyDescent="0.2">
      <c r="A424" s="5"/>
      <c r="B424" s="3"/>
      <c r="C424" s="3"/>
      <c r="D424" s="3"/>
      <c r="E424" s="3"/>
      <c r="F424" s="3"/>
      <c r="G424" s="3"/>
    </row>
    <row r="425" spans="1:7" x14ac:dyDescent="0.2">
      <c r="A425" s="5"/>
      <c r="B425" s="3"/>
      <c r="C425" s="3"/>
      <c r="D425" s="3"/>
      <c r="E425" s="3"/>
      <c r="F425" s="3"/>
      <c r="G425" s="3"/>
    </row>
    <row r="426" spans="1:7" x14ac:dyDescent="0.2">
      <c r="A426" s="5"/>
      <c r="B426" s="3"/>
      <c r="C426" s="3"/>
      <c r="D426" s="3"/>
      <c r="E426" s="3"/>
      <c r="F426" s="3"/>
      <c r="G426" s="3"/>
    </row>
    <row r="427" spans="1:7" x14ac:dyDescent="0.2">
      <c r="A427" s="5"/>
      <c r="B427" s="3"/>
      <c r="C427" s="3"/>
      <c r="D427" s="3"/>
      <c r="E427" s="3"/>
      <c r="F427" s="3"/>
      <c r="G427" s="3"/>
    </row>
    <row r="428" spans="1:7" x14ac:dyDescent="0.2">
      <c r="A428" s="5"/>
      <c r="B428" s="3"/>
      <c r="C428" s="3"/>
      <c r="D428" s="3"/>
      <c r="E428" s="3"/>
      <c r="F428" s="3"/>
      <c r="G428" s="3"/>
    </row>
    <row r="429" spans="1:7" x14ac:dyDescent="0.2">
      <c r="A429" s="5"/>
      <c r="B429" s="3"/>
      <c r="C429" s="3"/>
      <c r="D429" s="3"/>
      <c r="E429" s="3"/>
      <c r="F429" s="3"/>
      <c r="G429" s="3"/>
    </row>
    <row r="430" spans="1:7" x14ac:dyDescent="0.2">
      <c r="A430" s="5"/>
      <c r="B430" s="3"/>
      <c r="C430" s="3"/>
      <c r="D430" s="3"/>
      <c r="E430" s="3"/>
      <c r="F430" s="3"/>
      <c r="G430" s="3"/>
    </row>
    <row r="431" spans="1:7" x14ac:dyDescent="0.2">
      <c r="A431" s="5"/>
      <c r="B431" s="3"/>
      <c r="C431" s="3"/>
      <c r="D431" s="3"/>
      <c r="E431" s="3"/>
      <c r="F431" s="3"/>
      <c r="G431" s="3"/>
    </row>
    <row r="432" spans="1:7" x14ac:dyDescent="0.2">
      <c r="A432" s="5"/>
      <c r="B432" s="3"/>
      <c r="C432" s="3"/>
      <c r="D432" s="3"/>
      <c r="E432" s="3"/>
      <c r="F432" s="3"/>
      <c r="G432" s="3"/>
    </row>
    <row r="433" spans="1:7" x14ac:dyDescent="0.2">
      <c r="A433" s="5"/>
      <c r="B433" s="3"/>
      <c r="C433" s="3"/>
      <c r="D433" s="3"/>
      <c r="E433" s="3"/>
      <c r="F433" s="3"/>
      <c r="G433" s="3"/>
    </row>
    <row r="434" spans="1:7" x14ac:dyDescent="0.2">
      <c r="A434" s="5"/>
      <c r="B434" s="3"/>
      <c r="C434" s="3"/>
      <c r="D434" s="3"/>
      <c r="E434" s="3"/>
      <c r="F434" s="3"/>
      <c r="G434" s="3"/>
    </row>
    <row r="435" spans="1:7" x14ac:dyDescent="0.2">
      <c r="A435" s="5"/>
      <c r="B435" s="3"/>
      <c r="C435" s="3"/>
      <c r="D435" s="3"/>
      <c r="E435" s="3"/>
      <c r="F435" s="3"/>
      <c r="G435" s="3"/>
    </row>
    <row r="436" spans="1:7" x14ac:dyDescent="0.2">
      <c r="A436" s="5"/>
      <c r="B436" s="3"/>
      <c r="C436" s="3"/>
      <c r="D436" s="3"/>
      <c r="E436" s="3"/>
      <c r="F436" s="3"/>
      <c r="G436" s="3"/>
    </row>
    <row r="437" spans="1:7" x14ac:dyDescent="0.2">
      <c r="A437" s="5"/>
      <c r="B437" s="3"/>
      <c r="C437" s="3"/>
      <c r="D437" s="3"/>
      <c r="E437" s="3"/>
      <c r="F437" s="3"/>
      <c r="G437" s="3"/>
    </row>
    <row r="438" spans="1:7" x14ac:dyDescent="0.2">
      <c r="A438" s="5"/>
      <c r="B438" s="3"/>
      <c r="C438" s="3"/>
      <c r="D438" s="3"/>
      <c r="E438" s="3"/>
      <c r="F438" s="3"/>
      <c r="G438" s="3"/>
    </row>
    <row r="439" spans="1:7" x14ac:dyDescent="0.2">
      <c r="A439" s="5"/>
      <c r="B439" s="3"/>
      <c r="C439" s="3"/>
      <c r="D439" s="3"/>
      <c r="E439" s="3"/>
      <c r="F439" s="3"/>
      <c r="G439" s="3"/>
    </row>
    <row r="440" spans="1:7" x14ac:dyDescent="0.2">
      <c r="A440" s="5"/>
      <c r="B440" s="3"/>
      <c r="C440" s="3"/>
      <c r="D440" s="3"/>
      <c r="E440" s="3"/>
      <c r="F440" s="3"/>
      <c r="G440" s="3"/>
    </row>
    <row r="441" spans="1:7" x14ac:dyDescent="0.2">
      <c r="A441" s="5"/>
      <c r="B441" s="3"/>
      <c r="C441" s="3"/>
      <c r="D441" s="3"/>
      <c r="E441" s="3"/>
      <c r="F441" s="3"/>
      <c r="G441" s="3"/>
    </row>
    <row r="442" spans="1:7" x14ac:dyDescent="0.2">
      <c r="A442" s="5"/>
      <c r="B442" s="3"/>
      <c r="C442" s="3"/>
      <c r="D442" s="3"/>
      <c r="E442" s="3"/>
      <c r="F442" s="3"/>
      <c r="G442" s="3"/>
    </row>
    <row r="443" spans="1:7" x14ac:dyDescent="0.2">
      <c r="A443" s="5"/>
      <c r="B443" s="3"/>
      <c r="C443" s="3"/>
      <c r="D443" s="3"/>
      <c r="E443" s="3"/>
      <c r="F443" s="3"/>
      <c r="G443" s="3"/>
    </row>
    <row r="444" spans="1:7" x14ac:dyDescent="0.2">
      <c r="A444" s="5"/>
      <c r="B444" s="3"/>
      <c r="C444" s="3"/>
      <c r="D444" s="3"/>
      <c r="E444" s="3"/>
      <c r="F444" s="3"/>
      <c r="G444" s="3"/>
    </row>
    <row r="445" spans="1:7" x14ac:dyDescent="0.2">
      <c r="A445" s="5"/>
      <c r="B445" s="3"/>
      <c r="C445" s="3"/>
      <c r="D445" s="3"/>
      <c r="E445" s="3"/>
      <c r="F445" s="3"/>
      <c r="G445" s="3"/>
    </row>
    <row r="446" spans="1:7" x14ac:dyDescent="0.2">
      <c r="A446" s="5"/>
      <c r="B446" s="3"/>
      <c r="C446" s="3"/>
      <c r="D446" s="3"/>
      <c r="E446" s="3"/>
      <c r="F446" s="3"/>
      <c r="G446" s="3"/>
    </row>
    <row r="447" spans="1:7" x14ac:dyDescent="0.2">
      <c r="A447" s="5"/>
      <c r="B447" s="3"/>
      <c r="C447" s="3"/>
      <c r="D447" s="3"/>
      <c r="E447" s="3"/>
      <c r="F447" s="3"/>
      <c r="G447" s="3"/>
    </row>
    <row r="448" spans="1:7" x14ac:dyDescent="0.2">
      <c r="A448" s="5"/>
      <c r="B448" s="3"/>
      <c r="C448" s="3"/>
      <c r="D448" s="3"/>
      <c r="E448" s="3"/>
      <c r="F448" s="3"/>
      <c r="G448" s="3"/>
    </row>
    <row r="449" spans="1:7" x14ac:dyDescent="0.2">
      <c r="A449" s="5"/>
      <c r="B449" s="3"/>
      <c r="C449" s="3"/>
      <c r="D449" s="3"/>
      <c r="E449" s="3"/>
      <c r="F449" s="3"/>
      <c r="G449" s="3"/>
    </row>
    <row r="450" spans="1:7" x14ac:dyDescent="0.2">
      <c r="A450" s="5"/>
      <c r="B450" s="3"/>
      <c r="C450" s="3"/>
      <c r="D450" s="3"/>
      <c r="E450" s="3"/>
      <c r="F450" s="3"/>
      <c r="G450" s="3"/>
    </row>
    <row r="451" spans="1:7" x14ac:dyDescent="0.2">
      <c r="A451" s="5"/>
      <c r="B451" s="3"/>
      <c r="C451" s="3"/>
      <c r="D451" s="3"/>
      <c r="E451" s="3"/>
      <c r="F451" s="3"/>
      <c r="G451" s="3"/>
    </row>
    <row r="452" spans="1:7" x14ac:dyDescent="0.2">
      <c r="A452" s="5"/>
      <c r="B452" s="3"/>
      <c r="C452" s="3"/>
      <c r="D452" s="3"/>
      <c r="E452" s="3"/>
      <c r="F452" s="3"/>
      <c r="G452" s="3"/>
    </row>
    <row r="453" spans="1:7" x14ac:dyDescent="0.2">
      <c r="A453" s="5"/>
      <c r="B453" s="3"/>
      <c r="C453" s="3"/>
      <c r="D453" s="3"/>
      <c r="E453" s="3"/>
      <c r="F453" s="3"/>
      <c r="G453" s="3"/>
    </row>
    <row r="454" spans="1:7" x14ac:dyDescent="0.2">
      <c r="A454" s="5"/>
      <c r="B454" s="3"/>
      <c r="C454" s="3"/>
      <c r="D454" s="3"/>
      <c r="E454" s="3"/>
      <c r="F454" s="3"/>
      <c r="G454" s="3"/>
    </row>
    <row r="455" spans="1:7" x14ac:dyDescent="0.2">
      <c r="A455" s="5"/>
      <c r="B455" s="3"/>
      <c r="C455" s="3"/>
      <c r="D455" s="3"/>
      <c r="E455" s="3"/>
      <c r="F455" s="3"/>
      <c r="G455" s="3"/>
    </row>
    <row r="456" spans="1:7" x14ac:dyDescent="0.2">
      <c r="A456" s="5"/>
      <c r="B456" s="3"/>
      <c r="C456" s="3"/>
      <c r="D456" s="3"/>
      <c r="E456" s="3"/>
      <c r="F456" s="3"/>
      <c r="G456" s="3"/>
    </row>
    <row r="457" spans="1:7" x14ac:dyDescent="0.2">
      <c r="A457" s="5"/>
      <c r="B457" s="3"/>
      <c r="C457" s="3"/>
      <c r="D457" s="3"/>
      <c r="E457" s="3"/>
      <c r="F457" s="3"/>
      <c r="G457" s="3"/>
    </row>
    <row r="458" spans="1:7" x14ac:dyDescent="0.2">
      <c r="A458" s="5"/>
      <c r="B458" s="3"/>
      <c r="C458" s="3"/>
      <c r="D458" s="3"/>
      <c r="E458" s="3"/>
      <c r="F458" s="3"/>
      <c r="G458" s="3"/>
    </row>
    <row r="459" spans="1:7" x14ac:dyDescent="0.2">
      <c r="A459" s="5"/>
      <c r="B459" s="3"/>
      <c r="C459" s="3"/>
      <c r="D459" s="3"/>
      <c r="E459" s="3"/>
      <c r="F459" s="3"/>
      <c r="G459" s="3"/>
    </row>
    <row r="460" spans="1:7" x14ac:dyDescent="0.2">
      <c r="A460" s="5"/>
      <c r="B460" s="3"/>
      <c r="C460" s="3"/>
      <c r="D460" s="3"/>
      <c r="E460" s="3"/>
      <c r="F460" s="3"/>
      <c r="G460" s="3"/>
    </row>
    <row r="461" spans="1:7" x14ac:dyDescent="0.2">
      <c r="A461" s="5"/>
      <c r="B461" s="3"/>
      <c r="C461" s="3"/>
      <c r="D461" s="3"/>
      <c r="E461" s="3"/>
      <c r="F461" s="3"/>
      <c r="G461" s="3"/>
    </row>
    <row r="462" spans="1:7" x14ac:dyDescent="0.2">
      <c r="A462" s="5"/>
      <c r="B462" s="3"/>
      <c r="C462" s="3"/>
      <c r="D462" s="3"/>
      <c r="E462" s="3"/>
      <c r="F462" s="3"/>
      <c r="G462" s="3"/>
    </row>
    <row r="463" spans="1:7" x14ac:dyDescent="0.2">
      <c r="A463" s="5"/>
      <c r="B463" s="3"/>
      <c r="C463" s="3"/>
      <c r="D463" s="3"/>
      <c r="E463" s="3"/>
      <c r="F463" s="3"/>
      <c r="G463" s="3"/>
    </row>
    <row r="464" spans="1:7" x14ac:dyDescent="0.2">
      <c r="A464" s="5"/>
      <c r="B464" s="3"/>
      <c r="C464" s="3"/>
      <c r="D464" s="3"/>
      <c r="E464" s="3"/>
      <c r="F464" s="3"/>
      <c r="G464" s="3"/>
    </row>
    <row r="465" spans="1:7" x14ac:dyDescent="0.2">
      <c r="A465" s="5"/>
      <c r="B465" s="3"/>
      <c r="C465" s="3"/>
      <c r="D465" s="3"/>
      <c r="E465" s="3"/>
      <c r="F465" s="3"/>
      <c r="G465" s="3"/>
    </row>
    <row r="466" spans="1:7" x14ac:dyDescent="0.2">
      <c r="A466" s="5"/>
      <c r="B466" s="3"/>
      <c r="C466" s="3"/>
      <c r="D466" s="3"/>
      <c r="E466" s="3"/>
      <c r="F466" s="3"/>
      <c r="G466" s="3"/>
    </row>
    <row r="467" spans="1:7" x14ac:dyDescent="0.2">
      <c r="A467" s="5"/>
      <c r="B467" s="3"/>
      <c r="C467" s="3"/>
      <c r="D467" s="3"/>
      <c r="E467" s="3"/>
      <c r="F467" s="3"/>
      <c r="G467" s="3"/>
    </row>
    <row r="468" spans="1:7" x14ac:dyDescent="0.2">
      <c r="A468" s="5"/>
      <c r="B468" s="3"/>
      <c r="C468" s="3"/>
      <c r="D468" s="3"/>
      <c r="E468" s="3"/>
      <c r="F468" s="3"/>
      <c r="G468" s="3"/>
    </row>
    <row r="469" spans="1:7" x14ac:dyDescent="0.2">
      <c r="A469" s="5"/>
      <c r="B469" s="3"/>
      <c r="C469" s="3"/>
      <c r="D469" s="3"/>
      <c r="E469" s="3"/>
      <c r="F469" s="3"/>
      <c r="G469" s="3"/>
    </row>
    <row r="470" spans="1:7" x14ac:dyDescent="0.2">
      <c r="A470" s="5"/>
      <c r="B470" s="3"/>
      <c r="C470" s="3"/>
      <c r="D470" s="3"/>
      <c r="E470" s="3"/>
      <c r="F470" s="3"/>
      <c r="G470" s="3"/>
    </row>
    <row r="471" spans="1:7" x14ac:dyDescent="0.2">
      <c r="A471" s="5"/>
      <c r="B471" s="3"/>
      <c r="C471" s="3"/>
      <c r="D471" s="3"/>
      <c r="E471" s="3"/>
      <c r="F471" s="3"/>
      <c r="G471" s="3"/>
    </row>
    <row r="472" spans="1:7" x14ac:dyDescent="0.2">
      <c r="A472" s="5"/>
      <c r="B472" s="3"/>
      <c r="C472" s="3"/>
      <c r="D472" s="3"/>
      <c r="E472" s="3"/>
      <c r="F472" s="3"/>
      <c r="G472" s="3"/>
    </row>
    <row r="473" spans="1:7" x14ac:dyDescent="0.2">
      <c r="A473" s="5"/>
      <c r="B473" s="3"/>
      <c r="C473" s="3"/>
      <c r="D473" s="3"/>
      <c r="E473" s="3"/>
      <c r="F473" s="3"/>
      <c r="G473" s="3"/>
    </row>
    <row r="474" spans="1:7" x14ac:dyDescent="0.2">
      <c r="A474" s="5"/>
      <c r="B474" s="3"/>
      <c r="C474" s="3"/>
      <c r="D474" s="3"/>
      <c r="E474" s="3"/>
      <c r="F474" s="3"/>
      <c r="G474" s="3"/>
    </row>
    <row r="475" spans="1:7" x14ac:dyDescent="0.2">
      <c r="A475" s="5"/>
      <c r="B475" s="3"/>
      <c r="C475" s="3"/>
      <c r="D475" s="3"/>
      <c r="E475" s="3"/>
      <c r="F475" s="3"/>
      <c r="G475" s="3"/>
    </row>
    <row r="476" spans="1:7" x14ac:dyDescent="0.2">
      <c r="A476" s="5"/>
      <c r="B476" s="3"/>
      <c r="C476" s="3"/>
      <c r="D476" s="3"/>
      <c r="E476" s="3"/>
      <c r="F476" s="3"/>
      <c r="G476" s="3"/>
    </row>
    <row r="477" spans="1:7" x14ac:dyDescent="0.2">
      <c r="A477" s="5"/>
      <c r="B477" s="3"/>
      <c r="C477" s="3"/>
      <c r="D477" s="3"/>
      <c r="E477" s="3"/>
      <c r="F477" s="3"/>
      <c r="G477" s="3"/>
    </row>
    <row r="478" spans="1:7" x14ac:dyDescent="0.2">
      <c r="A478" s="5"/>
      <c r="B478" s="3"/>
      <c r="C478" s="3"/>
      <c r="D478" s="3"/>
      <c r="E478" s="3"/>
      <c r="F478" s="3"/>
      <c r="G478" s="3"/>
    </row>
    <row r="479" spans="1:7" x14ac:dyDescent="0.2">
      <c r="A479" s="5"/>
      <c r="B479" s="3"/>
      <c r="C479" s="3"/>
      <c r="D479" s="3"/>
      <c r="E479" s="3"/>
      <c r="F479" s="3"/>
      <c r="G479" s="3"/>
    </row>
    <row r="480" spans="1:7" x14ac:dyDescent="0.2">
      <c r="A480" s="5"/>
      <c r="B480" s="3"/>
      <c r="C480" s="3"/>
      <c r="D480" s="3"/>
      <c r="E480" s="3"/>
      <c r="F480" s="3"/>
      <c r="G480" s="3"/>
    </row>
    <row r="481" spans="1:7" x14ac:dyDescent="0.2">
      <c r="A481" s="5"/>
      <c r="B481" s="3"/>
      <c r="C481" s="3"/>
      <c r="D481" s="3"/>
      <c r="E481" s="3"/>
      <c r="F481" s="3"/>
      <c r="G481" s="3"/>
    </row>
    <row r="482" spans="1:7" x14ac:dyDescent="0.2">
      <c r="A482" s="5"/>
      <c r="B482" s="3"/>
      <c r="C482" s="3"/>
      <c r="D482" s="3"/>
      <c r="E482" s="3"/>
      <c r="F482" s="3"/>
      <c r="G482" s="3"/>
    </row>
    <row r="483" spans="1:7" x14ac:dyDescent="0.2">
      <c r="A483" s="5"/>
      <c r="B483" s="3"/>
      <c r="C483" s="3"/>
      <c r="D483" s="3"/>
      <c r="E483" s="3"/>
      <c r="F483" s="3"/>
      <c r="G483" s="3"/>
    </row>
    <row r="484" spans="1:7" x14ac:dyDescent="0.2">
      <c r="A484" s="5"/>
      <c r="B484" s="3"/>
      <c r="C484" s="3"/>
      <c r="D484" s="3"/>
      <c r="E484" s="3"/>
      <c r="F484" s="3"/>
      <c r="G484" s="3"/>
    </row>
    <row r="485" spans="1:7" x14ac:dyDescent="0.2">
      <c r="A485" s="5"/>
      <c r="B485" s="3"/>
      <c r="C485" s="3"/>
      <c r="D485" s="3"/>
      <c r="E485" s="3"/>
      <c r="F485" s="3"/>
      <c r="G485" s="3"/>
    </row>
    <row r="486" spans="1:7" x14ac:dyDescent="0.2">
      <c r="A486" s="5"/>
      <c r="B486" s="3"/>
      <c r="C486" s="3"/>
      <c r="D486" s="3"/>
      <c r="E486" s="3"/>
      <c r="F486" s="3"/>
      <c r="G486" s="3"/>
    </row>
    <row r="487" spans="1:7" x14ac:dyDescent="0.2">
      <c r="A487" s="5"/>
      <c r="B487" s="3"/>
      <c r="C487" s="3"/>
      <c r="D487" s="3"/>
      <c r="E487" s="3"/>
      <c r="F487" s="3"/>
      <c r="G487" s="3"/>
    </row>
    <row r="488" spans="1:7" x14ac:dyDescent="0.2">
      <c r="A488" s="5"/>
      <c r="B488" s="3"/>
      <c r="C488" s="3"/>
      <c r="D488" s="3"/>
      <c r="E488" s="3"/>
      <c r="F488" s="3"/>
      <c r="G488" s="3"/>
    </row>
    <row r="489" spans="1:7" x14ac:dyDescent="0.2">
      <c r="A489" s="5"/>
      <c r="B489" s="3"/>
      <c r="C489" s="3"/>
      <c r="D489" s="3"/>
      <c r="E489" s="3"/>
      <c r="F489" s="3"/>
      <c r="G489" s="3"/>
    </row>
    <row r="490" spans="1:7" x14ac:dyDescent="0.2">
      <c r="A490" s="5"/>
      <c r="B490" s="3"/>
      <c r="C490" s="3"/>
      <c r="D490" s="3"/>
      <c r="E490" s="3"/>
      <c r="F490" s="3"/>
      <c r="G490" s="3"/>
    </row>
    <row r="491" spans="1:7" x14ac:dyDescent="0.2">
      <c r="A491" s="5"/>
      <c r="B491" s="3"/>
      <c r="C491" s="3"/>
      <c r="D491" s="3"/>
      <c r="E491" s="3"/>
      <c r="F491" s="3"/>
      <c r="G491" s="3"/>
    </row>
    <row r="492" spans="1:7" x14ac:dyDescent="0.2">
      <c r="A492" s="5"/>
      <c r="B492" s="3"/>
      <c r="C492" s="3"/>
      <c r="D492" s="3"/>
      <c r="E492" s="3"/>
      <c r="F492" s="3"/>
      <c r="G492" s="3"/>
    </row>
    <row r="493" spans="1:7" x14ac:dyDescent="0.2">
      <c r="A493" s="5"/>
      <c r="B493" s="3"/>
      <c r="C493" s="3"/>
      <c r="D493" s="3"/>
      <c r="E493" s="3"/>
      <c r="F493" s="3"/>
      <c r="G493" s="3"/>
    </row>
    <row r="494" spans="1:7" x14ac:dyDescent="0.2">
      <c r="A494" s="5"/>
      <c r="B494" s="3"/>
      <c r="C494" s="3"/>
      <c r="D494" s="3"/>
      <c r="E494" s="3"/>
      <c r="F494" s="3"/>
      <c r="G494" s="3"/>
    </row>
    <row r="495" spans="1:7" x14ac:dyDescent="0.2">
      <c r="A495" s="5"/>
      <c r="B495" s="3"/>
      <c r="C495" s="3"/>
      <c r="D495" s="3"/>
      <c r="E495" s="3"/>
      <c r="F495" s="3"/>
      <c r="G495" s="3"/>
    </row>
    <row r="496" spans="1:7" x14ac:dyDescent="0.2">
      <c r="A496" s="5"/>
      <c r="B496" s="3"/>
      <c r="C496" s="3"/>
      <c r="D496" s="3"/>
      <c r="E496" s="3"/>
      <c r="F496" s="3"/>
      <c r="G496" s="3"/>
    </row>
    <row r="497" spans="1:7" x14ac:dyDescent="0.2">
      <c r="A497" s="5"/>
      <c r="B497" s="3"/>
      <c r="C497" s="3"/>
      <c r="D497" s="3"/>
      <c r="E497" s="3"/>
      <c r="F497" s="3"/>
      <c r="G497" s="3"/>
    </row>
    <row r="498" spans="1:7" x14ac:dyDescent="0.2">
      <c r="A498" s="5"/>
      <c r="B498" s="3"/>
      <c r="C498" s="3"/>
      <c r="D498" s="3"/>
      <c r="E498" s="3"/>
      <c r="F498" s="3"/>
      <c r="G498" s="3"/>
    </row>
    <row r="499" spans="1:7" x14ac:dyDescent="0.2">
      <c r="A499" s="5"/>
      <c r="B499" s="3"/>
      <c r="C499" s="3"/>
      <c r="D499" s="3"/>
      <c r="E499" s="3"/>
      <c r="F499" s="3"/>
      <c r="G499" s="3"/>
    </row>
    <row r="500" spans="1:7" x14ac:dyDescent="0.2">
      <c r="A500" s="5"/>
      <c r="B500" s="3"/>
      <c r="C500" s="3"/>
      <c r="D500" s="3"/>
      <c r="E500" s="3"/>
      <c r="F500" s="3"/>
      <c r="G500" s="3"/>
    </row>
    <row r="501" spans="1:7" x14ac:dyDescent="0.2">
      <c r="A501" s="5"/>
      <c r="B501" s="3"/>
      <c r="C501" s="3"/>
      <c r="D501" s="3"/>
      <c r="E501" s="3"/>
      <c r="F501" s="3"/>
      <c r="G501" s="3"/>
    </row>
    <row r="502" spans="1:7" x14ac:dyDescent="0.2">
      <c r="A502" s="5"/>
      <c r="B502" s="3"/>
      <c r="C502" s="3"/>
      <c r="D502" s="3"/>
      <c r="E502" s="3"/>
      <c r="F502" s="3"/>
      <c r="G502" s="3"/>
    </row>
    <row r="503" spans="1:7" x14ac:dyDescent="0.2">
      <c r="A503" s="5"/>
      <c r="B503" s="3"/>
      <c r="C503" s="3"/>
      <c r="D503" s="3"/>
      <c r="E503" s="3"/>
      <c r="F503" s="3"/>
      <c r="G503" s="3"/>
    </row>
    <row r="504" spans="1:7" x14ac:dyDescent="0.2">
      <c r="A504" s="5"/>
      <c r="B504" s="3"/>
      <c r="C504" s="3"/>
      <c r="D504" s="3"/>
      <c r="E504" s="3"/>
      <c r="F504" s="3"/>
      <c r="G504" s="3"/>
    </row>
    <row r="505" spans="1:7" x14ac:dyDescent="0.2">
      <c r="A505" s="5"/>
      <c r="B505" s="3"/>
      <c r="C505" s="3"/>
      <c r="D505" s="3"/>
      <c r="E505" s="3"/>
      <c r="F505" s="3"/>
      <c r="G505" s="3"/>
    </row>
    <row r="506" spans="1:7" x14ac:dyDescent="0.2">
      <c r="A506" s="5"/>
      <c r="B506" s="3"/>
      <c r="C506" s="3"/>
      <c r="D506" s="3"/>
      <c r="E506" s="3"/>
      <c r="F506" s="3"/>
      <c r="G506" s="3"/>
    </row>
    <row r="507" spans="1:7" x14ac:dyDescent="0.2">
      <c r="A507" s="5"/>
      <c r="B507" s="3"/>
      <c r="C507" s="3"/>
      <c r="D507" s="3"/>
      <c r="E507" s="3"/>
      <c r="F507" s="3"/>
      <c r="G507" s="3"/>
    </row>
    <row r="508" spans="1:7" x14ac:dyDescent="0.2">
      <c r="A508" s="5"/>
      <c r="B508" s="3"/>
      <c r="C508" s="3"/>
      <c r="D508" s="3"/>
      <c r="E508" s="3"/>
      <c r="F508" s="3"/>
      <c r="G508" s="3"/>
    </row>
    <row r="509" spans="1:7" x14ac:dyDescent="0.2">
      <c r="A509" s="5"/>
      <c r="B509" s="3"/>
      <c r="C509" s="3"/>
      <c r="D509" s="3"/>
      <c r="E509" s="3"/>
      <c r="F509" s="3"/>
      <c r="G509" s="3"/>
    </row>
    <row r="510" spans="1:7" x14ac:dyDescent="0.2">
      <c r="A510" s="5"/>
      <c r="B510" s="3"/>
      <c r="C510" s="3"/>
      <c r="D510" s="3"/>
      <c r="E510" s="3"/>
      <c r="F510" s="3"/>
      <c r="G510" s="3"/>
    </row>
    <row r="511" spans="1:7" x14ac:dyDescent="0.2">
      <c r="A511" s="5"/>
      <c r="B511" s="3"/>
      <c r="C511" s="3"/>
      <c r="D511" s="3"/>
      <c r="E511" s="3"/>
      <c r="F511" s="3"/>
      <c r="G511" s="3"/>
    </row>
    <row r="512" spans="1:7" x14ac:dyDescent="0.2">
      <c r="A512" s="5"/>
      <c r="B512" s="3"/>
      <c r="C512" s="3"/>
      <c r="D512" s="3"/>
      <c r="E512" s="3"/>
      <c r="F512" s="3"/>
      <c r="G512" s="3"/>
    </row>
    <row r="513" spans="1:7" x14ac:dyDescent="0.2">
      <c r="A513" s="5"/>
      <c r="B513" s="3"/>
      <c r="C513" s="3"/>
      <c r="D513" s="3"/>
      <c r="E513" s="3"/>
      <c r="F513" s="3"/>
      <c r="G513" s="3"/>
    </row>
    <row r="514" spans="1:7" x14ac:dyDescent="0.2">
      <c r="A514" s="5"/>
      <c r="B514" s="3"/>
      <c r="C514" s="3"/>
      <c r="D514" s="3"/>
      <c r="E514" s="3"/>
      <c r="F514" s="3"/>
      <c r="G514" s="3"/>
    </row>
    <row r="515" spans="1:7" x14ac:dyDescent="0.2">
      <c r="A515" s="5"/>
      <c r="B515" s="3"/>
      <c r="C515" s="3"/>
      <c r="D515" s="3"/>
      <c r="E515" s="3"/>
      <c r="F515" s="3"/>
      <c r="G515" s="3"/>
    </row>
    <row r="516" spans="1:7" x14ac:dyDescent="0.2">
      <c r="A516" s="5"/>
      <c r="B516" s="3"/>
      <c r="C516" s="3"/>
      <c r="D516" s="3"/>
      <c r="E516" s="3"/>
      <c r="F516" s="3"/>
      <c r="G516" s="3"/>
    </row>
    <row r="517" spans="1:7" x14ac:dyDescent="0.2">
      <c r="A517" s="5"/>
      <c r="B517" s="3"/>
      <c r="C517" s="3"/>
      <c r="D517" s="3"/>
      <c r="E517" s="3"/>
      <c r="F517" s="3"/>
      <c r="G517" s="3"/>
    </row>
    <row r="518" spans="1:7" x14ac:dyDescent="0.2">
      <c r="A518" s="5"/>
      <c r="B518" s="3"/>
      <c r="C518" s="3"/>
      <c r="D518" s="3"/>
      <c r="E518" s="3"/>
      <c r="F518" s="3"/>
      <c r="G518" s="3"/>
    </row>
    <row r="519" spans="1:7" x14ac:dyDescent="0.2">
      <c r="A519" s="5"/>
      <c r="B519" s="3"/>
      <c r="C519" s="3"/>
      <c r="D519" s="3"/>
      <c r="E519" s="3"/>
      <c r="F519" s="3"/>
      <c r="G519" s="3"/>
    </row>
    <row r="520" spans="1:7" x14ac:dyDescent="0.2">
      <c r="A520" s="5"/>
      <c r="B520" s="3"/>
      <c r="C520" s="3"/>
      <c r="D520" s="3"/>
      <c r="E520" s="3"/>
      <c r="F520" s="3"/>
      <c r="G520" s="3"/>
    </row>
    <row r="521" spans="1:7" x14ac:dyDescent="0.2">
      <c r="A521" s="5"/>
      <c r="B521" s="3"/>
      <c r="C521" s="3"/>
      <c r="D521" s="3"/>
      <c r="E521" s="3"/>
      <c r="F521" s="3"/>
      <c r="G521" s="3"/>
    </row>
    <row r="522" spans="1:7" x14ac:dyDescent="0.2">
      <c r="A522" s="5"/>
      <c r="B522" s="3"/>
      <c r="C522" s="3"/>
      <c r="D522" s="3"/>
      <c r="E522" s="3"/>
      <c r="F522" s="3"/>
      <c r="G522" s="3"/>
    </row>
    <row r="523" spans="1:7" x14ac:dyDescent="0.2">
      <c r="A523" s="5"/>
      <c r="B523" s="3"/>
      <c r="C523" s="3"/>
      <c r="D523" s="3"/>
      <c r="E523" s="3"/>
      <c r="F523" s="3"/>
      <c r="G523" s="3"/>
    </row>
    <row r="524" spans="1:7" x14ac:dyDescent="0.2">
      <c r="A524" s="5"/>
      <c r="B524" s="3"/>
      <c r="C524" s="3"/>
      <c r="D524" s="3"/>
      <c r="E524" s="3"/>
      <c r="F524" s="3"/>
      <c r="G524" s="3"/>
    </row>
    <row r="525" spans="1:7" x14ac:dyDescent="0.2">
      <c r="A525" s="5"/>
      <c r="B525" s="3"/>
      <c r="C525" s="3"/>
      <c r="D525" s="3"/>
      <c r="E525" s="3"/>
      <c r="F525" s="3"/>
      <c r="G525" s="3"/>
    </row>
    <row r="526" spans="1:7" x14ac:dyDescent="0.2">
      <c r="A526" s="5"/>
      <c r="B526" s="3"/>
      <c r="C526" s="3"/>
      <c r="D526" s="3"/>
      <c r="E526" s="3"/>
      <c r="F526" s="3"/>
      <c r="G526" s="3"/>
    </row>
    <row r="527" spans="1:7" x14ac:dyDescent="0.2">
      <c r="A527" s="5"/>
      <c r="B527" s="3"/>
      <c r="C527" s="3"/>
      <c r="D527" s="3"/>
      <c r="E527" s="3"/>
      <c r="F527" s="3"/>
      <c r="G527" s="3"/>
    </row>
    <row r="528" spans="1:7" x14ac:dyDescent="0.2">
      <c r="A528" s="5"/>
      <c r="B528" s="3"/>
      <c r="C528" s="3"/>
      <c r="D528" s="3"/>
      <c r="E528" s="3"/>
      <c r="F528" s="3"/>
      <c r="G528" s="3"/>
    </row>
    <row r="529" spans="1:7" x14ac:dyDescent="0.2">
      <c r="A529" s="5"/>
      <c r="B529" s="3"/>
      <c r="C529" s="3"/>
      <c r="D529" s="3"/>
      <c r="E529" s="3"/>
      <c r="F529" s="3"/>
      <c r="G529" s="3"/>
    </row>
    <row r="530" spans="1:7" x14ac:dyDescent="0.2">
      <c r="A530" s="5"/>
      <c r="B530" s="3"/>
      <c r="C530" s="3"/>
      <c r="D530" s="3"/>
      <c r="E530" s="3"/>
      <c r="F530" s="3"/>
      <c r="G530" s="3"/>
    </row>
    <row r="531" spans="1:7" x14ac:dyDescent="0.2">
      <c r="A531" s="5"/>
      <c r="B531" s="3"/>
      <c r="C531" s="3"/>
      <c r="D531" s="3"/>
      <c r="E531" s="3"/>
      <c r="F531" s="3"/>
      <c r="G531" s="3"/>
    </row>
    <row r="532" spans="1:7" x14ac:dyDescent="0.2">
      <c r="A532" s="5"/>
      <c r="B532" s="3"/>
      <c r="C532" s="3"/>
      <c r="D532" s="3"/>
      <c r="E532" s="3"/>
      <c r="F532" s="3"/>
      <c r="G532" s="3"/>
    </row>
    <row r="533" spans="1:7" x14ac:dyDescent="0.2">
      <c r="A533" s="5"/>
      <c r="B533" s="3"/>
      <c r="C533" s="3"/>
      <c r="D533" s="3"/>
      <c r="E533" s="3"/>
      <c r="F533" s="3"/>
      <c r="G533" s="3"/>
    </row>
    <row r="534" spans="1:7" x14ac:dyDescent="0.2">
      <c r="A534" s="5"/>
      <c r="B534" s="3"/>
      <c r="C534" s="3"/>
      <c r="D534" s="3"/>
      <c r="E534" s="3"/>
      <c r="F534" s="3"/>
      <c r="G534" s="3"/>
    </row>
    <row r="535" spans="1:7" x14ac:dyDescent="0.2">
      <c r="A535" s="5"/>
      <c r="B535" s="3"/>
      <c r="C535" s="3"/>
      <c r="D535" s="3"/>
      <c r="E535" s="3"/>
      <c r="F535" s="3"/>
      <c r="G535" s="3"/>
    </row>
    <row r="536" spans="1:7" x14ac:dyDescent="0.2">
      <c r="A536" s="5"/>
      <c r="B536" s="3"/>
      <c r="C536" s="3"/>
      <c r="D536" s="3"/>
      <c r="E536" s="3"/>
      <c r="F536" s="3"/>
      <c r="G536" s="3"/>
    </row>
    <row r="537" spans="1:7" x14ac:dyDescent="0.2">
      <c r="A537" s="5"/>
      <c r="B537" s="3"/>
      <c r="C537" s="3"/>
      <c r="D537" s="3"/>
      <c r="E537" s="3"/>
      <c r="F537" s="3"/>
      <c r="G537" s="3"/>
    </row>
    <row r="538" spans="1:7" x14ac:dyDescent="0.2">
      <c r="A538" s="5"/>
      <c r="B538" s="3"/>
      <c r="C538" s="3"/>
      <c r="D538" s="3"/>
      <c r="E538" s="3"/>
      <c r="F538" s="3"/>
      <c r="G538" s="3"/>
    </row>
    <row r="539" spans="1:7" x14ac:dyDescent="0.2">
      <c r="A539" s="5"/>
      <c r="B539" s="3"/>
      <c r="C539" s="3"/>
      <c r="D539" s="3"/>
      <c r="E539" s="3"/>
      <c r="F539" s="3"/>
      <c r="G539" s="3"/>
    </row>
    <row r="540" spans="1:7" x14ac:dyDescent="0.2">
      <c r="A540" s="5"/>
      <c r="B540" s="3"/>
      <c r="C540" s="3"/>
      <c r="D540" s="3"/>
      <c r="E540" s="3"/>
      <c r="F540" s="3"/>
      <c r="G540" s="3"/>
    </row>
    <row r="541" spans="1:7" x14ac:dyDescent="0.2">
      <c r="A541" s="5"/>
      <c r="B541" s="3"/>
      <c r="C541" s="3"/>
      <c r="D541" s="3"/>
      <c r="E541" s="3"/>
      <c r="F541" s="3"/>
      <c r="G541" s="3"/>
    </row>
    <row r="542" spans="1:7" x14ac:dyDescent="0.2">
      <c r="A542" s="5"/>
      <c r="B542" s="3"/>
      <c r="C542" s="3"/>
      <c r="D542" s="3"/>
      <c r="E542" s="3"/>
      <c r="F542" s="3"/>
      <c r="G542" s="3"/>
    </row>
    <row r="543" spans="1:7" x14ac:dyDescent="0.2">
      <c r="A543" s="5"/>
      <c r="B543" s="3"/>
      <c r="C543" s="3"/>
      <c r="D543" s="3"/>
      <c r="E543" s="3"/>
      <c r="F543" s="3"/>
      <c r="G543" s="3"/>
    </row>
    <row r="544" spans="1:7" x14ac:dyDescent="0.2">
      <c r="A544" s="5"/>
      <c r="B544" s="3"/>
      <c r="C544" s="3"/>
      <c r="D544" s="3"/>
      <c r="E544" s="3"/>
      <c r="F544" s="3"/>
      <c r="G544" s="3"/>
    </row>
    <row r="545" spans="1:7" x14ac:dyDescent="0.2">
      <c r="A545" s="5"/>
      <c r="B545" s="3"/>
      <c r="C545" s="3"/>
      <c r="D545" s="3"/>
      <c r="E545" s="3"/>
      <c r="F545" s="3"/>
      <c r="G545" s="3"/>
    </row>
    <row r="546" spans="1:7" x14ac:dyDescent="0.2">
      <c r="A546" s="5"/>
      <c r="B546" s="3"/>
      <c r="C546" s="3"/>
      <c r="D546" s="3"/>
      <c r="E546" s="3"/>
      <c r="F546" s="3"/>
      <c r="G546" s="3"/>
    </row>
    <row r="547" spans="1:7" x14ac:dyDescent="0.2">
      <c r="A547" s="5"/>
      <c r="B547" s="3"/>
      <c r="C547" s="3"/>
      <c r="D547" s="3"/>
      <c r="E547" s="3"/>
      <c r="F547" s="3"/>
      <c r="G547" s="3"/>
    </row>
    <row r="548" spans="1:7" x14ac:dyDescent="0.2">
      <c r="A548" s="5"/>
      <c r="B548" s="3"/>
      <c r="C548" s="3"/>
      <c r="D548" s="3"/>
      <c r="E548" s="3"/>
      <c r="F548" s="3"/>
      <c r="G548" s="3"/>
    </row>
    <row r="549" spans="1:7" x14ac:dyDescent="0.2">
      <c r="A549" s="5"/>
      <c r="B549" s="3"/>
      <c r="C549" s="3"/>
      <c r="D549" s="3"/>
      <c r="E549" s="3"/>
      <c r="F549" s="3"/>
      <c r="G549" s="3"/>
    </row>
    <row r="550" spans="1:7" x14ac:dyDescent="0.2">
      <c r="A550" s="5"/>
      <c r="B550" s="3"/>
      <c r="C550" s="3"/>
      <c r="D550" s="3"/>
      <c r="E550" s="3"/>
      <c r="F550" s="3"/>
      <c r="G550" s="3"/>
    </row>
    <row r="551" spans="1:7" x14ac:dyDescent="0.2">
      <c r="A551" s="5"/>
      <c r="B551" s="3"/>
      <c r="C551" s="3"/>
      <c r="D551" s="3"/>
      <c r="E551" s="3"/>
      <c r="F551" s="3"/>
      <c r="G551" s="3"/>
    </row>
    <row r="552" spans="1:7" x14ac:dyDescent="0.2">
      <c r="A552" s="5"/>
      <c r="B552" s="3"/>
      <c r="C552" s="3"/>
      <c r="D552" s="3"/>
      <c r="E552" s="3"/>
      <c r="F552" s="3"/>
      <c r="G552" s="3"/>
    </row>
    <row r="553" spans="1:7" x14ac:dyDescent="0.2">
      <c r="A553" s="5"/>
      <c r="B553" s="3"/>
      <c r="C553" s="3"/>
      <c r="D553" s="3"/>
      <c r="E553" s="3"/>
      <c r="F553" s="3"/>
      <c r="G553" s="3"/>
    </row>
    <row r="554" spans="1:7" x14ac:dyDescent="0.2">
      <c r="A554" s="5"/>
      <c r="B554" s="3"/>
      <c r="C554" s="3"/>
      <c r="D554" s="3"/>
      <c r="E554" s="3"/>
      <c r="F554" s="3"/>
      <c r="G554" s="3"/>
    </row>
    <row r="555" spans="1:7" x14ac:dyDescent="0.2">
      <c r="A555" s="5"/>
      <c r="B555" s="3"/>
      <c r="C555" s="3"/>
      <c r="D555" s="3"/>
      <c r="E555" s="3"/>
      <c r="F555" s="3"/>
      <c r="G555" s="3"/>
    </row>
    <row r="556" spans="1:7" x14ac:dyDescent="0.2">
      <c r="A556" s="5"/>
      <c r="B556" s="3"/>
      <c r="C556" s="3"/>
      <c r="D556" s="3"/>
      <c r="E556" s="3"/>
      <c r="F556" s="3"/>
      <c r="G556" s="3"/>
    </row>
    <row r="557" spans="1:7" x14ac:dyDescent="0.2">
      <c r="A557" s="5"/>
      <c r="B557" s="3"/>
      <c r="C557" s="3"/>
      <c r="D557" s="3"/>
      <c r="E557" s="3"/>
      <c r="F557" s="3"/>
      <c r="G557" s="3"/>
    </row>
    <row r="558" spans="1:7" x14ac:dyDescent="0.2">
      <c r="A558" s="5"/>
      <c r="B558" s="3"/>
      <c r="C558" s="3"/>
      <c r="D558" s="3"/>
      <c r="E558" s="3"/>
      <c r="F558" s="3"/>
      <c r="G558" s="3"/>
    </row>
    <row r="559" spans="1:7" x14ac:dyDescent="0.2">
      <c r="A559" s="5"/>
      <c r="B559" s="3"/>
      <c r="C559" s="3"/>
      <c r="D559" s="3"/>
      <c r="E559" s="3"/>
      <c r="F559" s="3"/>
      <c r="G559" s="3"/>
    </row>
    <row r="560" spans="1:7" x14ac:dyDescent="0.2">
      <c r="A560" s="5"/>
      <c r="B560" s="3"/>
      <c r="C560" s="3"/>
      <c r="D560" s="3"/>
      <c r="E560" s="3"/>
      <c r="F560" s="3"/>
      <c r="G560" s="3"/>
    </row>
    <row r="561" spans="1:7" x14ac:dyDescent="0.2">
      <c r="A561" s="5"/>
      <c r="B561" s="3"/>
      <c r="C561" s="3"/>
      <c r="D561" s="3"/>
      <c r="E561" s="3"/>
      <c r="F561" s="3"/>
      <c r="G561" s="3"/>
    </row>
    <row r="562" spans="1:7" x14ac:dyDescent="0.2">
      <c r="A562" s="5"/>
      <c r="B562" s="3"/>
      <c r="C562" s="3"/>
      <c r="D562" s="3"/>
      <c r="E562" s="3"/>
      <c r="F562" s="3"/>
      <c r="G562" s="3"/>
    </row>
    <row r="563" spans="1:7" x14ac:dyDescent="0.2">
      <c r="A563" s="5"/>
      <c r="B563" s="3"/>
      <c r="C563" s="3"/>
      <c r="D563" s="3"/>
      <c r="E563" s="3"/>
      <c r="F563" s="3"/>
      <c r="G563" s="3"/>
    </row>
    <row r="564" spans="1:7" x14ac:dyDescent="0.2">
      <c r="A564" s="5"/>
      <c r="B564" s="3"/>
      <c r="C564" s="3"/>
      <c r="D564" s="3"/>
      <c r="E564" s="3"/>
      <c r="F564" s="3"/>
      <c r="G564" s="3"/>
    </row>
    <row r="565" spans="1:7" x14ac:dyDescent="0.2">
      <c r="A565" s="5"/>
      <c r="B565" s="3"/>
      <c r="C565" s="3"/>
      <c r="D565" s="3"/>
      <c r="E565" s="3"/>
      <c r="F565" s="3"/>
      <c r="G565" s="3"/>
    </row>
    <row r="566" spans="1:7" x14ac:dyDescent="0.2">
      <c r="A566" s="5"/>
      <c r="B566" s="3"/>
      <c r="C566" s="3"/>
      <c r="D566" s="3"/>
      <c r="E566" s="3"/>
      <c r="F566" s="3"/>
      <c r="G566" s="3"/>
    </row>
    <row r="567" spans="1:7" x14ac:dyDescent="0.2">
      <c r="A567" s="5"/>
      <c r="B567" s="3"/>
      <c r="C567" s="3"/>
      <c r="D567" s="3"/>
      <c r="E567" s="3"/>
      <c r="F567" s="3"/>
      <c r="G567" s="3"/>
    </row>
    <row r="568" spans="1:7" x14ac:dyDescent="0.2">
      <c r="A568" s="5"/>
      <c r="B568" s="3"/>
      <c r="C568" s="3"/>
      <c r="D568" s="3"/>
      <c r="E568" s="3"/>
      <c r="F568" s="3"/>
      <c r="G568" s="3"/>
    </row>
    <row r="569" spans="1:7" x14ac:dyDescent="0.2">
      <c r="A569" s="5"/>
      <c r="B569" s="3"/>
      <c r="C569" s="3"/>
      <c r="D569" s="3"/>
      <c r="E569" s="3"/>
      <c r="F569" s="3"/>
      <c r="G569" s="3"/>
    </row>
    <row r="570" spans="1:7" x14ac:dyDescent="0.2">
      <c r="A570" s="5"/>
      <c r="B570" s="3"/>
      <c r="C570" s="3"/>
      <c r="D570" s="3"/>
      <c r="E570" s="3"/>
      <c r="F570" s="3"/>
      <c r="G570" s="3"/>
    </row>
    <row r="571" spans="1:7" x14ac:dyDescent="0.2">
      <c r="A571" s="5"/>
      <c r="B571" s="3"/>
      <c r="C571" s="3"/>
      <c r="D571" s="3"/>
      <c r="E571" s="3"/>
      <c r="F571" s="3"/>
      <c r="G571" s="3"/>
    </row>
    <row r="572" spans="1:7" x14ac:dyDescent="0.2">
      <c r="A572" s="5"/>
      <c r="B572" s="3"/>
      <c r="C572" s="3"/>
      <c r="D572" s="3"/>
      <c r="E572" s="3"/>
      <c r="F572" s="3"/>
      <c r="G572" s="3"/>
    </row>
    <row r="573" spans="1:7" x14ac:dyDescent="0.2">
      <c r="A573" s="5"/>
      <c r="B573" s="3"/>
      <c r="C573" s="3"/>
      <c r="D573" s="3"/>
      <c r="E573" s="3"/>
      <c r="F573" s="3"/>
      <c r="G573" s="3"/>
    </row>
    <row r="574" spans="1:7" x14ac:dyDescent="0.2">
      <c r="A574" s="5"/>
      <c r="B574" s="3"/>
      <c r="C574" s="3"/>
      <c r="D574" s="3"/>
      <c r="E574" s="3"/>
      <c r="F574" s="3"/>
      <c r="G574" s="3"/>
    </row>
    <row r="575" spans="1:7" x14ac:dyDescent="0.2">
      <c r="A575" s="5"/>
      <c r="B575" s="3"/>
      <c r="C575" s="3"/>
      <c r="D575" s="3"/>
      <c r="E575" s="3"/>
      <c r="F575" s="3"/>
      <c r="G575" s="3"/>
    </row>
    <row r="576" spans="1:7" x14ac:dyDescent="0.2">
      <c r="A576" s="5"/>
      <c r="B576" s="3"/>
      <c r="C576" s="3"/>
      <c r="D576" s="3"/>
      <c r="E576" s="3"/>
      <c r="F576" s="3"/>
      <c r="G576" s="3"/>
    </row>
    <row r="577" spans="1:7" x14ac:dyDescent="0.2">
      <c r="A577" s="5"/>
      <c r="B577" s="3"/>
      <c r="C577" s="3"/>
      <c r="D577" s="3"/>
      <c r="E577" s="3"/>
      <c r="F577" s="3"/>
      <c r="G577" s="3"/>
    </row>
    <row r="578" spans="1:7" x14ac:dyDescent="0.2">
      <c r="A578" s="5"/>
      <c r="B578" s="3"/>
      <c r="C578" s="3"/>
      <c r="D578" s="3"/>
      <c r="E578" s="3"/>
      <c r="F578" s="3"/>
      <c r="G578" s="3"/>
    </row>
    <row r="579" spans="1:7" x14ac:dyDescent="0.2">
      <c r="A579" s="5"/>
      <c r="B579" s="3"/>
      <c r="C579" s="3"/>
      <c r="D579" s="3"/>
      <c r="E579" s="3"/>
      <c r="F579" s="3"/>
      <c r="G579" s="3"/>
    </row>
    <row r="580" spans="1:7" x14ac:dyDescent="0.2">
      <c r="A580" s="5"/>
      <c r="B580" s="3"/>
      <c r="C580" s="3"/>
      <c r="D580" s="3"/>
      <c r="E580" s="3"/>
      <c r="F580" s="3"/>
      <c r="G580" s="3"/>
    </row>
    <row r="581" spans="1:7" x14ac:dyDescent="0.2">
      <c r="A581" s="5"/>
      <c r="B581" s="3"/>
      <c r="C581" s="3"/>
      <c r="D581" s="3"/>
      <c r="E581" s="3"/>
      <c r="F581" s="3"/>
      <c r="G581" s="3"/>
    </row>
    <row r="582" spans="1:7" x14ac:dyDescent="0.2">
      <c r="A582" s="5"/>
      <c r="B582" s="3"/>
      <c r="C582" s="3"/>
      <c r="D582" s="3"/>
      <c r="E582" s="3"/>
      <c r="F582" s="3"/>
      <c r="G582" s="3"/>
    </row>
    <row r="583" spans="1:7" x14ac:dyDescent="0.2">
      <c r="A583" s="5"/>
      <c r="B583" s="3"/>
      <c r="C583" s="3"/>
      <c r="D583" s="3"/>
      <c r="E583" s="3"/>
      <c r="F583" s="3"/>
      <c r="G583" s="3"/>
    </row>
    <row r="584" spans="1:7" x14ac:dyDescent="0.2">
      <c r="A584" s="5"/>
      <c r="B584" s="3"/>
      <c r="C584" s="3"/>
      <c r="D584" s="3"/>
      <c r="E584" s="3"/>
      <c r="F584" s="3"/>
      <c r="G584" s="3"/>
    </row>
    <row r="585" spans="1:7" x14ac:dyDescent="0.2">
      <c r="A585" s="5"/>
      <c r="B585" s="3"/>
      <c r="C585" s="3"/>
      <c r="D585" s="3"/>
      <c r="E585" s="3"/>
      <c r="F585" s="3"/>
      <c r="G585" s="3"/>
    </row>
    <row r="586" spans="1:7" x14ac:dyDescent="0.2">
      <c r="A586" s="5"/>
      <c r="B586" s="3"/>
      <c r="C586" s="3"/>
      <c r="D586" s="3"/>
      <c r="E586" s="3"/>
      <c r="F586" s="3"/>
      <c r="G586" s="3"/>
    </row>
    <row r="587" spans="1:7" x14ac:dyDescent="0.2">
      <c r="A587" s="5"/>
      <c r="B587" s="3"/>
      <c r="C587" s="3"/>
      <c r="D587" s="3"/>
      <c r="E587" s="3"/>
      <c r="F587" s="3"/>
      <c r="G587" s="3"/>
    </row>
    <row r="588" spans="1:7" x14ac:dyDescent="0.2">
      <c r="A588" s="5"/>
      <c r="B588" s="3"/>
      <c r="C588" s="3"/>
      <c r="D588" s="3"/>
      <c r="E588" s="3"/>
      <c r="F588" s="3"/>
      <c r="G588" s="3"/>
    </row>
    <row r="589" spans="1:7" x14ac:dyDescent="0.2">
      <c r="A589" s="5"/>
      <c r="B589" s="3"/>
      <c r="C589" s="3"/>
      <c r="D589" s="3"/>
      <c r="E589" s="3"/>
      <c r="F589" s="3"/>
      <c r="G589" s="3"/>
    </row>
    <row r="590" spans="1:7" x14ac:dyDescent="0.2">
      <c r="A590" s="5"/>
      <c r="B590" s="3"/>
      <c r="C590" s="3"/>
      <c r="D590" s="3"/>
      <c r="E590" s="3"/>
      <c r="F590" s="3"/>
      <c r="G590" s="3"/>
    </row>
    <row r="591" spans="1:7" x14ac:dyDescent="0.2">
      <c r="A591" s="5"/>
      <c r="B591" s="3"/>
      <c r="C591" s="3"/>
      <c r="D591" s="3"/>
      <c r="E591" s="3"/>
      <c r="F591" s="3"/>
      <c r="G591" s="3"/>
    </row>
    <row r="592" spans="1:7" x14ac:dyDescent="0.2">
      <c r="A592" s="5"/>
      <c r="B592" s="3"/>
      <c r="C592" s="3"/>
      <c r="D592" s="3"/>
      <c r="E592" s="3"/>
      <c r="F592" s="3"/>
      <c r="G592" s="3"/>
    </row>
    <row r="593" spans="1:7" x14ac:dyDescent="0.2">
      <c r="A593" s="5"/>
      <c r="B593" s="3"/>
      <c r="C593" s="3"/>
      <c r="D593" s="3"/>
      <c r="E593" s="3"/>
      <c r="F593" s="3"/>
      <c r="G593" s="3"/>
    </row>
    <row r="594" spans="1:7" x14ac:dyDescent="0.2">
      <c r="A594" s="5"/>
      <c r="B594" s="3"/>
      <c r="C594" s="3"/>
      <c r="D594" s="3"/>
      <c r="E594" s="3"/>
      <c r="F594" s="3"/>
      <c r="G594" s="3"/>
    </row>
    <row r="595" spans="1:7" x14ac:dyDescent="0.2">
      <c r="A595" s="5"/>
      <c r="B595" s="3"/>
      <c r="C595" s="3"/>
      <c r="D595" s="3"/>
      <c r="E595" s="3"/>
      <c r="F595" s="3"/>
      <c r="G595" s="3"/>
    </row>
    <row r="596" spans="1:7" x14ac:dyDescent="0.2">
      <c r="A596" s="5"/>
      <c r="B596" s="3"/>
      <c r="C596" s="3"/>
      <c r="D596" s="3"/>
      <c r="E596" s="3"/>
      <c r="F596" s="3"/>
      <c r="G596" s="3"/>
    </row>
    <row r="597" spans="1:7" x14ac:dyDescent="0.2">
      <c r="A597" s="5"/>
      <c r="B597" s="3"/>
      <c r="C597" s="3"/>
      <c r="D597" s="3"/>
      <c r="E597" s="3"/>
      <c r="F597" s="3"/>
      <c r="G597" s="3"/>
    </row>
    <row r="598" spans="1:7" x14ac:dyDescent="0.2">
      <c r="A598" s="5"/>
      <c r="B598" s="3"/>
      <c r="C598" s="3"/>
      <c r="D598" s="3"/>
      <c r="E598" s="3"/>
      <c r="F598" s="3"/>
      <c r="G598" s="3"/>
    </row>
    <row r="599" spans="1:7" x14ac:dyDescent="0.2">
      <c r="A599" s="5"/>
      <c r="B599" s="3"/>
      <c r="C599" s="3"/>
      <c r="D599" s="3"/>
      <c r="E599" s="3"/>
      <c r="F599" s="3"/>
      <c r="G599" s="3"/>
    </row>
    <row r="600" spans="1:7" x14ac:dyDescent="0.2">
      <c r="A600" s="5"/>
      <c r="B600" s="3"/>
      <c r="C600" s="3"/>
      <c r="D600" s="3"/>
      <c r="E600" s="3"/>
      <c r="F600" s="3"/>
      <c r="G600" s="3"/>
    </row>
    <row r="601" spans="1:7" x14ac:dyDescent="0.2">
      <c r="A601" s="5"/>
      <c r="B601" s="3"/>
      <c r="C601" s="3"/>
      <c r="D601" s="3"/>
      <c r="E601" s="3"/>
      <c r="F601" s="3"/>
      <c r="G601" s="3"/>
    </row>
    <row r="602" spans="1:7" x14ac:dyDescent="0.2">
      <c r="A602" s="5"/>
      <c r="B602" s="3"/>
      <c r="C602" s="3"/>
      <c r="D602" s="3"/>
      <c r="E602" s="3"/>
      <c r="F602" s="3"/>
      <c r="G602" s="3"/>
    </row>
    <row r="603" spans="1:7" x14ac:dyDescent="0.2">
      <c r="A603" s="5"/>
      <c r="B603" s="3"/>
      <c r="C603" s="3"/>
      <c r="D603" s="3"/>
      <c r="E603" s="3"/>
      <c r="F603" s="3"/>
      <c r="G603" s="3"/>
    </row>
    <row r="604" spans="1:7" x14ac:dyDescent="0.2">
      <c r="A604" s="5"/>
      <c r="B604" s="3"/>
      <c r="C604" s="3"/>
      <c r="D604" s="3"/>
      <c r="E604" s="3"/>
      <c r="F604" s="3"/>
      <c r="G604" s="3"/>
    </row>
    <row r="605" spans="1:7" x14ac:dyDescent="0.2">
      <c r="A605" s="5"/>
      <c r="B605" s="3"/>
      <c r="C605" s="3"/>
      <c r="D605" s="3"/>
      <c r="E605" s="3"/>
      <c r="F605" s="3"/>
      <c r="G605" s="3"/>
    </row>
    <row r="606" spans="1:7" x14ac:dyDescent="0.2">
      <c r="A606" s="5"/>
      <c r="B606" s="3"/>
      <c r="C606" s="3"/>
      <c r="D606" s="3"/>
      <c r="E606" s="3"/>
      <c r="F606" s="3"/>
      <c r="G606" s="3"/>
    </row>
    <row r="607" spans="1:7" x14ac:dyDescent="0.2">
      <c r="A607" s="5"/>
      <c r="B607" s="3"/>
      <c r="C607" s="3"/>
      <c r="D607" s="3"/>
      <c r="E607" s="3"/>
      <c r="F607" s="3"/>
      <c r="G607" s="3"/>
    </row>
    <row r="608" spans="1:7" x14ac:dyDescent="0.2">
      <c r="A608" s="5"/>
      <c r="B608" s="3"/>
      <c r="C608" s="3"/>
      <c r="D608" s="3"/>
      <c r="E608" s="3"/>
      <c r="F608" s="3"/>
      <c r="G608" s="3"/>
    </row>
    <row r="609" spans="1:7" x14ac:dyDescent="0.2">
      <c r="A609" s="5"/>
      <c r="B609" s="3"/>
      <c r="C609" s="3"/>
      <c r="D609" s="3"/>
      <c r="E609" s="3"/>
      <c r="F609" s="3"/>
      <c r="G609" s="3"/>
    </row>
    <row r="610" spans="1:7" x14ac:dyDescent="0.2">
      <c r="A610" s="5"/>
      <c r="B610" s="3"/>
      <c r="C610" s="3"/>
      <c r="D610" s="3"/>
      <c r="E610" s="3"/>
      <c r="F610" s="3"/>
      <c r="G610" s="3"/>
    </row>
    <row r="611" spans="1:7" x14ac:dyDescent="0.2">
      <c r="A611" s="5"/>
      <c r="B611" s="3"/>
      <c r="C611" s="3"/>
      <c r="D611" s="3"/>
      <c r="E611" s="3"/>
      <c r="F611" s="3"/>
      <c r="G611" s="3"/>
    </row>
    <row r="612" spans="1:7" x14ac:dyDescent="0.2">
      <c r="A612" s="5"/>
      <c r="B612" s="3"/>
      <c r="C612" s="3"/>
      <c r="D612" s="3"/>
      <c r="E612" s="3"/>
      <c r="F612" s="3"/>
      <c r="G612" s="3"/>
    </row>
    <row r="613" spans="1:7" x14ac:dyDescent="0.2">
      <c r="A613" s="5"/>
      <c r="B613" s="3"/>
      <c r="C613" s="3"/>
      <c r="D613" s="3"/>
      <c r="E613" s="3"/>
      <c r="F613" s="3"/>
      <c r="G613" s="3"/>
    </row>
    <row r="614" spans="1:7" x14ac:dyDescent="0.2">
      <c r="A614" s="5"/>
      <c r="B614" s="3"/>
      <c r="C614" s="3"/>
      <c r="D614" s="3"/>
      <c r="E614" s="3"/>
      <c r="F614" s="3"/>
      <c r="G614" s="3"/>
    </row>
    <row r="615" spans="1:7" x14ac:dyDescent="0.2">
      <c r="A615" s="5"/>
      <c r="B615" s="3"/>
      <c r="C615" s="3"/>
      <c r="D615" s="3"/>
      <c r="E615" s="3"/>
      <c r="F615" s="3"/>
      <c r="G615" s="3"/>
    </row>
    <row r="616" spans="1:7" x14ac:dyDescent="0.2">
      <c r="A616" s="5"/>
      <c r="B616" s="3"/>
      <c r="C616" s="3"/>
      <c r="D616" s="3"/>
      <c r="E616" s="3"/>
      <c r="F616" s="3"/>
      <c r="G616" s="3"/>
    </row>
    <row r="617" spans="1:7" x14ac:dyDescent="0.2">
      <c r="A617" s="5"/>
      <c r="B617" s="3"/>
      <c r="C617" s="3"/>
      <c r="D617" s="3"/>
      <c r="E617" s="3"/>
      <c r="F617" s="3"/>
      <c r="G617" s="3"/>
    </row>
    <row r="618" spans="1:7" x14ac:dyDescent="0.2">
      <c r="A618" s="5"/>
      <c r="B618" s="3"/>
      <c r="C618" s="3"/>
      <c r="D618" s="3"/>
      <c r="E618" s="3"/>
      <c r="F618" s="3"/>
      <c r="G618" s="3"/>
    </row>
    <row r="619" spans="1:7" x14ac:dyDescent="0.2">
      <c r="A619" s="5"/>
      <c r="B619" s="3"/>
      <c r="C619" s="3"/>
      <c r="D619" s="3"/>
      <c r="E619" s="3"/>
      <c r="F619" s="3"/>
      <c r="G619" s="3"/>
    </row>
    <row r="620" spans="1:7" x14ac:dyDescent="0.2">
      <c r="A620" s="5"/>
      <c r="B620" s="3"/>
      <c r="C620" s="3"/>
      <c r="D620" s="3"/>
      <c r="E620" s="3"/>
      <c r="F620" s="3"/>
      <c r="G620" s="3"/>
    </row>
    <row r="621" spans="1:7" x14ac:dyDescent="0.2">
      <c r="A621" s="5"/>
      <c r="B621" s="3"/>
      <c r="C621" s="3"/>
      <c r="D621" s="3"/>
      <c r="E621" s="3"/>
      <c r="F621" s="3"/>
      <c r="G621" s="3"/>
    </row>
    <row r="622" spans="1:7" x14ac:dyDescent="0.2">
      <c r="A622" s="5"/>
      <c r="B622" s="3"/>
      <c r="C622" s="3"/>
      <c r="D622" s="3"/>
      <c r="E622" s="3"/>
      <c r="F622" s="3"/>
      <c r="G622" s="3"/>
    </row>
    <row r="623" spans="1:7" x14ac:dyDescent="0.2">
      <c r="A623" s="5"/>
      <c r="B623" s="3"/>
      <c r="C623" s="3"/>
      <c r="D623" s="3"/>
      <c r="E623" s="3"/>
      <c r="F623" s="3"/>
      <c r="G623" s="3"/>
    </row>
    <row r="624" spans="1:7" x14ac:dyDescent="0.2">
      <c r="A624" s="5"/>
      <c r="B624" s="3"/>
      <c r="C624" s="3"/>
      <c r="D624" s="3"/>
      <c r="E624" s="3"/>
      <c r="F624" s="3"/>
      <c r="G624" s="3"/>
    </row>
    <row r="625" spans="1:7" x14ac:dyDescent="0.2">
      <c r="A625" s="5"/>
      <c r="B625" s="3"/>
      <c r="C625" s="3"/>
      <c r="D625" s="3"/>
      <c r="E625" s="3"/>
      <c r="F625" s="3"/>
      <c r="G625" s="3"/>
    </row>
    <row r="626" spans="1:7" x14ac:dyDescent="0.2">
      <c r="A626" s="5"/>
      <c r="B626" s="3"/>
      <c r="C626" s="3"/>
      <c r="D626" s="3"/>
      <c r="E626" s="3"/>
      <c r="F626" s="3"/>
      <c r="G626" s="3"/>
    </row>
    <row r="627" spans="1:7" x14ac:dyDescent="0.2">
      <c r="A627" s="5"/>
      <c r="B627" s="3"/>
      <c r="C627" s="3"/>
      <c r="D627" s="3"/>
      <c r="E627" s="3"/>
      <c r="F627" s="3"/>
      <c r="G627" s="3"/>
    </row>
    <row r="628" spans="1:7" x14ac:dyDescent="0.2">
      <c r="A628" s="5"/>
      <c r="B628" s="3"/>
      <c r="C628" s="3"/>
      <c r="D628" s="3"/>
      <c r="E628" s="3"/>
      <c r="F628" s="3"/>
      <c r="G628" s="3"/>
    </row>
    <row r="629" spans="1:7" x14ac:dyDescent="0.2">
      <c r="A629" s="5"/>
      <c r="B629" s="3"/>
      <c r="C629" s="3"/>
      <c r="D629" s="3"/>
      <c r="E629" s="3"/>
      <c r="F629" s="3"/>
      <c r="G629" s="3"/>
    </row>
    <row r="630" spans="1:7" x14ac:dyDescent="0.2">
      <c r="A630" s="5"/>
      <c r="B630" s="3"/>
      <c r="C630" s="3"/>
      <c r="D630" s="3"/>
      <c r="E630" s="3"/>
      <c r="F630" s="3"/>
      <c r="G630" s="3"/>
    </row>
    <row r="631" spans="1:7" x14ac:dyDescent="0.2">
      <c r="A631" s="5"/>
      <c r="B631" s="3"/>
      <c r="C631" s="3"/>
      <c r="D631" s="3"/>
      <c r="E631" s="3"/>
      <c r="F631" s="3"/>
      <c r="G631" s="3"/>
    </row>
    <row r="632" spans="1:7" x14ac:dyDescent="0.2">
      <c r="A632" s="5"/>
      <c r="B632" s="3"/>
      <c r="C632" s="3"/>
      <c r="D632" s="3"/>
      <c r="E632" s="3"/>
      <c r="F632" s="3"/>
      <c r="G632" s="3"/>
    </row>
    <row r="633" spans="1:7" x14ac:dyDescent="0.2">
      <c r="A633" s="5"/>
      <c r="B633" s="3"/>
      <c r="C633" s="3"/>
      <c r="D633" s="3"/>
      <c r="E633" s="3"/>
      <c r="F633" s="3"/>
      <c r="G633" s="3"/>
    </row>
    <row r="634" spans="1:7" x14ac:dyDescent="0.2">
      <c r="A634" s="5"/>
      <c r="B634" s="3"/>
      <c r="C634" s="3"/>
      <c r="D634" s="3"/>
      <c r="E634" s="3"/>
      <c r="F634" s="3"/>
      <c r="G634" s="3"/>
    </row>
    <row r="635" spans="1:7" x14ac:dyDescent="0.2">
      <c r="A635" s="5"/>
      <c r="B635" s="3"/>
      <c r="C635" s="3"/>
      <c r="D635" s="3"/>
      <c r="E635" s="3"/>
      <c r="F635" s="3"/>
      <c r="G635" s="3"/>
    </row>
    <row r="636" spans="1:7" x14ac:dyDescent="0.2">
      <c r="A636" s="5"/>
      <c r="B636" s="3"/>
      <c r="C636" s="3"/>
      <c r="D636" s="3"/>
      <c r="E636" s="3"/>
      <c r="F636" s="3"/>
      <c r="G636" s="3"/>
    </row>
    <row r="637" spans="1:7" x14ac:dyDescent="0.2">
      <c r="A637" s="5"/>
      <c r="B637" s="3"/>
      <c r="C637" s="3"/>
      <c r="D637" s="3"/>
      <c r="E637" s="3"/>
      <c r="F637" s="3"/>
      <c r="G637" s="3"/>
    </row>
    <row r="638" spans="1:7" x14ac:dyDescent="0.2">
      <c r="A638" s="5"/>
      <c r="B638" s="3"/>
      <c r="C638" s="3"/>
      <c r="D638" s="3"/>
      <c r="E638" s="3"/>
      <c r="F638" s="3"/>
      <c r="G638" s="3"/>
    </row>
    <row r="639" spans="1:7" x14ac:dyDescent="0.2">
      <c r="A639" s="5"/>
      <c r="B639" s="3"/>
      <c r="C639" s="3"/>
      <c r="D639" s="3"/>
      <c r="E639" s="3"/>
      <c r="F639" s="3"/>
      <c r="G639" s="3"/>
    </row>
    <row r="640" spans="1:7" x14ac:dyDescent="0.2">
      <c r="A640" s="5"/>
      <c r="B640" s="3"/>
      <c r="C640" s="3"/>
      <c r="D640" s="3"/>
      <c r="E640" s="3"/>
      <c r="F640" s="3"/>
      <c r="G640" s="3"/>
    </row>
    <row r="641" spans="1:7" x14ac:dyDescent="0.2">
      <c r="A641" s="5"/>
      <c r="B641" s="3"/>
      <c r="C641" s="3"/>
      <c r="D641" s="3"/>
      <c r="E641" s="3"/>
      <c r="F641" s="3"/>
      <c r="G641" s="3"/>
    </row>
    <row r="642" spans="1:7" x14ac:dyDescent="0.2">
      <c r="A642" s="5"/>
      <c r="B642" s="3"/>
      <c r="C642" s="3"/>
      <c r="D642" s="3"/>
      <c r="E642" s="3"/>
      <c r="F642" s="3"/>
      <c r="G642" s="3"/>
    </row>
    <row r="643" spans="1:7" x14ac:dyDescent="0.2">
      <c r="A643" s="5"/>
      <c r="B643" s="3"/>
      <c r="C643" s="3"/>
      <c r="D643" s="3"/>
      <c r="E643" s="3"/>
      <c r="F643" s="3"/>
      <c r="G643" s="3"/>
    </row>
    <row r="644" spans="1:7" x14ac:dyDescent="0.2">
      <c r="A644" s="5"/>
      <c r="B644" s="3"/>
      <c r="C644" s="3"/>
      <c r="D644" s="3"/>
      <c r="E644" s="3"/>
      <c r="F644" s="3"/>
      <c r="G644" s="3"/>
    </row>
    <row r="645" spans="1:7" x14ac:dyDescent="0.2">
      <c r="A645" s="5"/>
      <c r="B645" s="3"/>
      <c r="C645" s="3"/>
      <c r="D645" s="3"/>
      <c r="E645" s="3"/>
      <c r="F645" s="3"/>
      <c r="G645" s="3"/>
    </row>
    <row r="646" spans="1:7" x14ac:dyDescent="0.2">
      <c r="A646" s="5"/>
      <c r="B646" s="3"/>
      <c r="C646" s="3"/>
      <c r="D646" s="3"/>
      <c r="E646" s="3"/>
      <c r="F646" s="3"/>
      <c r="G646" s="3"/>
    </row>
    <row r="647" spans="1:7" x14ac:dyDescent="0.2">
      <c r="A647" s="5"/>
      <c r="B647" s="3"/>
      <c r="C647" s="3"/>
      <c r="D647" s="3"/>
      <c r="E647" s="3"/>
      <c r="F647" s="3"/>
      <c r="G647" s="3"/>
    </row>
    <row r="648" spans="1:7" x14ac:dyDescent="0.2">
      <c r="A648" s="5"/>
      <c r="B648" s="3"/>
      <c r="C648" s="3"/>
      <c r="D648" s="3"/>
      <c r="E648" s="3"/>
      <c r="F648" s="3"/>
      <c r="G648" s="3"/>
    </row>
    <row r="649" spans="1:7" x14ac:dyDescent="0.2">
      <c r="A649" s="5"/>
      <c r="B649" s="3"/>
      <c r="C649" s="3"/>
      <c r="D649" s="3"/>
      <c r="E649" s="3"/>
      <c r="F649" s="3"/>
      <c r="G649" s="3"/>
    </row>
    <row r="650" spans="1:7" x14ac:dyDescent="0.2">
      <c r="A650" s="5"/>
      <c r="B650" s="3"/>
      <c r="C650" s="3"/>
      <c r="D650" s="3"/>
      <c r="E650" s="3"/>
      <c r="F650" s="3"/>
      <c r="G650" s="3"/>
    </row>
    <row r="651" spans="1:7" x14ac:dyDescent="0.2">
      <c r="A651" s="5"/>
      <c r="B651" s="3"/>
      <c r="C651" s="3"/>
      <c r="D651" s="3"/>
      <c r="E651" s="3"/>
      <c r="F651" s="3"/>
      <c r="G651" s="3"/>
    </row>
    <row r="652" spans="1:7" x14ac:dyDescent="0.2">
      <c r="A652" s="5"/>
      <c r="B652" s="3"/>
      <c r="C652" s="3"/>
      <c r="D652" s="3"/>
      <c r="E652" s="3"/>
      <c r="F652" s="3"/>
      <c r="G652" s="3"/>
    </row>
    <row r="653" spans="1:7" x14ac:dyDescent="0.2">
      <c r="A653" s="5"/>
      <c r="B653" s="3"/>
      <c r="C653" s="3"/>
      <c r="D653" s="3"/>
      <c r="E653" s="3"/>
      <c r="F653" s="3"/>
      <c r="G653" s="3"/>
    </row>
    <row r="654" spans="1:7" x14ac:dyDescent="0.2">
      <c r="A654" s="5"/>
      <c r="B654" s="3"/>
      <c r="C654" s="3"/>
      <c r="D654" s="3"/>
      <c r="E654" s="3"/>
      <c r="F654" s="3"/>
      <c r="G654" s="3"/>
    </row>
    <row r="655" spans="1:7" x14ac:dyDescent="0.2">
      <c r="A655" s="5"/>
      <c r="B655" s="3"/>
      <c r="C655" s="3"/>
      <c r="D655" s="3"/>
      <c r="E655" s="3"/>
      <c r="F655" s="3"/>
      <c r="G655" s="3"/>
    </row>
    <row r="656" spans="1:7" x14ac:dyDescent="0.2">
      <c r="A656" s="5"/>
      <c r="B656" s="3"/>
      <c r="C656" s="3"/>
      <c r="D656" s="3"/>
      <c r="E656" s="3"/>
      <c r="F656" s="3"/>
      <c r="G656" s="3"/>
    </row>
    <row r="657" spans="1:7" x14ac:dyDescent="0.2">
      <c r="A657" s="5"/>
      <c r="B657" s="3"/>
      <c r="C657" s="3"/>
      <c r="D657" s="3"/>
      <c r="E657" s="3"/>
      <c r="F657" s="3"/>
      <c r="G657" s="3"/>
    </row>
    <row r="658" spans="1:7" x14ac:dyDescent="0.2">
      <c r="A658" s="5"/>
      <c r="B658" s="3"/>
      <c r="C658" s="3"/>
      <c r="D658" s="3"/>
      <c r="E658" s="3"/>
      <c r="F658" s="3"/>
      <c r="G658" s="3"/>
    </row>
    <row r="659" spans="1:7" x14ac:dyDescent="0.2">
      <c r="A659" s="5"/>
      <c r="B659" s="3"/>
      <c r="C659" s="3"/>
      <c r="D659" s="3"/>
      <c r="E659" s="3"/>
      <c r="F659" s="3"/>
      <c r="G659" s="3"/>
    </row>
    <row r="660" spans="1:7" x14ac:dyDescent="0.2">
      <c r="A660" s="5"/>
      <c r="B660" s="3"/>
      <c r="C660" s="3"/>
      <c r="D660" s="3"/>
      <c r="E660" s="3"/>
      <c r="F660" s="3"/>
      <c r="G660" s="3"/>
    </row>
    <row r="661" spans="1:7" x14ac:dyDescent="0.2">
      <c r="A661" s="5"/>
      <c r="B661" s="3"/>
      <c r="C661" s="3"/>
      <c r="D661" s="3"/>
      <c r="E661" s="3"/>
      <c r="F661" s="3"/>
      <c r="G661" s="3"/>
    </row>
    <row r="662" spans="1:7" x14ac:dyDescent="0.2">
      <c r="A662" s="5"/>
      <c r="B662" s="3"/>
      <c r="C662" s="3"/>
      <c r="D662" s="3"/>
      <c r="E662" s="3"/>
      <c r="F662" s="3"/>
      <c r="G662" s="3"/>
    </row>
    <row r="663" spans="1:7" x14ac:dyDescent="0.2">
      <c r="A663" s="5"/>
      <c r="B663" s="3"/>
      <c r="C663" s="3"/>
      <c r="D663" s="3"/>
      <c r="E663" s="3"/>
      <c r="F663" s="3"/>
      <c r="G663" s="3"/>
    </row>
    <row r="664" spans="1:7" x14ac:dyDescent="0.2">
      <c r="A664" s="5"/>
      <c r="B664" s="3"/>
      <c r="C664" s="3"/>
      <c r="D664" s="3"/>
      <c r="E664" s="3"/>
      <c r="F664" s="3"/>
      <c r="G664" s="3"/>
    </row>
    <row r="665" spans="1:7" x14ac:dyDescent="0.2">
      <c r="A665" s="5"/>
      <c r="B665" s="3"/>
      <c r="C665" s="3"/>
      <c r="D665" s="3"/>
      <c r="E665" s="3"/>
      <c r="F665" s="3"/>
      <c r="G665" s="3"/>
    </row>
    <row r="666" spans="1:7" x14ac:dyDescent="0.2">
      <c r="A666" s="5"/>
      <c r="B666" s="3"/>
      <c r="C666" s="3"/>
      <c r="D666" s="3"/>
      <c r="E666" s="3"/>
      <c r="F666" s="3"/>
      <c r="G666" s="3"/>
    </row>
    <row r="667" spans="1:7" x14ac:dyDescent="0.2">
      <c r="A667" s="5"/>
      <c r="B667" s="3"/>
      <c r="C667" s="3"/>
      <c r="D667" s="3"/>
      <c r="E667" s="3"/>
      <c r="F667" s="3"/>
      <c r="G667" s="3"/>
    </row>
    <row r="668" spans="1:7" x14ac:dyDescent="0.2">
      <c r="A668" s="5"/>
      <c r="B668" s="3"/>
      <c r="C668" s="3"/>
      <c r="D668" s="3"/>
      <c r="E668" s="3"/>
      <c r="F668" s="3"/>
      <c r="G668" s="3"/>
    </row>
    <row r="669" spans="1:7" x14ac:dyDescent="0.2">
      <c r="A669" s="5"/>
      <c r="B669" s="3"/>
      <c r="C669" s="3"/>
      <c r="D669" s="3"/>
      <c r="E669" s="3"/>
      <c r="F669" s="3"/>
      <c r="G669" s="3"/>
    </row>
    <row r="670" spans="1:7" x14ac:dyDescent="0.2">
      <c r="A670" s="5"/>
      <c r="B670" s="3"/>
      <c r="C670" s="3"/>
      <c r="D670" s="3"/>
      <c r="E670" s="3"/>
      <c r="F670" s="3"/>
      <c r="G670" s="3"/>
    </row>
    <row r="671" spans="1:7" x14ac:dyDescent="0.2">
      <c r="A671" s="5"/>
      <c r="B671" s="3"/>
      <c r="C671" s="3"/>
      <c r="D671" s="3"/>
      <c r="E671" s="3"/>
      <c r="F671" s="3"/>
      <c r="G671" s="3"/>
    </row>
    <row r="672" spans="1:7" x14ac:dyDescent="0.2">
      <c r="A672" s="5"/>
      <c r="B672" s="3"/>
      <c r="C672" s="3"/>
      <c r="D672" s="3"/>
      <c r="E672" s="3"/>
      <c r="F672" s="3"/>
      <c r="G672" s="3"/>
    </row>
    <row r="673" spans="1:7" x14ac:dyDescent="0.2">
      <c r="A673" s="5"/>
      <c r="B673" s="3"/>
      <c r="C673" s="3"/>
      <c r="D673" s="3"/>
      <c r="E673" s="3"/>
      <c r="F673" s="3"/>
      <c r="G673" s="3"/>
    </row>
    <row r="674" spans="1:7" x14ac:dyDescent="0.2">
      <c r="A674" s="5"/>
      <c r="B674" s="3"/>
      <c r="C674" s="3"/>
      <c r="D674" s="3"/>
      <c r="E674" s="3"/>
      <c r="F674" s="3"/>
      <c r="G674" s="3"/>
    </row>
    <row r="675" spans="1:7" x14ac:dyDescent="0.2">
      <c r="A675" s="5"/>
      <c r="B675" s="3"/>
      <c r="C675" s="3"/>
      <c r="D675" s="3"/>
      <c r="E675" s="3"/>
      <c r="F675" s="3"/>
      <c r="G675" s="3"/>
    </row>
    <row r="676" spans="1:7" x14ac:dyDescent="0.2">
      <c r="A676" s="5"/>
      <c r="B676" s="3"/>
      <c r="C676" s="3"/>
      <c r="D676" s="3"/>
      <c r="E676" s="3"/>
      <c r="F676" s="3"/>
      <c r="G676" s="3"/>
    </row>
    <row r="677" spans="1:7" x14ac:dyDescent="0.2">
      <c r="A677" s="5"/>
      <c r="B677" s="3"/>
      <c r="C677" s="3"/>
      <c r="D677" s="3"/>
      <c r="E677" s="3"/>
      <c r="F677" s="3"/>
      <c r="G677" s="3"/>
    </row>
    <row r="678" spans="1:7" x14ac:dyDescent="0.2">
      <c r="A678" s="5"/>
      <c r="B678" s="3"/>
      <c r="C678" s="3"/>
      <c r="D678" s="3"/>
      <c r="E678" s="3"/>
      <c r="F678" s="3"/>
      <c r="G678" s="3"/>
    </row>
    <row r="679" spans="1:7" x14ac:dyDescent="0.2">
      <c r="A679" s="5"/>
      <c r="B679" s="3"/>
      <c r="C679" s="3"/>
      <c r="D679" s="3"/>
      <c r="E679" s="3"/>
      <c r="F679" s="3"/>
      <c r="G679" s="3"/>
    </row>
    <row r="680" spans="1:7" x14ac:dyDescent="0.2">
      <c r="A680" s="5"/>
      <c r="B680" s="3"/>
      <c r="C680" s="3"/>
      <c r="D680" s="3"/>
      <c r="E680" s="3"/>
      <c r="F680" s="3"/>
      <c r="G680" s="3"/>
    </row>
    <row r="681" spans="1:7" x14ac:dyDescent="0.2">
      <c r="A681" s="5"/>
      <c r="B681" s="3"/>
      <c r="C681" s="3"/>
      <c r="D681" s="3"/>
      <c r="E681" s="3"/>
      <c r="F681" s="3"/>
      <c r="G681" s="3"/>
    </row>
    <row r="682" spans="1:7" x14ac:dyDescent="0.2">
      <c r="A682" s="5"/>
      <c r="B682" s="3"/>
      <c r="C682" s="3"/>
      <c r="D682" s="3"/>
      <c r="E682" s="3"/>
      <c r="F682" s="3"/>
      <c r="G682" s="3"/>
    </row>
    <row r="683" spans="1:7" x14ac:dyDescent="0.2">
      <c r="A683" s="5"/>
      <c r="B683" s="3"/>
      <c r="C683" s="3"/>
      <c r="D683" s="3"/>
      <c r="E683" s="3"/>
      <c r="F683" s="3"/>
      <c r="G683" s="3"/>
    </row>
    <row r="684" spans="1:7" x14ac:dyDescent="0.2">
      <c r="A684" s="5"/>
      <c r="B684" s="3"/>
      <c r="C684" s="3"/>
      <c r="D684" s="3"/>
      <c r="E684" s="3"/>
      <c r="F684" s="3"/>
      <c r="G684" s="3"/>
    </row>
    <row r="685" spans="1:7" x14ac:dyDescent="0.2">
      <c r="A685" s="5"/>
      <c r="B685" s="3"/>
      <c r="C685" s="3"/>
      <c r="D685" s="3"/>
      <c r="E685" s="3"/>
      <c r="F685" s="3"/>
      <c r="G685" s="3"/>
    </row>
    <row r="686" spans="1:7" x14ac:dyDescent="0.2">
      <c r="A686" s="5"/>
      <c r="B686" s="3"/>
      <c r="C686" s="3"/>
      <c r="D686" s="3"/>
      <c r="E686" s="3"/>
      <c r="F686" s="3"/>
      <c r="G686" s="3"/>
    </row>
    <row r="687" spans="1:7" x14ac:dyDescent="0.2">
      <c r="A687" s="5"/>
      <c r="B687" s="3"/>
      <c r="C687" s="3"/>
      <c r="D687" s="3"/>
      <c r="E687" s="3"/>
      <c r="F687" s="3"/>
      <c r="G687" s="3"/>
    </row>
    <row r="688" spans="1:7" x14ac:dyDescent="0.2">
      <c r="A688" s="5"/>
      <c r="B688" s="3"/>
      <c r="C688" s="3"/>
      <c r="D688" s="3"/>
      <c r="E688" s="3"/>
      <c r="F688" s="3"/>
      <c r="G688" s="3"/>
    </row>
    <row r="689" spans="1:7" x14ac:dyDescent="0.2">
      <c r="A689" s="5"/>
      <c r="B689" s="3"/>
      <c r="C689" s="3"/>
      <c r="D689" s="3"/>
      <c r="E689" s="3"/>
      <c r="F689" s="3"/>
      <c r="G689" s="3"/>
    </row>
    <row r="690" spans="1:7" x14ac:dyDescent="0.2">
      <c r="A690" s="5"/>
      <c r="B690" s="3"/>
      <c r="C690" s="3"/>
      <c r="D690" s="3"/>
      <c r="E690" s="3"/>
      <c r="F690" s="3"/>
      <c r="G690" s="3"/>
    </row>
    <row r="691" spans="1:7" x14ac:dyDescent="0.2">
      <c r="A691" s="5"/>
      <c r="B691" s="3"/>
      <c r="C691" s="3"/>
      <c r="D691" s="3"/>
      <c r="E691" s="3"/>
      <c r="F691" s="3"/>
      <c r="G691" s="3"/>
    </row>
    <row r="692" spans="1:7" x14ac:dyDescent="0.2">
      <c r="A692" s="5"/>
      <c r="B692" s="3"/>
      <c r="C692" s="3"/>
      <c r="D692" s="3"/>
      <c r="E692" s="3"/>
      <c r="F692" s="3"/>
      <c r="G692" s="3"/>
    </row>
    <row r="693" spans="1:7" x14ac:dyDescent="0.2">
      <c r="A693" s="5"/>
      <c r="B693" s="3"/>
      <c r="C693" s="3"/>
      <c r="D693" s="3"/>
      <c r="E693" s="3"/>
      <c r="F693" s="3"/>
      <c r="G693" s="3"/>
    </row>
    <row r="694" spans="1:7" x14ac:dyDescent="0.2">
      <c r="A694" s="5"/>
      <c r="B694" s="3"/>
      <c r="C694" s="3"/>
      <c r="D694" s="3"/>
      <c r="E694" s="3"/>
      <c r="F694" s="3"/>
      <c r="G694" s="3"/>
    </row>
    <row r="695" spans="1:7" x14ac:dyDescent="0.2">
      <c r="A695" s="5"/>
      <c r="B695" s="3"/>
      <c r="C695" s="3"/>
      <c r="D695" s="3"/>
      <c r="E695" s="3"/>
      <c r="F695" s="3"/>
      <c r="G695" s="3"/>
    </row>
    <row r="696" spans="1:7" x14ac:dyDescent="0.2">
      <c r="A696" s="5"/>
      <c r="B696" s="3"/>
      <c r="C696" s="3"/>
      <c r="D696" s="3"/>
      <c r="E696" s="3"/>
      <c r="F696" s="3"/>
      <c r="G696" s="3"/>
    </row>
    <row r="697" spans="1:7" x14ac:dyDescent="0.2">
      <c r="A697" s="5"/>
      <c r="B697" s="3"/>
      <c r="C697" s="3"/>
      <c r="D697" s="3"/>
      <c r="E697" s="3"/>
      <c r="F697" s="3"/>
      <c r="G697" s="3"/>
    </row>
    <row r="698" spans="1:7" x14ac:dyDescent="0.2">
      <c r="A698" s="5"/>
      <c r="B698" s="3"/>
      <c r="C698" s="3"/>
      <c r="D698" s="3"/>
      <c r="E698" s="3"/>
      <c r="F698" s="3"/>
      <c r="G698" s="3"/>
    </row>
    <row r="699" spans="1:7" x14ac:dyDescent="0.2">
      <c r="A699" s="5"/>
      <c r="B699" s="3"/>
      <c r="C699" s="3"/>
      <c r="D699" s="3"/>
      <c r="E699" s="3"/>
      <c r="F699" s="3"/>
      <c r="G699" s="3"/>
    </row>
    <row r="700" spans="1:7" x14ac:dyDescent="0.2">
      <c r="A700" s="5"/>
      <c r="B700" s="3"/>
      <c r="C700" s="3"/>
      <c r="D700" s="3"/>
      <c r="E700" s="3"/>
      <c r="F700" s="3"/>
      <c r="G700" s="3"/>
    </row>
    <row r="701" spans="1:7" x14ac:dyDescent="0.2">
      <c r="A701" s="5"/>
      <c r="B701" s="3"/>
      <c r="C701" s="3"/>
      <c r="D701" s="3"/>
      <c r="E701" s="3"/>
      <c r="F701" s="3"/>
      <c r="G701" s="3"/>
    </row>
    <row r="702" spans="1:7" x14ac:dyDescent="0.2">
      <c r="A702" s="5"/>
      <c r="B702" s="3"/>
      <c r="C702" s="3"/>
      <c r="D702" s="3"/>
      <c r="E702" s="3"/>
      <c r="F702" s="3"/>
      <c r="G702" s="3"/>
    </row>
    <row r="703" spans="1:7" x14ac:dyDescent="0.2">
      <c r="A703" s="5"/>
      <c r="B703" s="3"/>
      <c r="C703" s="3"/>
      <c r="D703" s="3"/>
      <c r="E703" s="3"/>
      <c r="F703" s="3"/>
      <c r="G703" s="3"/>
    </row>
    <row r="704" spans="1:7" x14ac:dyDescent="0.2">
      <c r="A704" s="5"/>
      <c r="B704" s="3"/>
      <c r="C704" s="3"/>
      <c r="D704" s="3"/>
      <c r="E704" s="3"/>
      <c r="F704" s="3"/>
      <c r="G704" s="3"/>
    </row>
    <row r="705" spans="1:7" x14ac:dyDescent="0.2">
      <c r="A705" s="5"/>
      <c r="B705" s="3"/>
      <c r="C705" s="3"/>
      <c r="D705" s="3"/>
      <c r="E705" s="3"/>
      <c r="F705" s="3"/>
      <c r="G705" s="3"/>
    </row>
    <row r="706" spans="1:7" x14ac:dyDescent="0.2">
      <c r="A706" s="5"/>
      <c r="B706" s="3"/>
      <c r="C706" s="3"/>
      <c r="D706" s="3"/>
      <c r="E706" s="3"/>
      <c r="F706" s="3"/>
      <c r="G706" s="3"/>
    </row>
    <row r="707" spans="1:7" x14ac:dyDescent="0.2">
      <c r="A707" s="5"/>
      <c r="B707" s="3"/>
      <c r="C707" s="3"/>
      <c r="D707" s="3"/>
      <c r="E707" s="3"/>
      <c r="F707" s="3"/>
      <c r="G707" s="3"/>
    </row>
    <row r="708" spans="1:7" x14ac:dyDescent="0.2">
      <c r="A708" s="5"/>
      <c r="B708" s="3"/>
      <c r="C708" s="3"/>
      <c r="D708" s="3"/>
      <c r="E708" s="3"/>
      <c r="F708" s="3"/>
      <c r="G708" s="3"/>
    </row>
    <row r="709" spans="1:7" x14ac:dyDescent="0.2">
      <c r="A709" s="5"/>
      <c r="B709" s="3"/>
      <c r="C709" s="3"/>
      <c r="D709" s="3"/>
      <c r="E709" s="3"/>
      <c r="F709" s="3"/>
      <c r="G709" s="3"/>
    </row>
    <row r="710" spans="1:7" x14ac:dyDescent="0.2">
      <c r="A710" s="5"/>
      <c r="B710" s="3"/>
      <c r="C710" s="3"/>
      <c r="D710" s="3"/>
      <c r="E710" s="3"/>
      <c r="F710" s="3"/>
      <c r="G710" s="3"/>
    </row>
    <row r="711" spans="1:7" x14ac:dyDescent="0.2">
      <c r="A711" s="5"/>
      <c r="B711" s="3"/>
      <c r="C711" s="3"/>
      <c r="D711" s="3"/>
      <c r="E711" s="3"/>
      <c r="F711" s="3"/>
      <c r="G711" s="3"/>
    </row>
    <row r="712" spans="1:7" x14ac:dyDescent="0.2">
      <c r="A712" s="5"/>
      <c r="B712" s="3"/>
      <c r="C712" s="3"/>
      <c r="D712" s="3"/>
      <c r="E712" s="3"/>
      <c r="F712" s="3"/>
      <c r="G712" s="3"/>
    </row>
    <row r="713" spans="1:7" x14ac:dyDescent="0.2">
      <c r="A713" s="5"/>
      <c r="B713" s="3"/>
      <c r="C713" s="3"/>
      <c r="D713" s="3"/>
      <c r="E713" s="3"/>
      <c r="F713" s="3"/>
      <c r="G713" s="3"/>
    </row>
    <row r="714" spans="1:7" x14ac:dyDescent="0.2">
      <c r="A714" s="5"/>
      <c r="B714" s="3"/>
      <c r="C714" s="3"/>
      <c r="D714" s="3"/>
      <c r="E714" s="3"/>
      <c r="F714" s="3"/>
      <c r="G714" s="3"/>
    </row>
    <row r="715" spans="1:7" x14ac:dyDescent="0.2">
      <c r="A715" s="5"/>
      <c r="B715" s="3"/>
      <c r="C715" s="3"/>
      <c r="D715" s="3"/>
      <c r="E715" s="3"/>
      <c r="F715" s="3"/>
      <c r="G715" s="3"/>
    </row>
    <row r="716" spans="1:7" x14ac:dyDescent="0.2">
      <c r="A716" s="5"/>
      <c r="B716" s="3"/>
      <c r="C716" s="3"/>
      <c r="D716" s="3"/>
      <c r="E716" s="3"/>
      <c r="F716" s="3"/>
      <c r="G716" s="3"/>
    </row>
    <row r="717" spans="1:7" x14ac:dyDescent="0.2">
      <c r="A717" s="5"/>
      <c r="B717" s="3"/>
      <c r="C717" s="3"/>
      <c r="D717" s="3"/>
      <c r="E717" s="3"/>
      <c r="F717" s="3"/>
      <c r="G717" s="3"/>
    </row>
    <row r="718" spans="1:7" x14ac:dyDescent="0.2">
      <c r="A718" s="5"/>
      <c r="B718" s="3"/>
      <c r="C718" s="3"/>
      <c r="D718" s="3"/>
      <c r="E718" s="3"/>
      <c r="F718" s="3"/>
      <c r="G718" s="3"/>
    </row>
    <row r="719" spans="1:7" x14ac:dyDescent="0.2">
      <c r="A719" s="5"/>
      <c r="B719" s="3"/>
      <c r="C719" s="3"/>
      <c r="D719" s="3"/>
      <c r="E719" s="3"/>
      <c r="F719" s="3"/>
      <c r="G719" s="3"/>
    </row>
    <row r="720" spans="1:7" x14ac:dyDescent="0.2">
      <c r="A720" s="5"/>
      <c r="B720" s="3"/>
      <c r="C720" s="3"/>
      <c r="D720" s="3"/>
      <c r="E720" s="3"/>
      <c r="F720" s="3"/>
      <c r="G720" s="3"/>
    </row>
    <row r="721" spans="1:7" x14ac:dyDescent="0.2">
      <c r="A721" s="5"/>
      <c r="B721" s="3"/>
      <c r="C721" s="3"/>
      <c r="D721" s="3"/>
      <c r="E721" s="3"/>
      <c r="F721" s="3"/>
      <c r="G721" s="3"/>
    </row>
    <row r="722" spans="1:7" x14ac:dyDescent="0.2">
      <c r="A722" s="5"/>
      <c r="B722" s="3"/>
      <c r="C722" s="3"/>
      <c r="D722" s="3"/>
      <c r="E722" s="3"/>
      <c r="F722" s="3"/>
      <c r="G722" s="3"/>
    </row>
    <row r="723" spans="1:7" x14ac:dyDescent="0.2">
      <c r="A723" s="5"/>
      <c r="B723" s="3"/>
      <c r="C723" s="3"/>
      <c r="D723" s="3"/>
      <c r="E723" s="3"/>
      <c r="F723" s="3"/>
      <c r="G723" s="3"/>
    </row>
    <row r="724" spans="1:7" x14ac:dyDescent="0.2">
      <c r="A724" s="5"/>
      <c r="B724" s="3"/>
      <c r="C724" s="3"/>
      <c r="D724" s="3"/>
      <c r="E724" s="3"/>
      <c r="F724" s="3"/>
      <c r="G724" s="3"/>
    </row>
    <row r="725" spans="1:7" x14ac:dyDescent="0.2">
      <c r="A725" s="5"/>
      <c r="B725" s="3"/>
      <c r="C725" s="3"/>
      <c r="D725" s="3"/>
      <c r="E725" s="3"/>
      <c r="F725" s="3"/>
      <c r="G725" s="3"/>
    </row>
    <row r="726" spans="1:7" x14ac:dyDescent="0.2">
      <c r="A726" s="5"/>
      <c r="B726" s="3"/>
      <c r="C726" s="3"/>
      <c r="D726" s="3"/>
      <c r="E726" s="3"/>
      <c r="F726" s="3"/>
      <c r="G726" s="3"/>
    </row>
    <row r="727" spans="1:7" x14ac:dyDescent="0.2">
      <c r="A727" s="5"/>
      <c r="B727" s="3"/>
      <c r="C727" s="3"/>
      <c r="D727" s="3"/>
      <c r="E727" s="3"/>
      <c r="F727" s="3"/>
      <c r="G727" s="3"/>
    </row>
    <row r="728" spans="1:7" x14ac:dyDescent="0.2">
      <c r="A728" s="5"/>
      <c r="B728" s="3"/>
      <c r="C728" s="3"/>
      <c r="D728" s="3"/>
      <c r="E728" s="3"/>
      <c r="F728" s="3"/>
      <c r="G728" s="3"/>
    </row>
    <row r="729" spans="1:7" x14ac:dyDescent="0.2">
      <c r="A729" s="5"/>
      <c r="B729" s="3"/>
      <c r="C729" s="3"/>
      <c r="D729" s="3"/>
      <c r="E729" s="3"/>
      <c r="F729" s="3"/>
      <c r="G729" s="3"/>
    </row>
    <row r="730" spans="1:7" x14ac:dyDescent="0.2">
      <c r="A730" s="5"/>
      <c r="B730" s="3"/>
      <c r="C730" s="3"/>
      <c r="D730" s="3"/>
      <c r="E730" s="3"/>
      <c r="F730" s="3"/>
      <c r="G730" s="3"/>
    </row>
    <row r="731" spans="1:7" x14ac:dyDescent="0.2">
      <c r="A731" s="5"/>
      <c r="B731" s="3"/>
      <c r="C731" s="3"/>
      <c r="D731" s="3"/>
      <c r="E731" s="3"/>
      <c r="F731" s="3"/>
      <c r="G731" s="3"/>
    </row>
    <row r="732" spans="1:7" x14ac:dyDescent="0.2">
      <c r="A732" s="5"/>
      <c r="B732" s="3"/>
      <c r="C732" s="3"/>
      <c r="D732" s="3"/>
      <c r="E732" s="3"/>
      <c r="F732" s="3"/>
      <c r="G732" s="3"/>
    </row>
    <row r="733" spans="1:7" x14ac:dyDescent="0.2">
      <c r="A733" s="5"/>
      <c r="B733" s="3"/>
      <c r="C733" s="3"/>
      <c r="D733" s="3"/>
      <c r="E733" s="3"/>
      <c r="F733" s="3"/>
      <c r="G733" s="3"/>
    </row>
    <row r="734" spans="1:7" x14ac:dyDescent="0.2">
      <c r="A734" s="5"/>
      <c r="B734" s="3"/>
      <c r="C734" s="3"/>
      <c r="D734" s="3"/>
      <c r="E734" s="3"/>
      <c r="F734" s="3"/>
      <c r="G734" s="3"/>
    </row>
    <row r="735" spans="1:7" x14ac:dyDescent="0.2">
      <c r="A735" s="5"/>
      <c r="B735" s="3"/>
      <c r="C735" s="3"/>
      <c r="D735" s="3"/>
      <c r="E735" s="3"/>
      <c r="F735" s="3"/>
      <c r="G735" s="3"/>
    </row>
    <row r="736" spans="1:7" x14ac:dyDescent="0.2">
      <c r="A736" s="5"/>
      <c r="B736" s="3"/>
      <c r="C736" s="3"/>
      <c r="D736" s="3"/>
      <c r="E736" s="3"/>
      <c r="F736" s="3"/>
      <c r="G736" s="3"/>
    </row>
    <row r="737" spans="1:7" x14ac:dyDescent="0.2">
      <c r="A737" s="5"/>
      <c r="B737" s="3"/>
      <c r="C737" s="3"/>
      <c r="D737" s="3"/>
      <c r="E737" s="3"/>
      <c r="F737" s="3"/>
      <c r="G737" s="3"/>
    </row>
    <row r="738" spans="1:7" x14ac:dyDescent="0.2">
      <c r="A738" s="5"/>
      <c r="B738" s="3"/>
      <c r="C738" s="3"/>
      <c r="D738" s="3"/>
      <c r="E738" s="3"/>
      <c r="F738" s="3"/>
      <c r="G738" s="3"/>
    </row>
    <row r="739" spans="1:7" x14ac:dyDescent="0.2">
      <c r="A739" s="5"/>
      <c r="B739" s="3"/>
      <c r="C739" s="3"/>
      <c r="D739" s="3"/>
      <c r="E739" s="3"/>
      <c r="F739" s="3"/>
      <c r="G739" s="3"/>
    </row>
    <row r="740" spans="1:7" x14ac:dyDescent="0.2">
      <c r="A740" s="5"/>
      <c r="B740" s="3"/>
      <c r="C740" s="3"/>
      <c r="D740" s="3"/>
      <c r="E740" s="3"/>
      <c r="F740" s="3"/>
      <c r="G740" s="3"/>
    </row>
    <row r="741" spans="1:7" x14ac:dyDescent="0.2">
      <c r="A741" s="5"/>
      <c r="B741" s="3"/>
      <c r="C741" s="3"/>
      <c r="D741" s="3"/>
      <c r="E741" s="3"/>
      <c r="F741" s="3"/>
      <c r="G741" s="3"/>
    </row>
    <row r="742" spans="1:7" x14ac:dyDescent="0.2">
      <c r="A742" s="5"/>
      <c r="B742" s="3"/>
      <c r="C742" s="3"/>
      <c r="D742" s="3"/>
      <c r="E742" s="3"/>
      <c r="F742" s="3"/>
      <c r="G742" s="3"/>
    </row>
    <row r="743" spans="1:7" x14ac:dyDescent="0.2">
      <c r="A743" s="5"/>
      <c r="B743" s="3"/>
      <c r="C743" s="3"/>
      <c r="D743" s="3"/>
      <c r="E743" s="3"/>
      <c r="F743" s="3"/>
      <c r="G743" s="3"/>
    </row>
    <row r="744" spans="1:7" x14ac:dyDescent="0.2">
      <c r="A744" s="5"/>
      <c r="B744" s="3"/>
      <c r="C744" s="3"/>
      <c r="D744" s="3"/>
      <c r="E744" s="3"/>
      <c r="F744" s="3"/>
      <c r="G744" s="3"/>
    </row>
    <row r="745" spans="1:7" x14ac:dyDescent="0.2">
      <c r="A745" s="5"/>
      <c r="B745" s="3"/>
      <c r="C745" s="3"/>
      <c r="D745" s="3"/>
      <c r="E745" s="3"/>
      <c r="F745" s="3"/>
      <c r="G745" s="3"/>
    </row>
    <row r="746" spans="1:7" x14ac:dyDescent="0.2">
      <c r="A746" s="5"/>
      <c r="B746" s="3"/>
      <c r="C746" s="3"/>
      <c r="D746" s="3"/>
      <c r="E746" s="3"/>
      <c r="F746" s="3"/>
      <c r="G746" s="3"/>
    </row>
    <row r="747" spans="1:7" x14ac:dyDescent="0.2">
      <c r="A747" s="5"/>
      <c r="B747" s="3"/>
      <c r="C747" s="3"/>
      <c r="D747" s="3"/>
      <c r="E747" s="3"/>
      <c r="F747" s="3"/>
      <c r="G747" s="3"/>
    </row>
    <row r="748" spans="1:7" x14ac:dyDescent="0.2">
      <c r="A748" s="5"/>
      <c r="B748" s="3"/>
      <c r="C748" s="3"/>
      <c r="D748" s="3"/>
      <c r="E748" s="3"/>
      <c r="F748" s="3"/>
      <c r="G748" s="3"/>
    </row>
    <row r="749" spans="1:7" x14ac:dyDescent="0.2">
      <c r="A749" s="5"/>
      <c r="B749" s="3"/>
      <c r="C749" s="3"/>
      <c r="D749" s="3"/>
      <c r="E749" s="3"/>
      <c r="F749" s="3"/>
      <c r="G749" s="3"/>
    </row>
    <row r="750" spans="1:7" x14ac:dyDescent="0.2">
      <c r="A750" s="5"/>
      <c r="B750" s="3"/>
      <c r="C750" s="3"/>
      <c r="D750" s="3"/>
      <c r="E750" s="3"/>
      <c r="F750" s="3"/>
      <c r="G750" s="3"/>
    </row>
    <row r="751" spans="1:7" x14ac:dyDescent="0.2">
      <c r="A751" s="5"/>
      <c r="B751" s="3"/>
      <c r="C751" s="3"/>
      <c r="D751" s="3"/>
      <c r="E751" s="3"/>
      <c r="F751" s="3"/>
      <c r="G751" s="3"/>
    </row>
    <row r="752" spans="1:7" x14ac:dyDescent="0.2">
      <c r="A752" s="5"/>
      <c r="B752" s="3"/>
      <c r="C752" s="3"/>
      <c r="D752" s="3"/>
      <c r="E752" s="3"/>
      <c r="F752" s="3"/>
      <c r="G752" s="3"/>
    </row>
    <row r="753" spans="1:7" x14ac:dyDescent="0.2">
      <c r="A753" s="5"/>
      <c r="B753" s="3"/>
      <c r="C753" s="3"/>
      <c r="D753" s="3"/>
      <c r="E753" s="3"/>
      <c r="F753" s="3"/>
      <c r="G753" s="3"/>
    </row>
    <row r="754" spans="1:7" x14ac:dyDescent="0.2">
      <c r="A754" s="5"/>
      <c r="B754" s="3"/>
      <c r="C754" s="3"/>
      <c r="D754" s="3"/>
      <c r="E754" s="3"/>
      <c r="F754" s="3"/>
      <c r="G754" s="3"/>
    </row>
    <row r="755" spans="1:7" x14ac:dyDescent="0.2">
      <c r="A755" s="5"/>
      <c r="B755" s="3"/>
      <c r="C755" s="3"/>
      <c r="D755" s="3"/>
      <c r="E755" s="3"/>
      <c r="F755" s="3"/>
      <c r="G755" s="3"/>
    </row>
    <row r="756" spans="1:7" x14ac:dyDescent="0.2">
      <c r="A756" s="5"/>
      <c r="B756" s="3"/>
      <c r="C756" s="3"/>
      <c r="D756" s="3"/>
      <c r="E756" s="3"/>
      <c r="F756" s="3"/>
      <c r="G756" s="3"/>
    </row>
    <row r="757" spans="1:7" x14ac:dyDescent="0.2">
      <c r="A757" s="5"/>
      <c r="B757" s="3"/>
      <c r="C757" s="3"/>
      <c r="D757" s="3"/>
      <c r="E757" s="3"/>
      <c r="F757" s="3"/>
      <c r="G757" s="3"/>
    </row>
    <row r="758" spans="1:7" x14ac:dyDescent="0.2">
      <c r="A758" s="5"/>
      <c r="B758" s="3"/>
      <c r="C758" s="3"/>
      <c r="D758" s="3"/>
      <c r="E758" s="3"/>
      <c r="F758" s="3"/>
      <c r="G758" s="3"/>
    </row>
    <row r="759" spans="1:7" x14ac:dyDescent="0.2">
      <c r="A759" s="5"/>
      <c r="B759" s="3"/>
      <c r="C759" s="3"/>
      <c r="D759" s="3"/>
      <c r="E759" s="3"/>
      <c r="F759" s="3"/>
      <c r="G759" s="3"/>
    </row>
    <row r="760" spans="1:7" x14ac:dyDescent="0.2">
      <c r="A760" s="5"/>
      <c r="B760" s="3"/>
      <c r="C760" s="3"/>
      <c r="D760" s="3"/>
      <c r="E760" s="3"/>
      <c r="F760" s="3"/>
      <c r="G760" s="3"/>
    </row>
    <row r="761" spans="1:7" x14ac:dyDescent="0.2">
      <c r="A761" s="5"/>
      <c r="B761" s="3"/>
      <c r="C761" s="3"/>
      <c r="D761" s="3"/>
      <c r="E761" s="3"/>
      <c r="F761" s="3"/>
      <c r="G761" s="3"/>
    </row>
    <row r="762" spans="1:7" x14ac:dyDescent="0.2">
      <c r="A762" s="5"/>
      <c r="B762" s="3"/>
      <c r="C762" s="3"/>
      <c r="D762" s="3"/>
      <c r="E762" s="3"/>
      <c r="F762" s="3"/>
      <c r="G762" s="3"/>
    </row>
    <row r="763" spans="1:7" x14ac:dyDescent="0.2">
      <c r="A763" s="5"/>
      <c r="B763" s="3"/>
      <c r="C763" s="3"/>
      <c r="D763" s="3"/>
      <c r="E763" s="3"/>
      <c r="F763" s="3"/>
      <c r="G763" s="3"/>
    </row>
    <row r="764" spans="1:7" x14ac:dyDescent="0.2">
      <c r="A764" s="5"/>
      <c r="B764" s="3"/>
      <c r="C764" s="3"/>
      <c r="D764" s="3"/>
      <c r="E764" s="3"/>
      <c r="F764" s="3"/>
      <c r="G764" s="3"/>
    </row>
    <row r="765" spans="1:7" x14ac:dyDescent="0.2">
      <c r="A765" s="5"/>
      <c r="B765" s="3"/>
      <c r="C765" s="3"/>
      <c r="D765" s="3"/>
      <c r="E765" s="3"/>
      <c r="F765" s="3"/>
      <c r="G765" s="3"/>
    </row>
    <row r="766" spans="1:7" x14ac:dyDescent="0.2">
      <c r="A766" s="5"/>
      <c r="B766" s="3"/>
      <c r="C766" s="3"/>
      <c r="D766" s="3"/>
      <c r="E766" s="3"/>
      <c r="F766" s="3"/>
      <c r="G766" s="3"/>
    </row>
    <row r="767" spans="1:7" x14ac:dyDescent="0.2">
      <c r="A767" s="5"/>
      <c r="B767" s="3"/>
      <c r="C767" s="3"/>
      <c r="D767" s="3"/>
      <c r="E767" s="3"/>
      <c r="F767" s="3"/>
      <c r="G767" s="3"/>
    </row>
    <row r="768" spans="1:7" x14ac:dyDescent="0.2">
      <c r="A768" s="5"/>
      <c r="B768" s="3"/>
      <c r="C768" s="3"/>
      <c r="D768" s="3"/>
      <c r="E768" s="3"/>
      <c r="F768" s="3"/>
      <c r="G768" s="3"/>
    </row>
    <row r="769" spans="1:7" x14ac:dyDescent="0.2">
      <c r="A769" s="5"/>
      <c r="B769" s="3"/>
      <c r="C769" s="3"/>
      <c r="D769" s="3"/>
      <c r="E769" s="3"/>
      <c r="F769" s="3"/>
      <c r="G769" s="3"/>
    </row>
    <row r="770" spans="1:7" x14ac:dyDescent="0.2">
      <c r="A770" s="5"/>
      <c r="B770" s="3"/>
      <c r="C770" s="3"/>
      <c r="D770" s="3"/>
      <c r="E770" s="3"/>
      <c r="F770" s="3"/>
      <c r="G770" s="3"/>
    </row>
    <row r="771" spans="1:7" x14ac:dyDescent="0.2">
      <c r="A771" s="5"/>
      <c r="B771" s="3"/>
      <c r="C771" s="3"/>
      <c r="D771" s="3"/>
      <c r="E771" s="3"/>
      <c r="F771" s="3"/>
      <c r="G771" s="3"/>
    </row>
    <row r="772" spans="1:7" x14ac:dyDescent="0.2">
      <c r="A772" s="5"/>
      <c r="B772" s="3"/>
      <c r="C772" s="3"/>
      <c r="D772" s="3"/>
      <c r="E772" s="3"/>
      <c r="F772" s="3"/>
      <c r="G772" s="3"/>
    </row>
    <row r="773" spans="1:7" x14ac:dyDescent="0.2">
      <c r="A773" s="5"/>
      <c r="B773" s="3"/>
      <c r="C773" s="3"/>
      <c r="D773" s="3"/>
      <c r="E773" s="3"/>
      <c r="F773" s="3"/>
      <c r="G773" s="3"/>
    </row>
    <row r="774" spans="1:7" x14ac:dyDescent="0.2">
      <c r="A774" s="5"/>
      <c r="B774" s="3"/>
      <c r="C774" s="3"/>
      <c r="D774" s="3"/>
      <c r="E774" s="3"/>
      <c r="F774" s="3"/>
      <c r="G774" s="3"/>
    </row>
    <row r="775" spans="1:7" x14ac:dyDescent="0.2">
      <c r="A775" s="5"/>
      <c r="B775" s="3"/>
      <c r="C775" s="3"/>
      <c r="D775" s="3"/>
      <c r="E775" s="3"/>
      <c r="F775" s="3"/>
      <c r="G775" s="3"/>
    </row>
    <row r="776" spans="1:7" x14ac:dyDescent="0.2">
      <c r="A776" s="5"/>
      <c r="B776" s="3"/>
      <c r="C776" s="3"/>
      <c r="D776" s="3"/>
      <c r="E776" s="3"/>
      <c r="F776" s="3"/>
      <c r="G776" s="3"/>
    </row>
    <row r="777" spans="1:7" x14ac:dyDescent="0.2">
      <c r="A777" s="5"/>
      <c r="B777" s="3"/>
      <c r="C777" s="3"/>
      <c r="D777" s="3"/>
      <c r="E777" s="3"/>
      <c r="F777" s="3"/>
      <c r="G777" s="3"/>
    </row>
    <row r="778" spans="1:7" x14ac:dyDescent="0.2">
      <c r="A778" s="5"/>
      <c r="B778" s="3"/>
      <c r="C778" s="3"/>
      <c r="D778" s="3"/>
      <c r="E778" s="3"/>
      <c r="F778" s="3"/>
      <c r="G778" s="3"/>
    </row>
    <row r="779" spans="1:7" x14ac:dyDescent="0.2">
      <c r="A779" s="5"/>
      <c r="B779" s="3"/>
      <c r="C779" s="3"/>
      <c r="D779" s="3"/>
      <c r="E779" s="3"/>
      <c r="F779" s="3"/>
      <c r="G779" s="3"/>
    </row>
    <row r="780" spans="1:7" x14ac:dyDescent="0.2">
      <c r="A780" s="5"/>
      <c r="B780" s="3"/>
      <c r="C780" s="3"/>
      <c r="D780" s="3"/>
      <c r="E780" s="3"/>
      <c r="F780" s="3"/>
      <c r="G780" s="3"/>
    </row>
    <row r="781" spans="1:7" x14ac:dyDescent="0.2">
      <c r="A781" s="5"/>
      <c r="B781" s="3"/>
      <c r="C781" s="3"/>
      <c r="D781" s="3"/>
      <c r="E781" s="3"/>
      <c r="F781" s="3"/>
      <c r="G781" s="3"/>
    </row>
    <row r="782" spans="1:7" x14ac:dyDescent="0.2">
      <c r="A782" s="5"/>
      <c r="B782" s="3"/>
      <c r="C782" s="3"/>
      <c r="D782" s="3"/>
      <c r="E782" s="3"/>
      <c r="F782" s="3"/>
      <c r="G782" s="3"/>
    </row>
    <row r="783" spans="1:7" x14ac:dyDescent="0.2">
      <c r="A783" s="5"/>
      <c r="B783" s="3"/>
      <c r="C783" s="3"/>
      <c r="D783" s="3"/>
      <c r="E783" s="3"/>
      <c r="F783" s="3"/>
      <c r="G783" s="3"/>
    </row>
    <row r="784" spans="1:7" x14ac:dyDescent="0.2">
      <c r="A784" s="5"/>
      <c r="B784" s="3"/>
      <c r="C784" s="3"/>
      <c r="D784" s="3"/>
      <c r="E784" s="3"/>
      <c r="F784" s="3"/>
      <c r="G784" s="3"/>
    </row>
    <row r="785" spans="1:7" x14ac:dyDescent="0.2">
      <c r="A785" s="5"/>
      <c r="B785" s="3"/>
      <c r="C785" s="3"/>
      <c r="D785" s="3"/>
      <c r="E785" s="3"/>
      <c r="F785" s="3"/>
      <c r="G785" s="3"/>
    </row>
    <row r="786" spans="1:7" x14ac:dyDescent="0.2">
      <c r="A786" s="5"/>
      <c r="B786" s="3"/>
      <c r="C786" s="3"/>
      <c r="D786" s="3"/>
      <c r="E786" s="3"/>
      <c r="F786" s="3"/>
      <c r="G786" s="3"/>
    </row>
    <row r="787" spans="1:7" x14ac:dyDescent="0.2">
      <c r="A787" s="5"/>
      <c r="B787" s="3"/>
      <c r="C787" s="3"/>
      <c r="D787" s="3"/>
      <c r="E787" s="3"/>
      <c r="F787" s="3"/>
      <c r="G787" s="3"/>
    </row>
    <row r="788" spans="1:7" x14ac:dyDescent="0.2">
      <c r="A788" s="5"/>
      <c r="B788" s="3"/>
      <c r="C788" s="3"/>
      <c r="D788" s="3"/>
      <c r="E788" s="3"/>
      <c r="F788" s="3"/>
      <c r="G788" s="3"/>
    </row>
    <row r="789" spans="1:7" x14ac:dyDescent="0.2">
      <c r="A789" s="5"/>
      <c r="B789" s="3"/>
      <c r="C789" s="3"/>
      <c r="D789" s="3"/>
      <c r="E789" s="3"/>
      <c r="F789" s="3"/>
      <c r="G789" s="3"/>
    </row>
    <row r="790" spans="1:7" x14ac:dyDescent="0.2">
      <c r="A790" s="5"/>
      <c r="B790" s="3"/>
      <c r="C790" s="3"/>
      <c r="D790" s="3"/>
      <c r="E790" s="3"/>
      <c r="F790" s="3"/>
      <c r="G790" s="3"/>
    </row>
    <row r="791" spans="1:7" x14ac:dyDescent="0.2">
      <c r="A791" s="5"/>
      <c r="B791" s="3"/>
      <c r="C791" s="3"/>
      <c r="D791" s="3"/>
      <c r="E791" s="3"/>
      <c r="F791" s="3"/>
      <c r="G791" s="3"/>
    </row>
    <row r="792" spans="1:7" x14ac:dyDescent="0.2">
      <c r="A792" s="5"/>
      <c r="B792" s="3"/>
      <c r="C792" s="3"/>
      <c r="D792" s="3"/>
      <c r="E792" s="3"/>
      <c r="F792" s="3"/>
      <c r="G792" s="3"/>
    </row>
    <row r="793" spans="1:7" x14ac:dyDescent="0.2">
      <c r="A793" s="5"/>
      <c r="B793" s="3"/>
      <c r="C793" s="3"/>
      <c r="D793" s="3"/>
      <c r="E793" s="3"/>
      <c r="F793" s="3"/>
      <c r="G793" s="3"/>
    </row>
    <row r="794" spans="1:7" x14ac:dyDescent="0.2">
      <c r="A794" s="5"/>
      <c r="B794" s="3"/>
      <c r="C794" s="3"/>
      <c r="D794" s="3"/>
      <c r="E794" s="3"/>
      <c r="F794" s="3"/>
      <c r="G794" s="3"/>
    </row>
    <row r="795" spans="1:7" x14ac:dyDescent="0.2">
      <c r="A795" s="5"/>
      <c r="B795" s="3"/>
      <c r="C795" s="3"/>
      <c r="D795" s="3"/>
      <c r="E795" s="3"/>
      <c r="F795" s="3"/>
      <c r="G795" s="3"/>
    </row>
    <row r="796" spans="1:7" x14ac:dyDescent="0.2">
      <c r="A796" s="5"/>
      <c r="B796" s="3"/>
      <c r="C796" s="3"/>
      <c r="D796" s="3"/>
      <c r="E796" s="3"/>
      <c r="F796" s="3"/>
      <c r="G796" s="3"/>
    </row>
    <row r="797" spans="1:7" x14ac:dyDescent="0.2">
      <c r="A797" s="5"/>
      <c r="B797" s="3"/>
      <c r="C797" s="3"/>
      <c r="D797" s="3"/>
      <c r="E797" s="3"/>
      <c r="F797" s="3"/>
      <c r="G797" s="3"/>
    </row>
    <row r="798" spans="1:7" x14ac:dyDescent="0.2">
      <c r="A798" s="5"/>
      <c r="B798" s="3"/>
      <c r="C798" s="3"/>
      <c r="D798" s="3"/>
      <c r="E798" s="3"/>
      <c r="F798" s="3"/>
      <c r="G798" s="3"/>
    </row>
    <row r="799" spans="1:7" x14ac:dyDescent="0.2">
      <c r="A799" s="5"/>
      <c r="B799" s="3"/>
      <c r="C799" s="3"/>
      <c r="D799" s="3"/>
      <c r="E799" s="3"/>
      <c r="F799" s="3"/>
      <c r="G799" s="3"/>
    </row>
    <row r="800" spans="1:7" x14ac:dyDescent="0.2">
      <c r="A800" s="5"/>
      <c r="B800" s="3"/>
      <c r="C800" s="3"/>
      <c r="D800" s="3"/>
      <c r="E800" s="3"/>
      <c r="F800" s="3"/>
      <c r="G800" s="3"/>
    </row>
    <row r="801" spans="1:7" x14ac:dyDescent="0.2">
      <c r="A801" s="5"/>
      <c r="B801" s="3"/>
      <c r="C801" s="3"/>
      <c r="D801" s="3"/>
      <c r="E801" s="3"/>
      <c r="F801" s="3"/>
      <c r="G801" s="3"/>
    </row>
    <row r="802" spans="1:7" x14ac:dyDescent="0.2">
      <c r="A802" s="5"/>
      <c r="B802" s="3"/>
      <c r="C802" s="3"/>
      <c r="D802" s="3"/>
      <c r="E802" s="3"/>
      <c r="F802" s="3"/>
      <c r="G802" s="3"/>
    </row>
    <row r="803" spans="1:7" x14ac:dyDescent="0.2">
      <c r="A803" s="5"/>
      <c r="B803" s="3"/>
      <c r="C803" s="3"/>
      <c r="D803" s="3"/>
      <c r="E803" s="3"/>
      <c r="F803" s="3"/>
      <c r="G803" s="3"/>
    </row>
    <row r="804" spans="1:7" x14ac:dyDescent="0.2">
      <c r="A804" s="5"/>
      <c r="B804" s="3"/>
      <c r="C804" s="3"/>
      <c r="D804" s="3"/>
      <c r="E804" s="3"/>
      <c r="F804" s="3"/>
      <c r="G804" s="3"/>
    </row>
    <row r="805" spans="1:7" x14ac:dyDescent="0.2">
      <c r="A805" s="5"/>
      <c r="B805" s="3"/>
      <c r="C805" s="3"/>
      <c r="D805" s="3"/>
      <c r="E805" s="3"/>
      <c r="F805" s="3"/>
      <c r="G805" s="3"/>
    </row>
    <row r="806" spans="1:7" x14ac:dyDescent="0.2">
      <c r="A806" s="5"/>
      <c r="B806" s="3"/>
      <c r="C806" s="3"/>
      <c r="D806" s="3"/>
      <c r="E806" s="3"/>
      <c r="F806" s="3"/>
      <c r="G806" s="3"/>
    </row>
    <row r="807" spans="1:7" x14ac:dyDescent="0.2">
      <c r="A807" s="5"/>
      <c r="B807" s="3"/>
      <c r="C807" s="3"/>
      <c r="D807" s="3"/>
      <c r="E807" s="3"/>
      <c r="F807" s="3"/>
      <c r="G807" s="3"/>
    </row>
    <row r="808" spans="1:7" x14ac:dyDescent="0.2">
      <c r="A808" s="5"/>
      <c r="B808" s="3"/>
      <c r="C808" s="3"/>
      <c r="D808" s="3"/>
      <c r="E808" s="3"/>
      <c r="F808" s="3"/>
      <c r="G808" s="3"/>
    </row>
    <row r="809" spans="1:7" x14ac:dyDescent="0.2">
      <c r="A809" s="5"/>
      <c r="B809" s="3"/>
      <c r="C809" s="3"/>
      <c r="D809" s="3"/>
      <c r="E809" s="3"/>
      <c r="F809" s="3"/>
      <c r="G809" s="3"/>
    </row>
    <row r="810" spans="1:7" x14ac:dyDescent="0.2">
      <c r="A810" s="5"/>
      <c r="B810" s="3"/>
      <c r="C810" s="3"/>
      <c r="D810" s="3"/>
      <c r="E810" s="3"/>
      <c r="F810" s="3"/>
      <c r="G810" s="3"/>
    </row>
    <row r="811" spans="1:7" x14ac:dyDescent="0.2">
      <c r="A811" s="5"/>
      <c r="B811" s="3"/>
      <c r="C811" s="3"/>
      <c r="D811" s="3"/>
      <c r="E811" s="3"/>
      <c r="F811" s="3"/>
      <c r="G811" s="3"/>
    </row>
    <row r="812" spans="1:7" x14ac:dyDescent="0.2">
      <c r="A812" s="5"/>
      <c r="B812" s="3"/>
      <c r="C812" s="3"/>
      <c r="D812" s="3"/>
      <c r="E812" s="3"/>
      <c r="F812" s="3"/>
      <c r="G812" s="3"/>
    </row>
    <row r="813" spans="1:7" x14ac:dyDescent="0.2">
      <c r="A813" s="5"/>
      <c r="B813" s="3"/>
      <c r="C813" s="3"/>
      <c r="D813" s="3"/>
      <c r="E813" s="3"/>
      <c r="F813" s="3"/>
      <c r="G813" s="3"/>
    </row>
    <row r="814" spans="1:7" x14ac:dyDescent="0.2">
      <c r="A814" s="5"/>
      <c r="B814" s="3"/>
      <c r="C814" s="3"/>
      <c r="D814" s="3"/>
      <c r="E814" s="3"/>
      <c r="F814" s="3"/>
      <c r="G814" s="3"/>
    </row>
    <row r="815" spans="1:7" x14ac:dyDescent="0.2">
      <c r="A815" s="5"/>
      <c r="B815" s="3"/>
      <c r="C815" s="3"/>
      <c r="D815" s="3"/>
      <c r="E815" s="3"/>
      <c r="F815" s="3"/>
      <c r="G815" s="3"/>
    </row>
    <row r="816" spans="1:7" x14ac:dyDescent="0.2">
      <c r="A816" s="5"/>
      <c r="B816" s="3"/>
      <c r="C816" s="3"/>
      <c r="D816" s="3"/>
      <c r="E816" s="3"/>
      <c r="F816" s="3"/>
      <c r="G816" s="3"/>
    </row>
    <row r="817" spans="1:7" x14ac:dyDescent="0.2">
      <c r="A817" s="5"/>
      <c r="B817" s="3"/>
      <c r="C817" s="3"/>
      <c r="D817" s="3"/>
      <c r="E817" s="3"/>
      <c r="F817" s="3"/>
      <c r="G817" s="3"/>
    </row>
    <row r="818" spans="1:7" x14ac:dyDescent="0.2">
      <c r="A818" s="5"/>
      <c r="B818" s="3"/>
      <c r="C818" s="3"/>
      <c r="D818" s="3"/>
      <c r="E818" s="3"/>
      <c r="F818" s="3"/>
      <c r="G818" s="3"/>
    </row>
    <row r="819" spans="1:7" x14ac:dyDescent="0.2">
      <c r="A819" s="5"/>
      <c r="B819" s="3"/>
      <c r="C819" s="3"/>
      <c r="D819" s="3"/>
      <c r="E819" s="3"/>
      <c r="F819" s="3"/>
      <c r="G819" s="3"/>
    </row>
    <row r="820" spans="1:7" x14ac:dyDescent="0.2">
      <c r="A820" s="5"/>
      <c r="B820" s="3"/>
      <c r="C820" s="3"/>
      <c r="D820" s="3"/>
      <c r="E820" s="3"/>
      <c r="F820" s="3"/>
      <c r="G820" s="3"/>
    </row>
    <row r="821" spans="1:7" x14ac:dyDescent="0.2">
      <c r="A821" s="5"/>
      <c r="B821" s="3"/>
      <c r="C821" s="3"/>
      <c r="D821" s="3"/>
      <c r="E821" s="3"/>
      <c r="F821" s="3"/>
      <c r="G821" s="3"/>
    </row>
    <row r="822" spans="1:7" x14ac:dyDescent="0.2">
      <c r="A822" s="5"/>
      <c r="B822" s="3"/>
      <c r="C822" s="3"/>
      <c r="D822" s="3"/>
      <c r="E822" s="3"/>
      <c r="F822" s="3"/>
      <c r="G822" s="3"/>
    </row>
    <row r="823" spans="1:7" x14ac:dyDescent="0.2">
      <c r="A823" s="5"/>
      <c r="B823" s="3"/>
      <c r="C823" s="3"/>
      <c r="D823" s="3"/>
      <c r="E823" s="3"/>
      <c r="F823" s="3"/>
      <c r="G823" s="3"/>
    </row>
    <row r="824" spans="1:7" x14ac:dyDescent="0.2">
      <c r="A824" s="5"/>
      <c r="B824" s="3"/>
      <c r="C824" s="3"/>
      <c r="D824" s="3"/>
      <c r="E824" s="3"/>
      <c r="F824" s="3"/>
      <c r="G824" s="3"/>
    </row>
    <row r="825" spans="1:7" x14ac:dyDescent="0.2">
      <c r="A825" s="5"/>
      <c r="B825" s="3"/>
      <c r="C825" s="3"/>
      <c r="D825" s="3"/>
      <c r="E825" s="3"/>
      <c r="F825" s="3"/>
      <c r="G825" s="3"/>
    </row>
    <row r="826" spans="1:7" x14ac:dyDescent="0.2">
      <c r="A826" s="5"/>
      <c r="B826" s="3"/>
      <c r="C826" s="3"/>
      <c r="D826" s="3"/>
      <c r="E826" s="3"/>
      <c r="F826" s="3"/>
      <c r="G826" s="3"/>
    </row>
    <row r="827" spans="1:7" x14ac:dyDescent="0.2">
      <c r="A827" s="5"/>
      <c r="B827" s="3"/>
      <c r="C827" s="3"/>
      <c r="D827" s="3"/>
      <c r="E827" s="3"/>
      <c r="F827" s="3"/>
      <c r="G827" s="3"/>
    </row>
    <row r="828" spans="1:7" x14ac:dyDescent="0.2">
      <c r="A828" s="5"/>
      <c r="B828" s="3"/>
      <c r="C828" s="3"/>
      <c r="D828" s="3"/>
      <c r="E828" s="3"/>
      <c r="F828" s="3"/>
      <c r="G828" s="3"/>
    </row>
    <row r="829" spans="1:7" x14ac:dyDescent="0.2">
      <c r="A829" s="5"/>
      <c r="B829" s="3"/>
      <c r="C829" s="3"/>
      <c r="D829" s="3"/>
      <c r="E829" s="3"/>
      <c r="F829" s="3"/>
      <c r="G829" s="3"/>
    </row>
    <row r="830" spans="1:7" x14ac:dyDescent="0.2">
      <c r="A830" s="5"/>
      <c r="B830" s="3"/>
      <c r="C830" s="3"/>
      <c r="D830" s="3"/>
      <c r="E830" s="3"/>
      <c r="F830" s="3"/>
      <c r="G830" s="3"/>
    </row>
    <row r="831" spans="1:7" x14ac:dyDescent="0.2">
      <c r="A831" s="5"/>
      <c r="B831" s="3"/>
      <c r="C831" s="3"/>
      <c r="D831" s="3"/>
      <c r="E831" s="3"/>
      <c r="F831" s="3"/>
      <c r="G831" s="3"/>
    </row>
    <row r="832" spans="1:7" x14ac:dyDescent="0.2">
      <c r="A832" s="5"/>
      <c r="B832" s="3"/>
      <c r="C832" s="3"/>
      <c r="D832" s="3"/>
      <c r="E832" s="3"/>
      <c r="F832" s="3"/>
      <c r="G832" s="3"/>
    </row>
    <row r="833" spans="1:7" x14ac:dyDescent="0.2">
      <c r="A833" s="5"/>
      <c r="B833" s="3"/>
      <c r="C833" s="3"/>
      <c r="D833" s="3"/>
      <c r="E833" s="3"/>
      <c r="F833" s="3"/>
      <c r="G833" s="3"/>
    </row>
    <row r="834" spans="1:7" x14ac:dyDescent="0.2">
      <c r="A834" s="5"/>
      <c r="B834" s="3"/>
      <c r="C834" s="3"/>
      <c r="D834" s="3"/>
      <c r="E834" s="3"/>
      <c r="F834" s="3"/>
      <c r="G834" s="3"/>
    </row>
    <row r="835" spans="1:7" x14ac:dyDescent="0.2">
      <c r="A835" s="5"/>
      <c r="B835" s="3"/>
      <c r="C835" s="3"/>
      <c r="D835" s="3"/>
      <c r="E835" s="3"/>
      <c r="F835" s="3"/>
      <c r="G835" s="3"/>
    </row>
    <row r="836" spans="1:7" x14ac:dyDescent="0.2">
      <c r="A836" s="5"/>
      <c r="B836" s="3"/>
      <c r="C836" s="3"/>
      <c r="D836" s="3"/>
      <c r="E836" s="3"/>
      <c r="F836" s="3"/>
      <c r="G836" s="3"/>
    </row>
    <row r="837" spans="1:7" x14ac:dyDescent="0.2">
      <c r="A837" s="5"/>
      <c r="B837" s="3"/>
      <c r="C837" s="3"/>
      <c r="D837" s="3"/>
      <c r="E837" s="3"/>
      <c r="F837" s="3"/>
      <c r="G837" s="3"/>
    </row>
    <row r="838" spans="1:7" x14ac:dyDescent="0.2">
      <c r="A838" s="5"/>
      <c r="B838" s="3"/>
      <c r="C838" s="3"/>
      <c r="D838" s="3"/>
      <c r="E838" s="3"/>
      <c r="F838" s="3"/>
      <c r="G838" s="3"/>
    </row>
    <row r="839" spans="1:7" x14ac:dyDescent="0.2">
      <c r="A839" s="5"/>
      <c r="B839" s="3"/>
      <c r="C839" s="3"/>
      <c r="D839" s="3"/>
      <c r="E839" s="3"/>
      <c r="F839" s="3"/>
      <c r="G839" s="3"/>
    </row>
    <row r="840" spans="1:7" x14ac:dyDescent="0.2">
      <c r="A840" s="5"/>
      <c r="B840" s="3"/>
      <c r="C840" s="3"/>
      <c r="D840" s="3"/>
      <c r="E840" s="3"/>
      <c r="F840" s="3"/>
      <c r="G840" s="3"/>
    </row>
  </sheetData>
  <customSheetViews>
    <customSheetView guid="{FF05580A-A727-4092-B60E-2BB176745255}" state="hidden">
      <pane ySplit="1" topLeftCell="A2" activePane="bottomLeft" state="frozen"/>
      <selection pane="bottomLeft" activeCell="C2" sqref="C2"/>
      <pageMargins left="0" right="0" top="0" bottom="0" header="0" footer="0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A080-B4A2-4150-9F7D-7FF72E9AC06F}">
  <sheetPr codeName="Sheet7"/>
  <dimension ref="A1:N840"/>
  <sheetViews>
    <sheetView workbookViewId="0">
      <pane ySplit="1" topLeftCell="A2" activePane="bottomLeft" state="frozen"/>
      <selection pane="bottomLeft" activeCell="N2" sqref="N2"/>
    </sheetView>
  </sheetViews>
  <sheetFormatPr defaultRowHeight="12.75" x14ac:dyDescent="0.2"/>
  <cols>
    <col min="1" max="1" width="15.7109375" style="1" customWidth="1"/>
    <col min="2" max="7" width="15.7109375" style="2" customWidth="1"/>
    <col min="8" max="8" width="9.140625" style="2"/>
    <col min="9" max="10" width="12.7109375" style="2" customWidth="1"/>
    <col min="11" max="11" width="12.7109375" style="4" customWidth="1"/>
    <col min="12" max="12" width="12.7109375" style="10" customWidth="1"/>
    <col min="13" max="16384" width="9.140625" style="2"/>
  </cols>
  <sheetData>
    <row r="1" spans="1:14" x14ac:dyDescent="0.2">
      <c r="A1" s="6" t="s">
        <v>7</v>
      </c>
      <c r="B1" s="6" t="s">
        <v>8</v>
      </c>
      <c r="C1" s="7" t="s">
        <v>2</v>
      </c>
      <c r="D1" s="7" t="s">
        <v>1</v>
      </c>
      <c r="E1" s="7" t="s">
        <v>5</v>
      </c>
      <c r="F1" s="7" t="s">
        <v>4</v>
      </c>
      <c r="G1" s="7" t="s">
        <v>3</v>
      </c>
      <c r="I1" s="8" t="s">
        <v>6</v>
      </c>
      <c r="J1" s="8" t="s">
        <v>9</v>
      </c>
      <c r="L1" s="9" t="s">
        <v>0</v>
      </c>
    </row>
    <row r="2" spans="1:14" x14ac:dyDescent="0.2">
      <c r="A2" s="5">
        <v>45791</v>
      </c>
      <c r="B2" s="3" t="str">
        <f ca="1">INDEX($C$1:$G$1, 1, MATCH(MAX(C2:G2), C2:G2, 0))</f>
        <v>GOLDBEES</v>
      </c>
      <c r="C2" s="3">
        <f t="shared" ref="C2:G16" ca="1" si="0">IFERROR(INDEX(_xlfn.STOCKHISTORY(C$1,$A2),2,2),0)/IFERROR(INDEX(_xlfn.STOCKHISTORY(C$1,EDATE($A2,-12)),2,2),0)-1</f>
        <v>9.5938093320291351E-3</v>
      </c>
      <c r="D2" s="3">
        <f t="shared" ca="1" si="0"/>
        <v>0.28419676417715323</v>
      </c>
      <c r="E2" s="3">
        <f t="shared" ca="1" si="0"/>
        <v>0.121487368719841</v>
      </c>
      <c r="F2" s="3">
        <f t="shared" ca="1" si="0"/>
        <v>0.11040339702760105</v>
      </c>
      <c r="G2" s="3">
        <f t="shared" ca="1" si="0"/>
        <v>4.8915521396469597E-2</v>
      </c>
      <c r="I2" s="2" vm="192">
        <f t="shared" ref="I2:I17" ca="1" si="1">IF(B2&lt;&gt;B3,INDEX(_xlfn.STOCKHISTORY(B2,A2),2,2),I3)</f>
        <v>66.260000000000005</v>
      </c>
      <c r="J2" s="2" t="str">
        <f t="shared" ref="J2:J17" ca="1" si="2">IF(B2&lt;&gt;B3,INDEX(_xlfn.STOCKHISTORY(B3,A2),2,2),"")</f>
        <v/>
      </c>
      <c r="K2" s="4" t="str">
        <f t="shared" ref="K2:K17" ca="1" si="3">IF(ISNUMBER(J2),J2/I3-1,"")</f>
        <v/>
      </c>
      <c r="L2" s="10">
        <f t="shared" ref="L2:L17" ca="1" si="4">IF(K2&lt;&gt;"",L3*(1+K2),L3)</f>
        <v>154.39347081936253</v>
      </c>
      <c r="N2" s="4">
        <f ca="1">COUNTIF(K:K,"&gt;0")/COUNT(K:K)</f>
        <v>0.52380952380952384</v>
      </c>
    </row>
    <row r="3" spans="1:14" x14ac:dyDescent="0.2">
      <c r="A3" s="5">
        <f>A2-7</f>
        <v>45784</v>
      </c>
      <c r="B3" s="3" t="str">
        <f t="shared" ref="B3:B25" ca="1" si="5">INDEX($C$1:$G$1, 1, MATCH(MAX(C3:G3), C3:G3, 0))</f>
        <v>GOLDBEES</v>
      </c>
      <c r="C3" s="3">
        <f t="shared" ca="1" si="0"/>
        <v>8.4341067046738161E-3</v>
      </c>
      <c r="D3" s="3">
        <f t="shared" ca="1" si="0"/>
        <v>0.33948582729070531</v>
      </c>
      <c r="E3" s="3">
        <f t="shared" ca="1" si="0"/>
        <v>0.10392133058152253</v>
      </c>
      <c r="F3" s="3">
        <f t="shared" ca="1" si="0"/>
        <v>7.873594001071238E-2</v>
      </c>
      <c r="G3" s="3">
        <f t="shared" ca="1" si="0"/>
        <v>6.4897138036146274E-5</v>
      </c>
      <c r="I3" s="2" vm="192">
        <f t="shared" ca="1" si="1"/>
        <v>66.260000000000005</v>
      </c>
      <c r="J3" s="2" t="str">
        <f t="shared" ca="1" si="2"/>
        <v/>
      </c>
      <c r="K3" s="4" t="str">
        <f t="shared" ca="1" si="3"/>
        <v/>
      </c>
      <c r="L3" s="10">
        <f t="shared" ca="1" si="4"/>
        <v>154.39347081936253</v>
      </c>
    </row>
    <row r="4" spans="1:14" x14ac:dyDescent="0.2">
      <c r="A4" s="5">
        <f t="shared" ref="A4:A67" si="6">A3-7</f>
        <v>45777</v>
      </c>
      <c r="B4" s="3" t="str">
        <f t="shared" ca="1" si="5"/>
        <v>GOLDBEES</v>
      </c>
      <c r="C4" s="3">
        <f t="shared" ca="1" si="0"/>
        <v>-2.6798777396318529E-3</v>
      </c>
      <c r="D4" s="3">
        <f t="shared" ca="1" si="0"/>
        <v>0.2991130091984231</v>
      </c>
      <c r="E4" s="3">
        <f t="shared" ca="1" si="0"/>
        <v>8.7698952251459739E-2</v>
      </c>
      <c r="F4" s="3">
        <f t="shared" ca="1" si="0"/>
        <v>5.6050288108957513E-2</v>
      </c>
      <c r="G4" s="3">
        <f t="shared" ca="1" si="0"/>
        <v>-2.9241604829581269E-2</v>
      </c>
      <c r="I4" s="2" vm="192">
        <f t="shared" ca="1" si="1"/>
        <v>66.260000000000005</v>
      </c>
      <c r="J4" s="2" t="str">
        <f t="shared" ca="1" si="2"/>
        <v/>
      </c>
      <c r="K4" s="4" t="str">
        <f t="shared" ca="1" si="3"/>
        <v/>
      </c>
      <c r="L4" s="10">
        <f t="shared" ca="1" si="4"/>
        <v>154.39347081936253</v>
      </c>
    </row>
    <row r="5" spans="1:14" x14ac:dyDescent="0.2">
      <c r="A5" s="5">
        <f t="shared" si="6"/>
        <v>45770</v>
      </c>
      <c r="B5" s="3" t="str">
        <f t="shared" ca="1" si="5"/>
        <v>GOLDBEES</v>
      </c>
      <c r="C5" s="3">
        <f t="shared" ca="1" si="0"/>
        <v>5.2722054470985658E-2</v>
      </c>
      <c r="D5" s="3">
        <f t="shared" ca="1" si="0"/>
        <v>0.33427385892116179</v>
      </c>
      <c r="E5" s="3">
        <f t="shared" ca="1" si="0"/>
        <v>9.6844483899604539E-2</v>
      </c>
      <c r="F5" s="3">
        <f t="shared" ca="1" si="0"/>
        <v>0.10172228202368139</v>
      </c>
      <c r="G5" s="3">
        <f t="shared" ca="1" si="0"/>
        <v>3.0385136442810268E-2</v>
      </c>
      <c r="I5" s="2" vm="192">
        <f t="shared" ca="1" si="1"/>
        <v>66.260000000000005</v>
      </c>
      <c r="J5" s="2" t="str">
        <f t="shared" ca="1" si="2"/>
        <v/>
      </c>
      <c r="K5" s="4" t="str">
        <f t="shared" ca="1" si="3"/>
        <v/>
      </c>
      <c r="L5" s="10">
        <f t="shared" ca="1" si="4"/>
        <v>154.39347081936253</v>
      </c>
    </row>
    <row r="6" spans="1:14" x14ac:dyDescent="0.2">
      <c r="A6" s="5">
        <f t="shared" si="6"/>
        <v>45763</v>
      </c>
      <c r="B6" s="3" t="str">
        <f t="shared" ca="1" si="5"/>
        <v>GOLDBEES</v>
      </c>
      <c r="C6" s="3">
        <f t="shared" ca="1" si="0"/>
        <v>3.0956379646861265E-2</v>
      </c>
      <c r="D6" s="3">
        <f t="shared" ca="1" si="0"/>
        <v>0.28017450315075143</v>
      </c>
      <c r="E6" s="3">
        <f t="shared" ca="1" si="0"/>
        <v>6.6756272401433669E-2</v>
      </c>
      <c r="F6" s="3">
        <f t="shared" ca="1" si="0"/>
        <v>6.3921993499458374E-2</v>
      </c>
      <c r="G6" s="3">
        <f t="shared" ca="1" si="0"/>
        <v>1.4629666076231729E-2</v>
      </c>
      <c r="I6" s="2" vm="192">
        <f t="shared" ca="1" si="1"/>
        <v>66.260000000000005</v>
      </c>
      <c r="J6" s="2" t="str">
        <f t="shared" ca="1" si="2"/>
        <v/>
      </c>
      <c r="K6" s="4" t="str">
        <f t="shared" ca="1" si="3"/>
        <v/>
      </c>
      <c r="L6" s="10">
        <f t="shared" ca="1" si="4"/>
        <v>154.39347081936253</v>
      </c>
    </row>
    <row r="7" spans="1:14" x14ac:dyDescent="0.2">
      <c r="A7" s="5">
        <f t="shared" si="6"/>
        <v>45756</v>
      </c>
      <c r="B7" s="3" t="str">
        <f t="shared" ca="1" si="5"/>
        <v>GOLDBEES</v>
      </c>
      <c r="C7" s="3">
        <f t="shared" ca="1" si="0"/>
        <v>-2.7928615237325816E-2</v>
      </c>
      <c r="D7" s="3">
        <f t="shared" ca="1" si="0"/>
        <v>0.23682906688687044</v>
      </c>
      <c r="E7" s="3">
        <f t="shared" ca="1" si="0"/>
        <v>1.1565765334609068E-3</v>
      </c>
      <c r="F7" s="3">
        <f t="shared" ca="1" si="0"/>
        <v>-5.3619302949060588E-3</v>
      </c>
      <c r="G7" s="3">
        <f t="shared" ca="1" si="0"/>
        <v>-5.7025279247501448E-2</v>
      </c>
      <c r="I7" s="2" vm="192">
        <f t="shared" ca="1" si="1"/>
        <v>66.260000000000005</v>
      </c>
      <c r="J7" s="2" t="str">
        <f t="shared" ca="1" si="2"/>
        <v/>
      </c>
      <c r="K7" s="4" t="str">
        <f t="shared" ca="1" si="3"/>
        <v/>
      </c>
      <c r="L7" s="10">
        <f t="shared" ca="1" si="4"/>
        <v>154.39347081936253</v>
      </c>
    </row>
    <row r="8" spans="1:14" x14ac:dyDescent="0.2">
      <c r="A8" s="5">
        <f t="shared" si="6"/>
        <v>45749</v>
      </c>
      <c r="B8" s="3" t="str">
        <f t="shared" ca="1" si="5"/>
        <v>GOLDBEES</v>
      </c>
      <c r="C8" s="3">
        <f t="shared" ca="1" si="0"/>
        <v>1.9329430226943334E-2</v>
      </c>
      <c r="D8" s="3">
        <f t="shared" ca="1" si="0"/>
        <v>0.29996589358799453</v>
      </c>
      <c r="E8" s="3">
        <f t="shared" ca="1" si="0"/>
        <v>5.2242107379851133E-2</v>
      </c>
      <c r="F8" s="3">
        <f t="shared" ca="1" si="0"/>
        <v>5.6368563685636808E-2</v>
      </c>
      <c r="G8" s="3">
        <f t="shared" ca="1" si="0"/>
        <v>2.0838917180380445E-2</v>
      </c>
      <c r="I8" s="2" vm="192">
        <f t="shared" ca="1" si="1"/>
        <v>66.260000000000005</v>
      </c>
      <c r="J8" s="2" t="str">
        <f t="shared" ca="1" si="2"/>
        <v/>
      </c>
      <c r="K8" s="4" t="str">
        <f t="shared" ca="1" si="3"/>
        <v/>
      </c>
      <c r="L8" s="10">
        <f t="shared" ca="1" si="4"/>
        <v>154.39347081936253</v>
      </c>
    </row>
    <row r="9" spans="1:14" x14ac:dyDescent="0.2">
      <c r="A9" s="5">
        <f t="shared" si="6"/>
        <v>45742</v>
      </c>
      <c r="B9" s="3" t="str">
        <f t="shared" ca="1" si="5"/>
        <v>GOLDBEES</v>
      </c>
      <c r="C9" s="3">
        <f t="shared" ca="1" si="0"/>
        <v>5.2707069114981353E-2</v>
      </c>
      <c r="D9" s="3">
        <f t="shared" ca="1" si="0"/>
        <v>0.30106571936056836</v>
      </c>
      <c r="E9" s="3">
        <f t="shared" ca="1" si="0"/>
        <v>7.8387136469912466E-2</v>
      </c>
      <c r="F9" s="3">
        <f t="shared" ca="1" si="0"/>
        <v>8.8152723189219628E-2</v>
      </c>
      <c r="G9" s="3">
        <f t="shared" ca="1" si="0"/>
        <v>5.4595086442219998E-2</v>
      </c>
      <c r="I9" s="2" vm="192">
        <f t="shared" ca="1" si="1"/>
        <v>66.260000000000005</v>
      </c>
      <c r="J9" s="2" t="str">
        <f t="shared" ca="1" si="2"/>
        <v/>
      </c>
      <c r="K9" s="4" t="str">
        <f t="shared" ca="1" si="3"/>
        <v/>
      </c>
      <c r="L9" s="10">
        <f t="shared" ca="1" si="4"/>
        <v>154.39347081936253</v>
      </c>
    </row>
    <row r="10" spans="1:14" x14ac:dyDescent="0.2">
      <c r="A10" s="5">
        <f t="shared" si="6"/>
        <v>45735</v>
      </c>
      <c r="B10" s="3" t="str">
        <f t="shared" ca="1" si="5"/>
        <v>GOLDBEES</v>
      </c>
      <c r="C10" s="3">
        <f t="shared" ca="1" si="0"/>
        <v>8.6245596788727674E-2</v>
      </c>
      <c r="D10" s="3">
        <f t="shared" ca="1" si="0"/>
        <v>0.33519151231792854</v>
      </c>
      <c r="E10" s="3">
        <f t="shared" ca="1" si="0"/>
        <v>6.25E-2</v>
      </c>
      <c r="F10" s="3">
        <f t="shared" ca="1" si="0"/>
        <v>0.11220930232558146</v>
      </c>
      <c r="G10" s="3">
        <f t="shared" ca="1" si="0"/>
        <v>7.9576750253660178E-2</v>
      </c>
      <c r="I10" s="2" vm="192">
        <f t="shared" ca="1" si="1"/>
        <v>66.260000000000005</v>
      </c>
      <c r="J10" s="2" t="str">
        <f t="shared" ca="1" si="2"/>
        <v/>
      </c>
      <c r="K10" s="4" t="str">
        <f t="shared" ca="1" si="3"/>
        <v/>
      </c>
      <c r="L10" s="10">
        <f t="shared" ca="1" si="4"/>
        <v>154.39347081936253</v>
      </c>
    </row>
    <row r="11" spans="1:14" x14ac:dyDescent="0.2">
      <c r="A11" s="5">
        <f t="shared" si="6"/>
        <v>45728</v>
      </c>
      <c r="B11" s="3" t="str">
        <f t="shared" ca="1" si="5"/>
        <v>GOLDBEES</v>
      </c>
      <c r="C11" s="3">
        <f t="shared" ca="1" si="0"/>
        <v>6.7262084172787784E-3</v>
      </c>
      <c r="D11" s="3">
        <f t="shared" ca="1" si="0"/>
        <v>0.29281372899535207</v>
      </c>
      <c r="E11" s="3">
        <f t="shared" ca="1" si="0"/>
        <v>1.7460189152049166E-2</v>
      </c>
      <c r="F11" s="3">
        <f t="shared" ca="1" si="0"/>
        <v>2.0716685330347095E-2</v>
      </c>
      <c r="G11" s="3">
        <f t="shared" ca="1" si="0"/>
        <v>-4.2005040604875532E-4</v>
      </c>
      <c r="I11" s="2" vm="192">
        <f t="shared" ca="1" si="1"/>
        <v>66.260000000000005</v>
      </c>
      <c r="J11" s="2" t="str">
        <f t="shared" ca="1" si="2"/>
        <v/>
      </c>
      <c r="K11" s="4" t="str">
        <f t="shared" ca="1" si="3"/>
        <v/>
      </c>
      <c r="L11" s="10">
        <f t="shared" ca="1" si="4"/>
        <v>154.39347081936253</v>
      </c>
    </row>
    <row r="12" spans="1:14" x14ac:dyDescent="0.2">
      <c r="A12" s="5">
        <f t="shared" si="6"/>
        <v>45721</v>
      </c>
      <c r="B12" s="3" t="str">
        <f t="shared" ca="1" si="5"/>
        <v>GOLDBEES</v>
      </c>
      <c r="C12" s="3">
        <f t="shared" ca="1" si="0"/>
        <v>-3.7585742475020334E-3</v>
      </c>
      <c r="D12" s="3">
        <f t="shared" ca="1" si="0"/>
        <v>0.32314170633467598</v>
      </c>
      <c r="E12" s="3">
        <f t="shared" ca="1" si="0"/>
        <v>1.2695075604431061E-2</v>
      </c>
      <c r="F12" s="3">
        <f t="shared" ca="1" si="0"/>
        <v>1.5350877192982448E-2</v>
      </c>
      <c r="G12" s="3">
        <f t="shared" ca="1" si="0"/>
        <v>-4.5086321381142103E-2</v>
      </c>
      <c r="I12" s="2" vm="192">
        <f t="shared" ca="1" si="1"/>
        <v>66.260000000000005</v>
      </c>
      <c r="J12" s="2" t="str">
        <f t="shared" ca="1" si="2"/>
        <v/>
      </c>
      <c r="K12" s="4" t="str">
        <f t="shared" ca="1" si="3"/>
        <v/>
      </c>
      <c r="L12" s="10">
        <f t="shared" ca="1" si="4"/>
        <v>154.39347081936253</v>
      </c>
    </row>
    <row r="13" spans="1:14" x14ac:dyDescent="0.2">
      <c r="A13" s="5">
        <f>A12-14</f>
        <v>45707</v>
      </c>
      <c r="B13" s="3" t="str">
        <f t="shared" ca="1" si="5"/>
        <v>GOLDBEES</v>
      </c>
      <c r="C13" s="3">
        <f t="shared" ca="1" si="0"/>
        <v>3.1690592155857678E-2</v>
      </c>
      <c r="D13" s="3">
        <f t="shared" ca="1" si="0"/>
        <v>0.38164893617021289</v>
      </c>
      <c r="E13" s="3">
        <f t="shared" ca="1" si="0"/>
        <v>4.8359451518119378E-2</v>
      </c>
      <c r="F13" s="3">
        <f t="shared" ca="1" si="0"/>
        <v>3.0517711171662132E-2</v>
      </c>
      <c r="G13" s="3">
        <f t="shared" ca="1" si="0"/>
        <v>-3.616672136527721E-2</v>
      </c>
      <c r="I13" s="2" vm="192">
        <f t="shared" ca="1" si="1"/>
        <v>66.260000000000005</v>
      </c>
      <c r="J13" s="2" t="str">
        <f t="shared" ca="1" si="2"/>
        <v/>
      </c>
      <c r="K13" s="4" t="str">
        <f t="shared" ca="1" si="3"/>
        <v/>
      </c>
      <c r="L13" s="10">
        <f t="shared" ca="1" si="4"/>
        <v>154.39347081936253</v>
      </c>
    </row>
    <row r="14" spans="1:14" x14ac:dyDescent="0.2">
      <c r="A14" s="5">
        <f t="shared" si="6"/>
        <v>45700</v>
      </c>
      <c r="B14" s="3" t="str">
        <f t="shared" ca="1" si="5"/>
        <v>GOLDBEES</v>
      </c>
      <c r="C14" s="3">
        <f t="shared" ca="1" si="0"/>
        <v>8.5234474017743977E-2</v>
      </c>
      <c r="D14" s="3">
        <f t="shared" ca="1" si="0"/>
        <v>0.35385489676075021</v>
      </c>
      <c r="E14" s="3">
        <f t="shared" ca="1" si="0"/>
        <v>7.9182684272104176E-2</v>
      </c>
      <c r="F14" s="3">
        <f t="shared" ca="1" si="0"/>
        <v>7.5098814229249022E-2</v>
      </c>
      <c r="G14" s="3">
        <f t="shared" ca="1" si="0"/>
        <v>3.0771325481653067E-2</v>
      </c>
      <c r="I14" s="2" vm="192">
        <f t="shared" ca="1" si="1"/>
        <v>66.260000000000005</v>
      </c>
      <c r="J14" s="2" t="str">
        <f t="shared" ca="1" si="2"/>
        <v/>
      </c>
      <c r="K14" s="4" t="str">
        <f t="shared" ca="1" si="3"/>
        <v/>
      </c>
      <c r="L14" s="10">
        <f t="shared" ca="1" si="4"/>
        <v>154.39347081936253</v>
      </c>
    </row>
    <row r="15" spans="1:14" x14ac:dyDescent="0.2">
      <c r="A15" s="5">
        <f t="shared" si="6"/>
        <v>45693</v>
      </c>
      <c r="B15" s="3" t="str">
        <f t="shared" ca="1" si="5"/>
        <v>GOLDBEES</v>
      </c>
      <c r="C15" s="3">
        <f t="shared" ca="1" si="0"/>
        <v>0.15578780306611728</v>
      </c>
      <c r="D15" s="3">
        <f t="shared" ca="1" si="0"/>
        <v>0.35088712721781801</v>
      </c>
      <c r="E15" s="3">
        <f t="shared" ca="1" si="0"/>
        <v>0.10410422910422912</v>
      </c>
      <c r="F15" s="3">
        <f t="shared" ca="1" si="0"/>
        <v>0.12188365650969524</v>
      </c>
      <c r="G15" s="3">
        <f t="shared" ca="1" si="0"/>
        <v>7.3412568126600686E-2</v>
      </c>
      <c r="I15" s="2" vm="192">
        <f t="shared" ca="1" si="1"/>
        <v>66.260000000000005</v>
      </c>
      <c r="J15" s="2" t="str">
        <f t="shared" ca="1" si="2"/>
        <v/>
      </c>
      <c r="K15" s="4" t="str">
        <f t="shared" ca="1" si="3"/>
        <v/>
      </c>
      <c r="L15" s="10">
        <f t="shared" ca="1" si="4"/>
        <v>154.39347081936253</v>
      </c>
    </row>
    <row r="16" spans="1:14" x14ac:dyDescent="0.2">
      <c r="A16" s="5">
        <f t="shared" si="6"/>
        <v>45686</v>
      </c>
      <c r="B16" s="3" t="str">
        <f t="shared" ca="1" si="5"/>
        <v>GOLDBEES</v>
      </c>
      <c r="C16" s="3">
        <f t="shared" ca="1" si="0"/>
        <v>0.13559756597839479</v>
      </c>
      <c r="D16" s="3">
        <f t="shared" ca="1" si="0"/>
        <v>0.28110251085520099</v>
      </c>
      <c r="E16" s="3">
        <f t="shared" ca="1" si="0"/>
        <v>8.0524890647781566E-2</v>
      </c>
      <c r="F16" s="3">
        <f t="shared" ca="1" si="0"/>
        <v>0.1105499438832771</v>
      </c>
      <c r="G16" s="3">
        <f t="shared" ca="1" si="0"/>
        <v>6.4002709109380218E-2</v>
      </c>
      <c r="I16" s="2" vm="192">
        <f t="shared" ca="1" si="1"/>
        <v>66.260000000000005</v>
      </c>
      <c r="J16" s="2" t="str">
        <f t="shared" ca="1" si="2"/>
        <v/>
      </c>
      <c r="K16" s="4" t="str">
        <f t="shared" ca="1" si="3"/>
        <v/>
      </c>
      <c r="L16" s="10">
        <f t="shared" ca="1" si="4"/>
        <v>154.39347081936253</v>
      </c>
    </row>
    <row r="17" spans="1:12" x14ac:dyDescent="0.2">
      <c r="A17" s="5">
        <f>A16-14</f>
        <v>45672</v>
      </c>
      <c r="B17" s="3" t="str">
        <f t="shared" ca="1" si="5"/>
        <v>GOLDBEES</v>
      </c>
      <c r="C17" s="3">
        <f t="shared" ref="C17:F25" ca="1" si="7">IFERROR(INDEX(_xlfn.STOCKHISTORY(C$1,$A17),2,2),0)/IFERROR(INDEX(_xlfn.STOCKHISTORY(C$1,EDATE($A17,-12)),2,2),0)-1</f>
        <v>0.16788559263837377</v>
      </c>
      <c r="D17" s="3">
        <f t="shared" ca="1" si="7"/>
        <v>0.24431924882629108</v>
      </c>
      <c r="E17" s="3">
        <f t="shared" ca="1" si="7"/>
        <v>6.3547342975375898E-2</v>
      </c>
      <c r="F17" s="3">
        <f t="shared" ca="1" si="7"/>
        <v>0.13764044943820219</v>
      </c>
      <c r="G17" s="3">
        <f t="shared" ref="G17:G57" ca="1" si="8">IFERROR(INDEX(_xlfn.STOCKHISTORY(G$1,$A17),2,2),0)/IFERROR(INDEX(_xlfn.STOCKHISTORY(G$1,EDATE($A17,-12)),2,2),0)-1</f>
        <v>0.13632630714481242</v>
      </c>
      <c r="I17" s="2" vm="192">
        <f t="shared" ca="1" si="1"/>
        <v>66.260000000000005</v>
      </c>
      <c r="J17" s="2" vm="193">
        <f t="shared" ca="1" si="2"/>
        <v>680.27</v>
      </c>
      <c r="K17" s="4">
        <f t="shared" ca="1" si="3"/>
        <v>-2.6753651801937228E-2</v>
      </c>
      <c r="L17" s="10">
        <f t="shared" ca="1" si="4"/>
        <v>154.39347081936253</v>
      </c>
    </row>
    <row r="18" spans="1:12" x14ac:dyDescent="0.2">
      <c r="A18" s="5">
        <f t="shared" si="6"/>
        <v>45665</v>
      </c>
      <c r="B18" s="3" t="str">
        <f t="shared" ca="1" si="5"/>
        <v>JUNIORBEES</v>
      </c>
      <c r="C18" s="3">
        <f t="shared" ca="1" si="7"/>
        <v>0.24188609920391912</v>
      </c>
      <c r="D18" s="3">
        <f t="shared" ca="1" si="7"/>
        <v>0.23216650898770119</v>
      </c>
      <c r="E18" s="3">
        <f t="shared" ca="1" si="7"/>
        <v>0.11460787613598122</v>
      </c>
      <c r="F18" s="3">
        <f t="shared" ca="1" si="7"/>
        <v>0.20788121073672161</v>
      </c>
      <c r="G18" s="3">
        <f t="shared" ca="1" si="8"/>
        <v>0.22185891192430773</v>
      </c>
      <c r="I18" s="2" vm="194">
        <f t="shared" ref="I18:I25" ca="1" si="9">IF(B18&lt;&gt;B19,INDEX(_xlfn.STOCKHISTORY(B18,A18),2,2),I19)</f>
        <v>698.97</v>
      </c>
      <c r="J18" s="2" t="str">
        <f t="shared" ref="J18:J25" ca="1" si="10">IF(B18&lt;&gt;B19,INDEX(_xlfn.STOCKHISTORY(B19,A18),2,2),"")</f>
        <v/>
      </c>
      <c r="K18" s="4" t="str">
        <f t="shared" ref="K18:K25" ca="1" si="11">IF(ISNUMBER(J18),J18/I19-1,"")</f>
        <v/>
      </c>
      <c r="L18" s="10">
        <f t="shared" ref="L18:L25" ca="1" si="12">IF(K18&lt;&gt;"",L19*(1+K18),L19)</f>
        <v>158.63760609553538</v>
      </c>
    </row>
    <row r="19" spans="1:12" x14ac:dyDescent="0.2">
      <c r="A19" s="5">
        <f t="shared" si="6"/>
        <v>45658</v>
      </c>
      <c r="B19" s="3" t="str">
        <f t="shared" ca="1" si="5"/>
        <v>JUNIORBEES</v>
      </c>
      <c r="C19" s="3">
        <f t="shared" ca="1" si="7"/>
        <v>0.28412511221023351</v>
      </c>
      <c r="D19" s="3">
        <f t="shared" ca="1" si="7"/>
        <v>0.19743208038704863</v>
      </c>
      <c r="E19" s="3">
        <f t="shared" ca="1" si="7"/>
        <v>0.1050135219471604</v>
      </c>
      <c r="F19" s="3">
        <f t="shared" ca="1" si="7"/>
        <v>0.2488452655889144</v>
      </c>
      <c r="G19" s="3">
        <f t="shared" ca="1" si="8"/>
        <v>0.27012749172360362</v>
      </c>
      <c r="I19" s="2" vm="194">
        <f t="shared" ca="1" si="9"/>
        <v>698.97</v>
      </c>
      <c r="J19" s="2" t="str">
        <f t="shared" ca="1" si="10"/>
        <v/>
      </c>
      <c r="K19" s="4" t="str">
        <f t="shared" ca="1" si="11"/>
        <v/>
      </c>
      <c r="L19" s="10">
        <f t="shared" ca="1" si="12"/>
        <v>158.63760609553538</v>
      </c>
    </row>
    <row r="20" spans="1:12" x14ac:dyDescent="0.2">
      <c r="A20" s="5">
        <f>A19-14</f>
        <v>45644</v>
      </c>
      <c r="B20" s="3" t="str">
        <f t="shared" ca="1" si="5"/>
        <v>JUNIORBEES</v>
      </c>
      <c r="C20" s="3">
        <f t="shared" ca="1" si="7"/>
        <v>0.36796591276832902</v>
      </c>
      <c r="D20" s="3">
        <f t="shared" ca="1" si="7"/>
        <v>0.22651933701657456</v>
      </c>
      <c r="E20" s="3">
        <f t="shared" ca="1" si="7"/>
        <v>0.14427019486832648</v>
      </c>
      <c r="F20" s="3">
        <f t="shared" ca="1" si="7"/>
        <v>0.28370457209847588</v>
      </c>
      <c r="G20" s="3">
        <f t="shared" ca="1" si="8"/>
        <v>0.30492085094190946</v>
      </c>
      <c r="I20" s="2" vm="194">
        <f t="shared" ca="1" si="9"/>
        <v>698.97</v>
      </c>
      <c r="J20" s="2" t="str">
        <f t="shared" ca="1" si="10"/>
        <v/>
      </c>
      <c r="K20" s="4" t="str">
        <f t="shared" ca="1" si="11"/>
        <v/>
      </c>
      <c r="L20" s="10">
        <f t="shared" ca="1" si="12"/>
        <v>158.63760609553538</v>
      </c>
    </row>
    <row r="21" spans="1:12" x14ac:dyDescent="0.2">
      <c r="A21" s="5">
        <f t="shared" si="6"/>
        <v>45637</v>
      </c>
      <c r="B21" s="3" t="str">
        <f t="shared" ca="1" si="5"/>
        <v>JUNIORBEES</v>
      </c>
      <c r="C21" s="3">
        <f t="shared" ca="1" si="7"/>
        <v>0.43821712268314195</v>
      </c>
      <c r="D21" s="3">
        <f t="shared" ca="1" si="7"/>
        <v>0.25028835063437138</v>
      </c>
      <c r="E21" s="3">
        <f t="shared" ca="1" si="7"/>
        <v>0.1862893136028303</v>
      </c>
      <c r="F21" s="3">
        <f t="shared" ca="1" si="7"/>
        <v>0.33093525179856109</v>
      </c>
      <c r="G21" s="3">
        <f t="shared" ca="1" si="8"/>
        <v>0.36571218795888405</v>
      </c>
      <c r="I21" s="2" vm="194">
        <f t="shared" ca="1" si="9"/>
        <v>698.97</v>
      </c>
      <c r="J21" s="2" t="str">
        <f t="shared" ca="1" si="10"/>
        <v/>
      </c>
      <c r="K21" s="4" t="str">
        <f t="shared" ca="1" si="11"/>
        <v/>
      </c>
      <c r="L21" s="10">
        <f t="shared" ca="1" si="12"/>
        <v>158.63760609553538</v>
      </c>
    </row>
    <row r="22" spans="1:12" x14ac:dyDescent="0.2">
      <c r="A22" s="5">
        <f t="shared" si="6"/>
        <v>45630</v>
      </c>
      <c r="B22" s="3" t="str">
        <f t="shared" ca="1" si="5"/>
        <v>JUNIORBEES</v>
      </c>
      <c r="C22" s="3">
        <f t="shared" ca="1" si="7"/>
        <v>0.46728296431560512</v>
      </c>
      <c r="D22" s="3">
        <f t="shared" ca="1" si="7"/>
        <v>0.1915487714072972</v>
      </c>
      <c r="E22" s="3">
        <f t="shared" ca="1" si="7"/>
        <v>0.19830835305460592</v>
      </c>
      <c r="F22" s="3">
        <f t="shared" ca="1" si="7"/>
        <v>0.32199270959902804</v>
      </c>
      <c r="G22" s="3">
        <f t="shared" ca="1" si="8"/>
        <v>0.34223890483550456</v>
      </c>
      <c r="I22" s="2" vm="194">
        <f t="shared" ca="1" si="9"/>
        <v>698.97</v>
      </c>
      <c r="J22" s="2" t="str">
        <f t="shared" ca="1" si="10"/>
        <v/>
      </c>
      <c r="K22" s="4" t="str">
        <f t="shared" ca="1" si="11"/>
        <v/>
      </c>
      <c r="L22" s="10">
        <f t="shared" ca="1" si="12"/>
        <v>158.63760609553538</v>
      </c>
    </row>
    <row r="23" spans="1:12" x14ac:dyDescent="0.2">
      <c r="A23" s="5">
        <f>A22-21</f>
        <v>45609</v>
      </c>
      <c r="B23" s="3" t="str">
        <f t="shared" ca="1" si="5"/>
        <v>JUNIORBEES</v>
      </c>
      <c r="C23" s="3">
        <f t="shared" ca="1" si="7"/>
        <v>0.46799582420731589</v>
      </c>
      <c r="D23" s="3">
        <f t="shared" ca="1" si="7"/>
        <v>0.24190064794816424</v>
      </c>
      <c r="E23" s="3">
        <f t="shared" ca="1" si="7"/>
        <v>0.22880447448147279</v>
      </c>
      <c r="F23" s="3">
        <f t="shared" ca="1" si="7"/>
        <v>0.31773879142300188</v>
      </c>
      <c r="G23" s="3">
        <f t="shared" ca="1" si="8"/>
        <v>0.33436385255648049</v>
      </c>
      <c r="I23" s="2" vm="194">
        <f t="shared" ca="1" si="9"/>
        <v>698.97</v>
      </c>
      <c r="J23" s="2" t="str">
        <f t="shared" ca="1" si="10"/>
        <v/>
      </c>
      <c r="K23" s="4" t="str">
        <f t="shared" ca="1" si="11"/>
        <v/>
      </c>
      <c r="L23" s="10">
        <f t="shared" ca="1" si="12"/>
        <v>158.63760609553538</v>
      </c>
    </row>
    <row r="24" spans="1:12" x14ac:dyDescent="0.2">
      <c r="A24" s="5">
        <f t="shared" si="6"/>
        <v>45602</v>
      </c>
      <c r="B24" s="3" t="str">
        <f t="shared" ca="1" si="5"/>
        <v>JUNIORBEES</v>
      </c>
      <c r="C24" s="3">
        <f t="shared" ca="1" si="7"/>
        <v>0.58853450072962277</v>
      </c>
      <c r="D24" s="3">
        <f t="shared" ca="1" si="7"/>
        <v>0.2674396135265702</v>
      </c>
      <c r="E24" s="3">
        <f t="shared" ca="1" si="7"/>
        <v>0.27661260253542141</v>
      </c>
      <c r="F24" s="3">
        <f t="shared" ca="1" si="7"/>
        <v>0.43293492695883118</v>
      </c>
      <c r="G24" s="3">
        <f t="shared" ca="1" si="8"/>
        <v>0.45759305410402762</v>
      </c>
      <c r="I24" s="2" vm="194">
        <f t="shared" ca="1" si="9"/>
        <v>698.97</v>
      </c>
      <c r="J24" s="2" t="str">
        <f t="shared" ca="1" si="10"/>
        <v/>
      </c>
      <c r="K24" s="4" t="str">
        <f t="shared" ca="1" si="11"/>
        <v/>
      </c>
      <c r="L24" s="10">
        <f t="shared" ca="1" si="12"/>
        <v>158.63760609553538</v>
      </c>
    </row>
    <row r="25" spans="1:12" x14ac:dyDescent="0.2">
      <c r="A25" s="5">
        <f t="shared" si="6"/>
        <v>45595</v>
      </c>
      <c r="B25" s="3" t="str">
        <f t="shared" ca="1" si="5"/>
        <v>JUNIORBEES</v>
      </c>
      <c r="C25" s="3">
        <f t="shared" ca="1" si="7"/>
        <v>0.60697295675652496</v>
      </c>
      <c r="D25" s="3">
        <f t="shared" ca="1" si="7"/>
        <v>0.28835063437139552</v>
      </c>
      <c r="E25" s="3">
        <f t="shared" ca="1" si="7"/>
        <v>0.2866868381240546</v>
      </c>
      <c r="F25" s="3">
        <f t="shared" ca="1" si="7"/>
        <v>0.44672131147540983</v>
      </c>
      <c r="G25" s="3">
        <f t="shared" ca="1" si="8"/>
        <v>0.45389894980567247</v>
      </c>
      <c r="I25" s="2" vm="194">
        <f t="shared" ca="1" si="9"/>
        <v>698.97</v>
      </c>
      <c r="J25" s="2" t="str">
        <f t="shared" ca="1" si="10"/>
        <v/>
      </c>
      <c r="K25" s="4" t="str">
        <f t="shared" ca="1" si="11"/>
        <v/>
      </c>
      <c r="L25" s="10">
        <f t="shared" ca="1" si="12"/>
        <v>158.63760609553538</v>
      </c>
    </row>
    <row r="26" spans="1:12" x14ac:dyDescent="0.2">
      <c r="A26" s="5">
        <f t="shared" si="6"/>
        <v>45588</v>
      </c>
      <c r="B26" s="3" t="str">
        <f t="shared" ref="B26:B89" ca="1" si="13">INDEX($C$1:$G$1, 1, MATCH(MAX(C26:G26), C26:G26, 0))</f>
        <v>JUNIORBEES</v>
      </c>
      <c r="C26" s="3">
        <f t="shared" ref="C26:F57" ca="1" si="14">IFERROR(INDEX(_xlfn.STOCKHISTORY(C$1,$A26),2,2),0)/IFERROR(INDEX(_xlfn.STOCKHISTORY(C$1,EDATE($A26,-12)),2,2),0)-1</f>
        <v>0.63016617874978453</v>
      </c>
      <c r="D26" s="3">
        <f t="shared" ca="1" si="14"/>
        <v>0.28366317423360488</v>
      </c>
      <c r="E26" s="3">
        <f t="shared" ca="1" si="14"/>
        <v>0.28109020969179532</v>
      </c>
      <c r="F26" s="3">
        <f t="shared" ca="1" si="14"/>
        <v>0.44315861130020417</v>
      </c>
      <c r="G26" s="3">
        <f t="shared" ca="1" si="8"/>
        <v>0.45774823431657663</v>
      </c>
      <c r="I26" s="2" vm="194">
        <f t="shared" ref="I26:I88" ca="1" si="15">IF(B26&lt;&gt;B27,INDEX(_xlfn.STOCKHISTORY(B26,A26),2,2),I27)</f>
        <v>698.97</v>
      </c>
      <c r="J26" s="2" t="str">
        <f t="shared" ref="J26:J88" ca="1" si="16">IF(B26&lt;&gt;B27,INDEX(_xlfn.STOCKHISTORY(B27,A26),2,2),"")</f>
        <v/>
      </c>
      <c r="K26" s="4" t="str">
        <f t="shared" ref="K26:K88" ca="1" si="17">IF(ISNUMBER(J26),J26/I27-1,"")</f>
        <v/>
      </c>
      <c r="L26" s="10">
        <f t="shared" ref="L26:L88" ca="1" si="18">IF(K26&lt;&gt;"",L27*(1+K26),L27)</f>
        <v>158.63760609553538</v>
      </c>
    </row>
    <row r="27" spans="1:12" x14ac:dyDescent="0.2">
      <c r="A27" s="5">
        <f t="shared" si="6"/>
        <v>45581</v>
      </c>
      <c r="B27" s="3" t="str">
        <f t="shared" ca="1" si="13"/>
        <v>JUNIORBEES</v>
      </c>
      <c r="C27" s="3">
        <f t="shared" ca="1" si="14"/>
        <v>0.67971804042252337</v>
      </c>
      <c r="D27" s="3">
        <f t="shared" ca="1" si="14"/>
        <v>0.2823880597014925</v>
      </c>
      <c r="E27" s="3">
        <f t="shared" ca="1" si="14"/>
        <v>0.27810922441486907</v>
      </c>
      <c r="F27" s="3">
        <f t="shared" ca="1" si="14"/>
        <v>0.46435578809679545</v>
      </c>
      <c r="G27" s="3">
        <f t="shared" ca="1" si="8"/>
        <v>0.48822869955156944</v>
      </c>
      <c r="I27" s="2" vm="194">
        <f t="shared" ca="1" si="15"/>
        <v>698.97</v>
      </c>
      <c r="J27" s="2" t="str">
        <f t="shared" ca="1" si="16"/>
        <v/>
      </c>
      <c r="K27" s="4" t="str">
        <f t="shared" ca="1" si="17"/>
        <v/>
      </c>
      <c r="L27" s="10">
        <f t="shared" ca="1" si="18"/>
        <v>158.63760609553538</v>
      </c>
    </row>
    <row r="28" spans="1:12" x14ac:dyDescent="0.2">
      <c r="A28" s="5">
        <f t="shared" si="6"/>
        <v>45574</v>
      </c>
      <c r="B28" s="3" t="str">
        <f t="shared" ca="1" si="13"/>
        <v>JUNIORBEES</v>
      </c>
      <c r="C28" s="3">
        <f t="shared" ca="1" si="14"/>
        <v>0.71005376458337777</v>
      </c>
      <c r="D28" s="3">
        <f t="shared" ca="1" si="14"/>
        <v>0.28927986906710301</v>
      </c>
      <c r="E28" s="3">
        <f t="shared" ca="1" si="14"/>
        <v>0.29348431408947495</v>
      </c>
      <c r="F28" s="3">
        <f t="shared" ca="1" si="14"/>
        <v>0.48494983277591985</v>
      </c>
      <c r="G28" s="3">
        <f t="shared" ca="1" si="8"/>
        <v>0.49979391641249693</v>
      </c>
      <c r="I28" s="2" vm="194">
        <f t="shared" ca="1" si="15"/>
        <v>698.97</v>
      </c>
      <c r="J28" s="2" t="str">
        <f t="shared" ca="1" si="16"/>
        <v/>
      </c>
      <c r="K28" s="4" t="str">
        <f t="shared" ca="1" si="17"/>
        <v/>
      </c>
      <c r="L28" s="10">
        <f t="shared" ca="1" si="18"/>
        <v>158.63760609553538</v>
      </c>
    </row>
    <row r="29" spans="1:12" x14ac:dyDescent="0.2">
      <c r="A29" s="5">
        <f>A28-14</f>
        <v>45560</v>
      </c>
      <c r="B29" s="3" t="str">
        <f t="shared" ca="1" si="13"/>
        <v>JUNIORBEES</v>
      </c>
      <c r="C29" s="3">
        <f t="shared" ca="1" si="14"/>
        <v>0.70246328061341745</v>
      </c>
      <c r="D29" s="3">
        <f t="shared" ca="1" si="14"/>
        <v>0.2676224611708482</v>
      </c>
      <c r="E29" s="3">
        <f t="shared" ca="1" si="14"/>
        <v>0.33805350553505509</v>
      </c>
      <c r="F29" s="3">
        <f t="shared" ca="1" si="14"/>
        <v>0.49603698811096408</v>
      </c>
      <c r="G29" s="3">
        <f t="shared" ca="1" si="8"/>
        <v>0.54037935890002475</v>
      </c>
      <c r="I29" s="2" vm="194">
        <f t="shared" ca="1" si="15"/>
        <v>698.97</v>
      </c>
      <c r="J29" s="2" t="str">
        <f t="shared" ca="1" si="16"/>
        <v/>
      </c>
      <c r="K29" s="4" t="str">
        <f t="shared" ca="1" si="17"/>
        <v/>
      </c>
      <c r="L29" s="10">
        <f t="shared" ca="1" si="18"/>
        <v>158.63760609553538</v>
      </c>
    </row>
    <row r="30" spans="1:12" x14ac:dyDescent="0.2">
      <c r="A30" s="5">
        <f t="shared" si="6"/>
        <v>45553</v>
      </c>
      <c r="B30" s="3" t="str">
        <f t="shared" ca="1" si="13"/>
        <v>JUNIORBEES</v>
      </c>
      <c r="C30" s="3">
        <f t="shared" ca="1" si="14"/>
        <v>0.63649936597537526</v>
      </c>
      <c r="D30" s="3">
        <f t="shared" ca="1" si="14"/>
        <v>0.22283901665344974</v>
      </c>
      <c r="E30" s="3">
        <f t="shared" ca="1" si="14"/>
        <v>0.27685652487382861</v>
      </c>
      <c r="F30" s="3">
        <f t="shared" ca="1" si="14"/>
        <v>0.46400523560209428</v>
      </c>
      <c r="G30" s="3">
        <f t="shared" ca="1" si="8"/>
        <v>0.51277253498210196</v>
      </c>
      <c r="I30" s="2" vm="194">
        <f t="shared" ca="1" si="15"/>
        <v>698.97</v>
      </c>
      <c r="J30" s="2" t="str">
        <f t="shared" ca="1" si="16"/>
        <v/>
      </c>
      <c r="K30" s="4" t="str">
        <f t="shared" ca="1" si="17"/>
        <v/>
      </c>
      <c r="L30" s="10">
        <f t="shared" ca="1" si="18"/>
        <v>158.63760609553538</v>
      </c>
    </row>
    <row r="31" spans="1:12" x14ac:dyDescent="0.2">
      <c r="A31" s="5">
        <f t="shared" si="6"/>
        <v>45546</v>
      </c>
      <c r="B31" s="3" t="str">
        <f t="shared" ca="1" si="13"/>
        <v>JUNIORBEES</v>
      </c>
      <c r="C31" s="3">
        <f t="shared" ca="1" si="14"/>
        <v>0.60618752782161778</v>
      </c>
      <c r="D31" s="3">
        <f t="shared" ca="1" si="14"/>
        <v>0.21032695374800658</v>
      </c>
      <c r="E31" s="3">
        <f t="shared" ca="1" si="14"/>
        <v>0.25937017878210367</v>
      </c>
      <c r="F31" s="3">
        <f t="shared" ca="1" si="14"/>
        <v>0.4126679462571976</v>
      </c>
      <c r="G31" s="3">
        <f t="shared" ca="1" si="8"/>
        <v>0.47152254131236959</v>
      </c>
      <c r="I31" s="2" vm="194">
        <f t="shared" ca="1" si="15"/>
        <v>698.97</v>
      </c>
      <c r="J31" s="2" t="str">
        <f t="shared" ca="1" si="16"/>
        <v/>
      </c>
      <c r="K31" s="4" t="str">
        <f t="shared" ca="1" si="17"/>
        <v/>
      </c>
      <c r="L31" s="10">
        <f t="shared" ca="1" si="18"/>
        <v>158.63760609553538</v>
      </c>
    </row>
    <row r="32" spans="1:12" x14ac:dyDescent="0.2">
      <c r="A32" s="5">
        <f t="shared" si="6"/>
        <v>45539</v>
      </c>
      <c r="B32" s="3" t="str">
        <f t="shared" ca="1" si="13"/>
        <v>JUNIORBEES</v>
      </c>
      <c r="C32" s="3">
        <f t="shared" ca="1" si="14"/>
        <v>0.67766323024054986</v>
      </c>
      <c r="D32" s="3">
        <f t="shared" ca="1" si="14"/>
        <v>0.18616177636796194</v>
      </c>
      <c r="E32" s="3">
        <f t="shared" ca="1" si="14"/>
        <v>0.30469873370750022</v>
      </c>
      <c r="F32" s="3">
        <f t="shared" ca="1" si="14"/>
        <v>0.47343957503320055</v>
      </c>
      <c r="G32" s="3">
        <f t="shared" ca="1" si="8"/>
        <v>0.50922357956874653</v>
      </c>
      <c r="I32" s="2" vm="194">
        <f t="shared" ca="1" si="15"/>
        <v>698.97</v>
      </c>
      <c r="J32" s="2" t="str">
        <f t="shared" ca="1" si="16"/>
        <v/>
      </c>
      <c r="K32" s="4" t="str">
        <f t="shared" ca="1" si="17"/>
        <v/>
      </c>
      <c r="L32" s="10">
        <f t="shared" ca="1" si="18"/>
        <v>158.63760609553538</v>
      </c>
    </row>
    <row r="33" spans="1:12" x14ac:dyDescent="0.2">
      <c r="A33" s="5">
        <f t="shared" si="6"/>
        <v>45532</v>
      </c>
      <c r="B33" s="3" t="str">
        <f t="shared" ca="1" si="13"/>
        <v>JUNIORBEES</v>
      </c>
      <c r="C33" s="3">
        <f t="shared" ca="1" si="14"/>
        <v>0.70212177906284556</v>
      </c>
      <c r="D33" s="3">
        <f t="shared" ca="1" si="14"/>
        <v>0.21586345381526106</v>
      </c>
      <c r="E33" s="3">
        <f t="shared" ca="1" si="14"/>
        <v>0.31037722553671254</v>
      </c>
      <c r="F33" s="3">
        <f t="shared" ca="1" si="14"/>
        <v>0.51403148528405218</v>
      </c>
      <c r="G33" s="3">
        <f t="shared" ca="1" si="8"/>
        <v>0.56756293885939368</v>
      </c>
      <c r="I33" s="2" vm="194">
        <f t="shared" ca="1" si="15"/>
        <v>698.97</v>
      </c>
      <c r="J33" s="2" t="str">
        <f t="shared" ca="1" si="16"/>
        <v/>
      </c>
      <c r="K33" s="4" t="str">
        <f t="shared" ca="1" si="17"/>
        <v/>
      </c>
      <c r="L33" s="10">
        <f t="shared" ca="1" si="18"/>
        <v>158.63760609553538</v>
      </c>
    </row>
    <row r="34" spans="1:12" x14ac:dyDescent="0.2">
      <c r="A34" s="5">
        <f t="shared" si="6"/>
        <v>45525</v>
      </c>
      <c r="B34" s="3" t="str">
        <f t="shared" ca="1" si="13"/>
        <v>JUNIORBEES</v>
      </c>
      <c r="C34" s="3">
        <f t="shared" ca="1" si="14"/>
        <v>0.69763600480521704</v>
      </c>
      <c r="D34" s="3">
        <f t="shared" ca="1" si="14"/>
        <v>0.2153784219001611</v>
      </c>
      <c r="E34" s="3">
        <f t="shared" ca="1" si="14"/>
        <v>0.29330210772833731</v>
      </c>
      <c r="F34" s="3">
        <f t="shared" ca="1" si="14"/>
        <v>0.52050034746351614</v>
      </c>
      <c r="G34" s="3">
        <f t="shared" ca="1" si="8"/>
        <v>0.5733916849015317</v>
      </c>
      <c r="I34" s="2" vm="194">
        <f t="shared" ca="1" si="15"/>
        <v>698.97</v>
      </c>
      <c r="J34" s="2" t="str">
        <f t="shared" ca="1" si="16"/>
        <v/>
      </c>
      <c r="K34" s="4" t="str">
        <f t="shared" ca="1" si="17"/>
        <v/>
      </c>
      <c r="L34" s="10">
        <f t="shared" ca="1" si="18"/>
        <v>158.63760609553538</v>
      </c>
    </row>
    <row r="35" spans="1:12" x14ac:dyDescent="0.2">
      <c r="A35" s="5">
        <f t="shared" si="6"/>
        <v>45518</v>
      </c>
      <c r="B35" s="3" t="str">
        <f t="shared" ca="1" si="13"/>
        <v>JUNIORBEES</v>
      </c>
      <c r="C35" s="3">
        <f t="shared" ca="1" si="14"/>
        <v>0.63616730103066321</v>
      </c>
      <c r="D35" s="3">
        <f t="shared" ca="1" si="14"/>
        <v>0.19005789578758225</v>
      </c>
      <c r="E35" s="3">
        <f t="shared" ca="1" si="14"/>
        <v>0.25560579926343752</v>
      </c>
      <c r="F35" s="3">
        <f t="shared" ca="1" si="14"/>
        <v>0.48283111422564828</v>
      </c>
      <c r="G35" s="3">
        <f t="shared" ca="1" si="8"/>
        <v>0.51586182587240037</v>
      </c>
      <c r="I35" s="2" vm="194">
        <f t="shared" ca="1" si="15"/>
        <v>698.97</v>
      </c>
      <c r="J35" s="2" t="str">
        <f t="shared" ca="1" si="16"/>
        <v/>
      </c>
      <c r="K35" s="4" t="str">
        <f t="shared" ca="1" si="17"/>
        <v/>
      </c>
      <c r="L35" s="10">
        <f t="shared" ca="1" si="18"/>
        <v>158.63760609553538</v>
      </c>
    </row>
    <row r="36" spans="1:12" x14ac:dyDescent="0.2">
      <c r="A36" s="5">
        <f t="shared" si="6"/>
        <v>45511</v>
      </c>
      <c r="B36" s="3" t="str">
        <f t="shared" ca="1" si="13"/>
        <v>JUNIORBEES</v>
      </c>
      <c r="C36" s="3">
        <f t="shared" ca="1" si="14"/>
        <v>0.61813290740195881</v>
      </c>
      <c r="D36" s="3">
        <f t="shared" ca="1" si="14"/>
        <v>0.15270350564468216</v>
      </c>
      <c r="E36" s="3">
        <f t="shared" ca="1" si="14"/>
        <v>0.255383190553369</v>
      </c>
      <c r="F36" s="3">
        <f t="shared" ca="1" si="14"/>
        <v>0.4961403508771931</v>
      </c>
      <c r="G36" s="3">
        <f t="shared" ca="1" si="8"/>
        <v>0.52469948231990893</v>
      </c>
      <c r="I36" s="2" vm="194">
        <f t="shared" ca="1" si="15"/>
        <v>698.97</v>
      </c>
      <c r="J36" s="2" t="str">
        <f t="shared" ca="1" si="16"/>
        <v/>
      </c>
      <c r="K36" s="4" t="str">
        <f t="shared" ca="1" si="17"/>
        <v/>
      </c>
      <c r="L36" s="10">
        <f t="shared" ca="1" si="18"/>
        <v>158.63760609553538</v>
      </c>
    </row>
    <row r="37" spans="1:12" x14ac:dyDescent="0.2">
      <c r="A37" s="5">
        <f t="shared" si="6"/>
        <v>45504</v>
      </c>
      <c r="B37" s="3" t="str">
        <f t="shared" ca="1" si="13"/>
        <v>JUNIORBEES</v>
      </c>
      <c r="C37" s="3">
        <f t="shared" ca="1" si="14"/>
        <v>0.65433306958730686</v>
      </c>
      <c r="D37" s="3">
        <f t="shared" ca="1" si="14"/>
        <v>0.15831030398736678</v>
      </c>
      <c r="E37" s="3">
        <f t="shared" ca="1" si="14"/>
        <v>0.27654196157735078</v>
      </c>
      <c r="F37" s="3">
        <f t="shared" ca="1" si="14"/>
        <v>0.55337078651685401</v>
      </c>
      <c r="G37" s="3">
        <f t="shared" ca="1" si="8"/>
        <v>0.5850895679662802</v>
      </c>
      <c r="I37" s="2" vm="194">
        <f t="shared" ca="1" si="15"/>
        <v>698.97</v>
      </c>
      <c r="J37" s="2" t="str">
        <f t="shared" ca="1" si="16"/>
        <v/>
      </c>
      <c r="K37" s="4" t="str">
        <f t="shared" ca="1" si="17"/>
        <v/>
      </c>
      <c r="L37" s="10">
        <f t="shared" ca="1" si="18"/>
        <v>158.63760609553538</v>
      </c>
    </row>
    <row r="38" spans="1:12" x14ac:dyDescent="0.2">
      <c r="A38" s="5">
        <f t="shared" si="6"/>
        <v>45497</v>
      </c>
      <c r="B38" s="3" t="str">
        <f t="shared" ca="1" si="13"/>
        <v>JUNIORBEES</v>
      </c>
      <c r="C38" s="3">
        <f t="shared" ca="1" si="14"/>
        <v>0.63788753474449433</v>
      </c>
      <c r="D38" s="3">
        <f t="shared" ca="1" si="14"/>
        <v>0.17670286278381053</v>
      </c>
      <c r="E38" s="3">
        <f t="shared" ca="1" si="14"/>
        <v>0.25451022008951218</v>
      </c>
      <c r="F38" s="3">
        <f t="shared" ca="1" si="14"/>
        <v>0.54106628242074928</v>
      </c>
      <c r="G38" s="3">
        <f t="shared" ca="1" si="8"/>
        <v>0.58098055032714879</v>
      </c>
      <c r="I38" s="2" vm="194">
        <f t="shared" ca="1" si="15"/>
        <v>698.97</v>
      </c>
      <c r="J38" s="2" t="str">
        <f t="shared" ca="1" si="16"/>
        <v/>
      </c>
      <c r="K38" s="4" t="str">
        <f t="shared" ca="1" si="17"/>
        <v/>
      </c>
      <c r="L38" s="10">
        <f t="shared" ca="1" si="18"/>
        <v>158.63760609553538</v>
      </c>
    </row>
    <row r="39" spans="1:12" x14ac:dyDescent="0.2">
      <c r="A39" s="5">
        <f>A38-14</f>
        <v>45483</v>
      </c>
      <c r="B39" s="3" t="str">
        <f t="shared" ca="1" si="13"/>
        <v>JUNIORBEES</v>
      </c>
      <c r="C39" s="3">
        <f t="shared" ca="1" si="14"/>
        <v>0.69730289114546284</v>
      </c>
      <c r="D39" s="3">
        <f t="shared" ca="1" si="14"/>
        <v>0.23006196282230662</v>
      </c>
      <c r="E39" s="3">
        <f t="shared" ca="1" si="14"/>
        <v>0.27407825432656141</v>
      </c>
      <c r="F39" s="3">
        <f t="shared" ca="1" si="14"/>
        <v>0.59097633136094685</v>
      </c>
      <c r="G39" s="3">
        <f t="shared" ca="1" si="8"/>
        <v>0.64021164021164001</v>
      </c>
      <c r="I39" s="2" vm="194">
        <f t="shared" ca="1" si="15"/>
        <v>698.97</v>
      </c>
      <c r="J39" s="2" t="str">
        <f t="shared" ca="1" si="16"/>
        <v/>
      </c>
      <c r="K39" s="4" t="str">
        <f t="shared" ca="1" si="17"/>
        <v/>
      </c>
      <c r="L39" s="10">
        <f t="shared" ca="1" si="18"/>
        <v>158.63760609553538</v>
      </c>
    </row>
    <row r="40" spans="1:12" x14ac:dyDescent="0.2">
      <c r="A40" s="5">
        <f t="shared" si="6"/>
        <v>45476</v>
      </c>
      <c r="B40" s="3" t="str">
        <f t="shared" ca="1" si="13"/>
        <v>JUNIORBEES</v>
      </c>
      <c r="C40" s="3">
        <f t="shared" ca="1" si="14"/>
        <v>0.66303014653669878</v>
      </c>
      <c r="D40" s="3">
        <f t="shared" ca="1" si="14"/>
        <v>0.2322437449556094</v>
      </c>
      <c r="E40" s="3">
        <f t="shared" ca="1" si="14"/>
        <v>0.27286858219500698</v>
      </c>
      <c r="F40" s="3">
        <f t="shared" ca="1" si="14"/>
        <v>0.5758697261287935</v>
      </c>
      <c r="G40" s="3">
        <f t="shared" ca="1" si="8"/>
        <v>0.6457121411146558</v>
      </c>
      <c r="I40" s="2" vm="194">
        <f t="shared" ca="1" si="15"/>
        <v>698.97</v>
      </c>
      <c r="J40" s="2" t="str">
        <f t="shared" ca="1" si="16"/>
        <v/>
      </c>
      <c r="K40" s="4" t="str">
        <f t="shared" ca="1" si="17"/>
        <v/>
      </c>
      <c r="L40" s="10">
        <f t="shared" ca="1" si="18"/>
        <v>158.63760609553538</v>
      </c>
    </row>
    <row r="41" spans="1:12" x14ac:dyDescent="0.2">
      <c r="A41" s="5">
        <f t="shared" si="6"/>
        <v>45469</v>
      </c>
      <c r="B41" s="3" t="str">
        <f t="shared" ca="1" si="13"/>
        <v>JUNIORBEES</v>
      </c>
      <c r="C41" s="3">
        <f t="shared" ca="1" si="14"/>
        <v>0.66809501834882545</v>
      </c>
      <c r="D41" s="3">
        <f t="shared" ca="1" si="14"/>
        <v>0.20944188837767541</v>
      </c>
      <c r="E41" s="3">
        <f t="shared" ca="1" si="14"/>
        <v>0.29166057415801538</v>
      </c>
      <c r="F41" s="3">
        <f t="shared" ca="1" si="14"/>
        <v>0.57411587659894669</v>
      </c>
      <c r="G41" s="3">
        <f t="shared" ca="1" si="8"/>
        <v>0.63988522238163559</v>
      </c>
      <c r="I41" s="2" vm="194">
        <f t="shared" ca="1" si="15"/>
        <v>698.97</v>
      </c>
      <c r="J41" s="2" t="str">
        <f t="shared" ca="1" si="16"/>
        <v/>
      </c>
      <c r="K41" s="4" t="str">
        <f t="shared" ca="1" si="17"/>
        <v/>
      </c>
      <c r="L41" s="10">
        <f t="shared" ca="1" si="18"/>
        <v>158.63760609553538</v>
      </c>
    </row>
    <row r="42" spans="1:12" x14ac:dyDescent="0.2">
      <c r="A42" s="5">
        <f t="shared" si="6"/>
        <v>45462</v>
      </c>
      <c r="B42" s="3" t="str">
        <f t="shared" ca="1" si="13"/>
        <v>JUNIORBEES</v>
      </c>
      <c r="C42" s="3">
        <f t="shared" ca="1" si="14"/>
        <v>0.64500949749611491</v>
      </c>
      <c r="D42" s="3">
        <f t="shared" ca="1" si="14"/>
        <v>0.2014644765485849</v>
      </c>
      <c r="E42" s="3">
        <f t="shared" ca="1" si="14"/>
        <v>0.26963617817069019</v>
      </c>
      <c r="F42" s="3">
        <f t="shared" ca="1" si="14"/>
        <v>0.56264066016504111</v>
      </c>
      <c r="G42" s="3">
        <f t="shared" ca="1" si="8"/>
        <v>0.61839977166777671</v>
      </c>
      <c r="I42" s="2" vm="194">
        <f t="shared" ca="1" si="15"/>
        <v>698.97</v>
      </c>
      <c r="J42" s="2" t="str">
        <f t="shared" ca="1" si="16"/>
        <v/>
      </c>
      <c r="K42" s="4" t="str">
        <f t="shared" ca="1" si="17"/>
        <v/>
      </c>
      <c r="L42" s="10">
        <f t="shared" ca="1" si="18"/>
        <v>158.63760609553538</v>
      </c>
    </row>
    <row r="43" spans="1:12" x14ac:dyDescent="0.2">
      <c r="A43" s="5">
        <f t="shared" si="6"/>
        <v>45455</v>
      </c>
      <c r="B43" s="3" t="str">
        <f t="shared" ca="1" si="13"/>
        <v>JUNIORBEES</v>
      </c>
      <c r="C43" s="3">
        <f t="shared" ca="1" si="14"/>
        <v>0.64787707773025871</v>
      </c>
      <c r="D43" s="3">
        <f t="shared" ca="1" si="14"/>
        <v>0.18967209895935611</v>
      </c>
      <c r="E43" s="3">
        <f t="shared" ca="1" si="14"/>
        <v>0.26865890638755729</v>
      </c>
      <c r="F43" s="3">
        <f t="shared" ca="1" si="14"/>
        <v>0.58532818532818554</v>
      </c>
      <c r="G43" s="3">
        <f t="shared" ca="1" si="8"/>
        <v>0.62548828124999978</v>
      </c>
      <c r="I43" s="2" vm="194">
        <f t="shared" ca="1" si="15"/>
        <v>698.97</v>
      </c>
      <c r="J43" s="2" t="str">
        <f t="shared" ca="1" si="16"/>
        <v/>
      </c>
      <c r="K43" s="4" t="str">
        <f t="shared" ca="1" si="17"/>
        <v/>
      </c>
      <c r="L43" s="10">
        <f t="shared" ca="1" si="18"/>
        <v>158.63760609553538</v>
      </c>
    </row>
    <row r="44" spans="1:12" x14ac:dyDescent="0.2">
      <c r="A44" s="5">
        <f t="shared" si="6"/>
        <v>45448</v>
      </c>
      <c r="B44" s="3" t="str">
        <f t="shared" ca="1" si="13"/>
        <v>JUNIORBEES</v>
      </c>
      <c r="C44" s="3">
        <f t="shared" ca="1" si="14"/>
        <v>0.58624298565957078</v>
      </c>
      <c r="D44" s="3">
        <f t="shared" ca="1" si="14"/>
        <v>0.19637223974763418</v>
      </c>
      <c r="E44" s="3">
        <f t="shared" ca="1" si="14"/>
        <v>0.23017427060896822</v>
      </c>
      <c r="F44" s="3">
        <f t="shared" ca="1" si="14"/>
        <v>0.51053864168618279</v>
      </c>
      <c r="G44" s="3">
        <f t="shared" ca="1" si="8"/>
        <v>0.51856251856251845</v>
      </c>
      <c r="I44" s="2" vm="194">
        <f t="shared" ca="1" si="15"/>
        <v>698.97</v>
      </c>
      <c r="J44" s="2" t="str">
        <f t="shared" ca="1" si="16"/>
        <v/>
      </c>
      <c r="K44" s="4" t="str">
        <f t="shared" ca="1" si="17"/>
        <v/>
      </c>
      <c r="L44" s="10">
        <f t="shared" ca="1" si="18"/>
        <v>158.63760609553538</v>
      </c>
    </row>
    <row r="45" spans="1:12" x14ac:dyDescent="0.2">
      <c r="A45" s="5">
        <f t="shared" si="6"/>
        <v>45441</v>
      </c>
      <c r="B45" s="3" t="str">
        <f t="shared" ca="1" si="13"/>
        <v>JUNIORBEES</v>
      </c>
      <c r="C45" s="3">
        <f t="shared" ca="1" si="14"/>
        <v>0.63634312021845596</v>
      </c>
      <c r="D45" s="3">
        <f t="shared" ca="1" si="14"/>
        <v>0.19577960140679962</v>
      </c>
      <c r="E45" s="3">
        <f t="shared" ca="1" si="14"/>
        <v>0.23625942980307646</v>
      </c>
      <c r="F45" s="3">
        <f t="shared" ca="1" si="14"/>
        <v>0.56130573248407623</v>
      </c>
      <c r="G45" s="3">
        <f t="shared" ca="1" si="8"/>
        <v>0.60759878419452873</v>
      </c>
      <c r="I45" s="2" vm="194">
        <f t="shared" ca="1" si="15"/>
        <v>698.97</v>
      </c>
      <c r="J45" s="2" t="str">
        <f t="shared" ca="1" si="16"/>
        <v/>
      </c>
      <c r="K45" s="4" t="str">
        <f t="shared" ca="1" si="17"/>
        <v/>
      </c>
      <c r="L45" s="10">
        <f t="shared" ca="1" si="18"/>
        <v>158.63760609553538</v>
      </c>
    </row>
    <row r="46" spans="1:12" x14ac:dyDescent="0.2">
      <c r="A46" s="5">
        <f t="shared" si="6"/>
        <v>45434</v>
      </c>
      <c r="B46" s="3" t="str">
        <f t="shared" ca="1" si="13"/>
        <v>JUNIORBEES</v>
      </c>
      <c r="C46" s="3">
        <f t="shared" ca="1" si="14"/>
        <v>0.68113399205836189</v>
      </c>
      <c r="D46" s="3">
        <f t="shared" ca="1" si="14"/>
        <v>0.20584840323201248</v>
      </c>
      <c r="E46" s="3">
        <f t="shared" ca="1" si="14"/>
        <v>0.24718541396831717</v>
      </c>
      <c r="F46" s="3">
        <f t="shared" ca="1" si="14"/>
        <v>0.59577922077922074</v>
      </c>
      <c r="G46" s="3">
        <f t="shared" ca="1" si="8"/>
        <v>0.63209674113547853</v>
      </c>
      <c r="I46" s="2" vm="194">
        <f t="shared" ca="1" si="15"/>
        <v>698.97</v>
      </c>
      <c r="J46" s="2" t="str">
        <f t="shared" ca="1" si="16"/>
        <v/>
      </c>
      <c r="K46" s="4" t="str">
        <f t="shared" ca="1" si="17"/>
        <v/>
      </c>
      <c r="L46" s="10">
        <f t="shared" ca="1" si="18"/>
        <v>158.63760609553538</v>
      </c>
    </row>
    <row r="47" spans="1:12" x14ac:dyDescent="0.2">
      <c r="A47" s="5">
        <f t="shared" si="6"/>
        <v>45427</v>
      </c>
      <c r="B47" s="3" t="str">
        <f t="shared" ca="1" si="13"/>
        <v>JUNIORBEES</v>
      </c>
      <c r="C47" s="3">
        <f t="shared" ca="1" si="14"/>
        <v>0.6140630412192587</v>
      </c>
      <c r="D47" s="3">
        <f t="shared" ca="1" si="14"/>
        <v>0.18037490436113246</v>
      </c>
      <c r="E47" s="3">
        <f t="shared" ca="1" si="14"/>
        <v>0.22389987086520313</v>
      </c>
      <c r="F47" s="3">
        <f t="shared" ca="1" si="14"/>
        <v>0.5495934959349591</v>
      </c>
      <c r="G47" s="3">
        <f t="shared" ca="1" si="8"/>
        <v>0.59356695098139944</v>
      </c>
      <c r="I47" s="2" vm="194">
        <f t="shared" ca="1" si="15"/>
        <v>698.97</v>
      </c>
      <c r="J47" s="2" vm="195">
        <f t="shared" ca="1" si="16"/>
        <v>155.07</v>
      </c>
      <c r="K47" s="4">
        <f t="shared" ca="1" si="17"/>
        <v>0.12304461181923498</v>
      </c>
      <c r="L47" s="10">
        <f t="shared" ca="1" si="18"/>
        <v>158.63760609553538</v>
      </c>
    </row>
    <row r="48" spans="1:12" x14ac:dyDescent="0.2">
      <c r="A48" s="5">
        <f t="shared" si="6"/>
        <v>45420</v>
      </c>
      <c r="B48" s="3" t="str">
        <f t="shared" ca="1" si="13"/>
        <v>HDFCSML250</v>
      </c>
      <c r="C48" s="3">
        <f t="shared" ca="1" si="14"/>
        <v>0.61160024352549991</v>
      </c>
      <c r="D48" s="3">
        <f t="shared" ca="1" si="14"/>
        <v>0.15967030860647879</v>
      </c>
      <c r="E48" s="3">
        <f t="shared" ca="1" si="14"/>
        <v>0.23799509288468279</v>
      </c>
      <c r="F48" s="3">
        <f t="shared" ca="1" si="14"/>
        <v>0.53518821603928002</v>
      </c>
      <c r="G48" s="3">
        <f t="shared" ca="1" si="8"/>
        <v>0.61329997915363776</v>
      </c>
      <c r="I48" s="2" vm="196">
        <f t="shared" ca="1" si="15"/>
        <v>138.08000000000001</v>
      </c>
      <c r="J48" s="2" t="str">
        <f t="shared" ca="1" si="16"/>
        <v/>
      </c>
      <c r="K48" s="4" t="str">
        <f t="shared" ca="1" si="17"/>
        <v/>
      </c>
      <c r="L48" s="10">
        <f t="shared" ca="1" si="18"/>
        <v>141.25672695989894</v>
      </c>
    </row>
    <row r="49" spans="1:12" x14ac:dyDescent="0.2">
      <c r="A49" s="5">
        <f>A48-14</f>
        <v>45406</v>
      </c>
      <c r="B49" s="3" t="str">
        <f t="shared" ca="1" si="13"/>
        <v>HDFCSML250</v>
      </c>
      <c r="C49" s="3">
        <f t="shared" ca="1" si="14"/>
        <v>0.6495557024307852</v>
      </c>
      <c r="D49" s="3">
        <f t="shared" ca="1" si="14"/>
        <v>0.18474444010924707</v>
      </c>
      <c r="E49" s="3">
        <f t="shared" ca="1" si="14"/>
        <v>0.27837071410157255</v>
      </c>
      <c r="F49" s="3">
        <f t="shared" ca="1" si="14"/>
        <v>0.5881355932203387</v>
      </c>
      <c r="G49" s="3">
        <f t="shared" ca="1" si="8"/>
        <v>0.70106452313708445</v>
      </c>
      <c r="I49" s="2" vm="196">
        <f t="shared" ca="1" si="15"/>
        <v>138.08000000000001</v>
      </c>
      <c r="J49" s="2" t="str">
        <f t="shared" ca="1" si="16"/>
        <v/>
      </c>
      <c r="K49" s="4" t="str">
        <f t="shared" ca="1" si="17"/>
        <v/>
      </c>
      <c r="L49" s="10">
        <f t="shared" ca="1" si="18"/>
        <v>141.25672695989894</v>
      </c>
    </row>
    <row r="50" spans="1:12" x14ac:dyDescent="0.2">
      <c r="A50" s="5">
        <f>A49-14</f>
        <v>45392</v>
      </c>
      <c r="B50" s="3" t="str">
        <f t="shared" ca="1" si="13"/>
        <v>HDFCSML250</v>
      </c>
      <c r="C50" s="3">
        <f t="shared" ca="1" si="14"/>
        <v>0.66076529104698123</v>
      </c>
      <c r="D50" s="3">
        <f t="shared" ca="1" si="14"/>
        <v>0.17983651226158037</v>
      </c>
      <c r="E50" s="3">
        <f t="shared" ca="1" si="14"/>
        <v>0.30590739202657824</v>
      </c>
      <c r="F50" s="3">
        <f t="shared" ca="1" si="14"/>
        <v>0.62208800690250232</v>
      </c>
      <c r="G50" s="3">
        <f t="shared" ca="1" si="8"/>
        <v>0.71503224371803431</v>
      </c>
      <c r="I50" s="2" vm="196">
        <f t="shared" ca="1" si="15"/>
        <v>138.08000000000001</v>
      </c>
      <c r="J50" s="2" t="str">
        <f t="shared" ca="1" si="16"/>
        <v/>
      </c>
      <c r="K50" s="4" t="str">
        <f t="shared" ca="1" si="17"/>
        <v/>
      </c>
      <c r="L50" s="10">
        <f t="shared" ca="1" si="18"/>
        <v>141.25672695989894</v>
      </c>
    </row>
    <row r="51" spans="1:12" x14ac:dyDescent="0.2">
      <c r="A51" s="5">
        <f t="shared" si="6"/>
        <v>45385</v>
      </c>
      <c r="B51" s="3" t="str">
        <f t="shared" ca="1" si="13"/>
        <v>HDFCSML250</v>
      </c>
      <c r="C51" s="3">
        <f t="shared" ca="1" si="14"/>
        <v>0.65811134390900916</v>
      </c>
      <c r="D51" s="3">
        <f t="shared" ca="1" si="14"/>
        <v>0.15688976377952768</v>
      </c>
      <c r="E51" s="3">
        <f t="shared" ca="1" si="14"/>
        <v>0.30452350965575148</v>
      </c>
      <c r="F51" s="3">
        <f t="shared" ca="1" si="14"/>
        <v>0.62096069868995629</v>
      </c>
      <c r="G51" s="3">
        <f t="shared" ca="1" si="8"/>
        <v>0.68093168394071113</v>
      </c>
      <c r="I51" s="2" vm="196">
        <f t="shared" ca="1" si="15"/>
        <v>138.08000000000001</v>
      </c>
      <c r="J51" s="2" t="str">
        <f t="shared" ca="1" si="16"/>
        <v/>
      </c>
      <c r="K51" s="4" t="str">
        <f t="shared" ca="1" si="17"/>
        <v/>
      </c>
      <c r="L51" s="10">
        <f t="shared" ca="1" si="18"/>
        <v>141.25672695989894</v>
      </c>
    </row>
    <row r="52" spans="1:12" x14ac:dyDescent="0.2">
      <c r="A52" s="5">
        <f t="shared" si="6"/>
        <v>45378</v>
      </c>
      <c r="B52" s="3" t="str">
        <f t="shared" ca="1" si="13"/>
        <v>HDFCSML250</v>
      </c>
      <c r="C52" s="3">
        <f t="shared" ca="1" si="14"/>
        <v>0.60965566025819173</v>
      </c>
      <c r="D52" s="3">
        <f t="shared" ca="1" si="14"/>
        <v>0.11547619047619051</v>
      </c>
      <c r="E52" s="3">
        <f t="shared" ca="1" si="14"/>
        <v>0.31571597378880645</v>
      </c>
      <c r="F52" s="3">
        <f t="shared" ca="1" si="14"/>
        <v>0.6079136690647482</v>
      </c>
      <c r="G52" s="3">
        <f t="shared" ca="1" si="8"/>
        <v>0.65954004391540488</v>
      </c>
      <c r="I52" s="2" vm="196">
        <f t="shared" ca="1" si="15"/>
        <v>138.08000000000001</v>
      </c>
      <c r="J52" s="2" t="str">
        <f t="shared" ca="1" si="16"/>
        <v/>
      </c>
      <c r="K52" s="4" t="str">
        <f t="shared" ca="1" si="17"/>
        <v/>
      </c>
      <c r="L52" s="10">
        <f t="shared" ca="1" si="18"/>
        <v>141.25672695989894</v>
      </c>
    </row>
    <row r="53" spans="1:12" x14ac:dyDescent="0.2">
      <c r="A53" s="5">
        <f t="shared" si="6"/>
        <v>45371</v>
      </c>
      <c r="B53" s="3" t="str">
        <f t="shared" ca="1" si="13"/>
        <v>HDFCSML250</v>
      </c>
      <c r="C53" s="3">
        <f t="shared" ca="1" si="14"/>
        <v>0.53935039815117181</v>
      </c>
      <c r="D53" s="3">
        <f t="shared" ca="1" si="14"/>
        <v>9.4480455706148048E-2</v>
      </c>
      <c r="E53" s="3">
        <f t="shared" ca="1" si="14"/>
        <v>0.29742212674543511</v>
      </c>
      <c r="F53" s="3">
        <f t="shared" ca="1" si="14"/>
        <v>0.51989389920424411</v>
      </c>
      <c r="G53" s="3">
        <f t="shared" ca="1" si="8"/>
        <v>0.5485028597061794</v>
      </c>
      <c r="I53" s="2" vm="196">
        <f t="shared" ca="1" si="15"/>
        <v>138.08000000000001</v>
      </c>
      <c r="J53" s="2" vm="197">
        <f t="shared" ca="1" si="16"/>
        <v>612.79999999999995</v>
      </c>
      <c r="K53" s="4">
        <f t="shared" ca="1" si="17"/>
        <v>5.2658344132940904E-3</v>
      </c>
      <c r="L53" s="10">
        <f t="shared" ca="1" si="18"/>
        <v>141.25672695989894</v>
      </c>
    </row>
    <row r="54" spans="1:12" x14ac:dyDescent="0.2">
      <c r="A54" s="5">
        <f t="shared" si="6"/>
        <v>45364</v>
      </c>
      <c r="B54" s="3" t="str">
        <f t="shared" ca="1" si="13"/>
        <v>JUNIORBEES</v>
      </c>
      <c r="C54" s="3">
        <f t="shared" ca="1" si="14"/>
        <v>0.52649371462913819</v>
      </c>
      <c r="D54" s="3">
        <f t="shared" ca="1" si="14"/>
        <v>0.13621466612044242</v>
      </c>
      <c r="E54" s="3">
        <f t="shared" ca="1" si="14"/>
        <v>0.29550287050818635</v>
      </c>
      <c r="F54" s="3">
        <f t="shared" ca="1" si="14"/>
        <v>0.49693788276465445</v>
      </c>
      <c r="G54" s="3">
        <f t="shared" ca="1" si="8"/>
        <v>0.52397790055248605</v>
      </c>
      <c r="I54" s="2" vm="198">
        <f t="shared" ca="1" si="15"/>
        <v>609.59</v>
      </c>
      <c r="J54" s="2" vm="199">
        <f t="shared" ca="1" si="16"/>
        <v>137.91999999999999</v>
      </c>
      <c r="K54" s="4">
        <f t="shared" ca="1" si="17"/>
        <v>-8.4257353429387338E-2</v>
      </c>
      <c r="L54" s="10">
        <f t="shared" ca="1" si="18"/>
        <v>140.51678881769715</v>
      </c>
    </row>
    <row r="55" spans="1:12" x14ac:dyDescent="0.2">
      <c r="A55" s="5">
        <f t="shared" si="6"/>
        <v>45357</v>
      </c>
      <c r="B55" s="3" t="str">
        <f t="shared" ca="1" si="13"/>
        <v>HDFCSML250</v>
      </c>
      <c r="C55" s="3">
        <f t="shared" ca="1" si="14"/>
        <v>0.56626980222375289</v>
      </c>
      <c r="D55" s="3">
        <f t="shared" ca="1" si="14"/>
        <v>0.14405185030315693</v>
      </c>
      <c r="E55" s="3">
        <f t="shared" ca="1" si="14"/>
        <v>0.28399524867014425</v>
      </c>
      <c r="F55" s="3">
        <f t="shared" ca="1" si="14"/>
        <v>0.54429301533219743</v>
      </c>
      <c r="G55" s="3">
        <f t="shared" ca="1" si="8"/>
        <v>0.59740400216333156</v>
      </c>
      <c r="I55" s="2" vm="200">
        <f t="shared" ca="1" si="15"/>
        <v>150.61000000000001</v>
      </c>
      <c r="J55" s="2" t="str">
        <f t="shared" ca="1" si="16"/>
        <v/>
      </c>
      <c r="K55" s="4" t="str">
        <f t="shared" ca="1" si="17"/>
        <v/>
      </c>
      <c r="L55" s="10">
        <f t="shared" ca="1" si="18"/>
        <v>153.44571899531158</v>
      </c>
    </row>
    <row r="56" spans="1:12" x14ac:dyDescent="0.2">
      <c r="A56" s="5">
        <f t="shared" si="6"/>
        <v>45350</v>
      </c>
      <c r="B56" s="3" t="str">
        <f t="shared" ca="1" si="13"/>
        <v>HDFCSML250</v>
      </c>
      <c r="C56" s="3">
        <f t="shared" ca="1" si="14"/>
        <v>0.57505006717874596</v>
      </c>
      <c r="D56" s="3">
        <f t="shared" ca="1" si="14"/>
        <v>0.10947057582788444</v>
      </c>
      <c r="E56" s="3">
        <f t="shared" ca="1" si="14"/>
        <v>0.28133895624670546</v>
      </c>
      <c r="F56" s="3">
        <f t="shared" ca="1" si="14"/>
        <v>0.56320836965998256</v>
      </c>
      <c r="G56" s="3">
        <f t="shared" ca="1" si="8"/>
        <v>0.65057851239669406</v>
      </c>
      <c r="I56" s="2" vm="200">
        <f t="shared" ca="1" si="15"/>
        <v>150.61000000000001</v>
      </c>
      <c r="J56" s="2" t="str">
        <f t="shared" ca="1" si="16"/>
        <v/>
      </c>
      <c r="K56" s="4" t="str">
        <f t="shared" ca="1" si="17"/>
        <v/>
      </c>
      <c r="L56" s="10">
        <f t="shared" ca="1" si="18"/>
        <v>153.44571899531158</v>
      </c>
    </row>
    <row r="57" spans="1:12" x14ac:dyDescent="0.2">
      <c r="A57" s="5">
        <f t="shared" si="6"/>
        <v>45343</v>
      </c>
      <c r="B57" s="3" t="str">
        <f t="shared" ca="1" si="13"/>
        <v>HDFCSML250</v>
      </c>
      <c r="C57" s="3">
        <f t="shared" ca="1" si="14"/>
        <v>0.53119376864108081</v>
      </c>
      <c r="D57" s="3">
        <f t="shared" ca="1" si="14"/>
        <v>9.0758392043099878E-2</v>
      </c>
      <c r="E57" s="3">
        <f t="shared" ca="1" si="14"/>
        <v>0.24895011779166243</v>
      </c>
      <c r="F57" s="3">
        <f t="shared" ca="1" si="14"/>
        <v>0.55089820359281427</v>
      </c>
      <c r="G57" s="3">
        <f t="shared" ca="1" si="8"/>
        <v>0.61114676936243062</v>
      </c>
      <c r="I57" s="2" vm="200">
        <f t="shared" ca="1" si="15"/>
        <v>150.61000000000001</v>
      </c>
      <c r="J57" s="2" vm="201">
        <f t="shared" ca="1" si="16"/>
        <v>18.13</v>
      </c>
      <c r="K57" s="4">
        <f t="shared" ca="1" si="17"/>
        <v>0.46682847896440127</v>
      </c>
      <c r="L57" s="10">
        <f t="shared" ca="1" si="18"/>
        <v>153.44571899531158</v>
      </c>
    </row>
    <row r="58" spans="1:12" x14ac:dyDescent="0.2">
      <c r="A58" s="5">
        <f t="shared" si="6"/>
        <v>45336</v>
      </c>
      <c r="B58" s="3" t="str">
        <f t="shared" ca="1" si="13"/>
        <v>MIDCAPETF</v>
      </c>
      <c r="C58" s="3">
        <f t="shared" ref="C58:F91" ca="1" si="19">IFERROR(INDEX(_xlfn.STOCKHISTORY(C$1,$A58),2,2),0)/IFERROR(INDEX(_xlfn.STOCKHISTORY(C$1,EDATE($A58,-12)),2,2),0)-1</f>
        <v>0.5141153475022886</v>
      </c>
      <c r="D58" s="3">
        <f t="shared" ca="1" si="19"/>
        <v>6.7841770854683459E-2</v>
      </c>
      <c r="E58" s="3">
        <f t="shared" ca="1" si="19"/>
        <v>0.2325237269109095</v>
      </c>
      <c r="F58" s="3">
        <f t="shared" ca="1" si="19"/>
        <v>0.54702329594478005</v>
      </c>
      <c r="G58" s="3"/>
      <c r="I58" s="2" vm="202">
        <f t="shared" ca="1" si="15"/>
        <v>12.36</v>
      </c>
      <c r="J58" s="2" t="str">
        <f t="shared" ca="1" si="16"/>
        <v/>
      </c>
      <c r="K58" s="4" t="str">
        <f t="shared" ca="1" si="17"/>
        <v/>
      </c>
      <c r="L58" s="10">
        <f t="shared" ca="1" si="18"/>
        <v>104.61053981147552</v>
      </c>
    </row>
    <row r="59" spans="1:12" x14ac:dyDescent="0.2">
      <c r="A59" s="5">
        <f t="shared" si="6"/>
        <v>45329</v>
      </c>
      <c r="B59" s="3" t="str">
        <f t="shared" ca="1" si="13"/>
        <v>MIDCAPETF</v>
      </c>
      <c r="C59" s="3">
        <f t="shared" ca="1" si="19"/>
        <v>0.49149352236616939</v>
      </c>
      <c r="D59" s="3">
        <f t="shared" ca="1" si="19"/>
        <v>8.4369268392092911E-2</v>
      </c>
      <c r="E59" s="3">
        <f t="shared" ca="1" si="19"/>
        <v>0.24896928468357049</v>
      </c>
      <c r="F59" s="3">
        <f t="shared" ca="1" si="19"/>
        <v>0.58175559380378661</v>
      </c>
      <c r="G59" s="3"/>
      <c r="I59" s="2" vm="202">
        <f t="shared" ca="1" si="15"/>
        <v>12.36</v>
      </c>
      <c r="J59" s="2" t="str">
        <f t="shared" ca="1" si="16"/>
        <v/>
      </c>
      <c r="K59" s="4" t="str">
        <f t="shared" ca="1" si="17"/>
        <v/>
      </c>
      <c r="L59" s="10">
        <f t="shared" ca="1" si="18"/>
        <v>104.61053981147552</v>
      </c>
    </row>
    <row r="60" spans="1:12" x14ac:dyDescent="0.2">
      <c r="A60" s="5">
        <f t="shared" si="6"/>
        <v>45322</v>
      </c>
      <c r="B60" s="3" t="str">
        <f t="shared" ca="1" si="13"/>
        <v>MIDCAPETF</v>
      </c>
      <c r="C60" s="3">
        <f t="shared" ca="1" si="19"/>
        <v>0.41723738786534215</v>
      </c>
      <c r="D60" s="3">
        <f t="shared" ca="1" si="19"/>
        <v>9.6157797411136281E-2</v>
      </c>
      <c r="E60" s="3">
        <f t="shared" ca="1" si="19"/>
        <v>0.24203887510339128</v>
      </c>
      <c r="F60" s="3">
        <f t="shared" ca="1" si="19"/>
        <v>0.5480274442538593</v>
      </c>
      <c r="G60" s="3"/>
      <c r="I60" s="2" vm="202">
        <f t="shared" ca="1" si="15"/>
        <v>12.36</v>
      </c>
      <c r="J60" s="2" t="str">
        <f t="shared" ca="1" si="16"/>
        <v/>
      </c>
      <c r="K60" s="4" t="str">
        <f t="shared" ca="1" si="17"/>
        <v/>
      </c>
      <c r="L60" s="10">
        <f t="shared" ca="1" si="18"/>
        <v>104.61053981147552</v>
      </c>
    </row>
    <row r="61" spans="1:12" x14ac:dyDescent="0.2">
      <c r="A61" s="5">
        <f t="shared" si="6"/>
        <v>45315</v>
      </c>
      <c r="B61" s="3" t="str">
        <f t="shared" ca="1" si="13"/>
        <v>MIDCAPETF</v>
      </c>
      <c r="C61" s="3">
        <f t="shared" ca="1" si="19"/>
        <v>0.30089854156319151</v>
      </c>
      <c r="D61" s="3">
        <f t="shared" ca="1" si="19"/>
        <v>8.1782866489470418E-2</v>
      </c>
      <c r="E61" s="3">
        <f t="shared" ca="1" si="19"/>
        <v>0.19589759096865245</v>
      </c>
      <c r="F61" s="3">
        <f t="shared" ca="1" si="19"/>
        <v>0.49915110356536507</v>
      </c>
      <c r="G61" s="3"/>
      <c r="I61" s="2" vm="202">
        <f t="shared" ca="1" si="15"/>
        <v>12.36</v>
      </c>
      <c r="J61" s="2" t="str">
        <f t="shared" ca="1" si="16"/>
        <v/>
      </c>
      <c r="K61" s="4" t="str">
        <f t="shared" ca="1" si="17"/>
        <v/>
      </c>
      <c r="L61" s="10">
        <f t="shared" ca="1" si="18"/>
        <v>104.61053981147552</v>
      </c>
    </row>
    <row r="62" spans="1:12" x14ac:dyDescent="0.2">
      <c r="A62" s="5">
        <f t="shared" si="6"/>
        <v>45308</v>
      </c>
      <c r="B62" s="3" t="str">
        <f t="shared" ca="1" si="13"/>
        <v>MIDCAPETF</v>
      </c>
      <c r="C62" s="3">
        <f t="shared" ca="1" si="19"/>
        <v>0.29097019941743207</v>
      </c>
      <c r="D62" s="3">
        <f t="shared" ca="1" si="19"/>
        <v>8.5979381443298974E-2</v>
      </c>
      <c r="E62" s="3">
        <f t="shared" ca="1" si="19"/>
        <v>0.20717070947485694</v>
      </c>
      <c r="F62" s="3">
        <f t="shared" ca="1" si="19"/>
        <v>0.4822635135135136</v>
      </c>
      <c r="G62" s="3"/>
      <c r="I62" s="2" vm="202">
        <f t="shared" ca="1" si="15"/>
        <v>12.36</v>
      </c>
      <c r="J62" s="2" t="str">
        <f t="shared" ca="1" si="16"/>
        <v/>
      </c>
      <c r="K62" s="4" t="str">
        <f t="shared" ca="1" si="17"/>
        <v/>
      </c>
      <c r="L62" s="10">
        <f t="shared" ca="1" si="18"/>
        <v>104.61053981147552</v>
      </c>
    </row>
    <row r="63" spans="1:12" x14ac:dyDescent="0.2">
      <c r="A63" s="5">
        <f t="shared" si="6"/>
        <v>45301</v>
      </c>
      <c r="B63" s="3" t="str">
        <f t="shared" ca="1" si="13"/>
        <v>MIDCAPETF</v>
      </c>
      <c r="C63" s="3">
        <f t="shared" ca="1" si="19"/>
        <v>0.29124730409777144</v>
      </c>
      <c r="D63" s="3">
        <f t="shared" ca="1" si="19"/>
        <v>0.10341951626355295</v>
      </c>
      <c r="E63" s="3">
        <f t="shared" ca="1" si="19"/>
        <v>0.2173558354152858</v>
      </c>
      <c r="F63" s="3">
        <f t="shared" ca="1" si="19"/>
        <v>0.46906354515050164</v>
      </c>
      <c r="G63" s="3"/>
      <c r="I63" s="2" vm="202">
        <f t="shared" ca="1" si="15"/>
        <v>12.36</v>
      </c>
      <c r="J63" s="2" t="str">
        <f t="shared" ca="1" si="16"/>
        <v/>
      </c>
      <c r="K63" s="4" t="str">
        <f t="shared" ca="1" si="17"/>
        <v/>
      </c>
      <c r="L63" s="10">
        <f t="shared" ca="1" si="18"/>
        <v>104.61053981147552</v>
      </c>
    </row>
    <row r="64" spans="1:12" x14ac:dyDescent="0.2">
      <c r="A64" s="5">
        <f t="shared" si="6"/>
        <v>45294</v>
      </c>
      <c r="B64" s="3" t="str">
        <f t="shared" ca="1" si="13"/>
        <v>MIDCAPETF</v>
      </c>
      <c r="C64" s="3">
        <f t="shared" ca="1" si="19"/>
        <v>0.27448838557225042</v>
      </c>
      <c r="D64" s="3">
        <f t="shared" ca="1" si="19"/>
        <v>0.12387150955280291</v>
      </c>
      <c r="E64" s="3">
        <f t="shared" ca="1" si="19"/>
        <v>0.19060496794871806</v>
      </c>
      <c r="F64" s="3">
        <f t="shared" ca="1" si="19"/>
        <v>0.44259567387687193</v>
      </c>
      <c r="G64" s="3"/>
      <c r="I64" s="2" vm="202">
        <f t="shared" ca="1" si="15"/>
        <v>12.36</v>
      </c>
      <c r="J64" s="2" t="str">
        <f t="shared" ca="1" si="16"/>
        <v/>
      </c>
      <c r="K64" s="4" t="str">
        <f t="shared" ca="1" si="17"/>
        <v/>
      </c>
      <c r="L64" s="10">
        <f t="shared" ca="1" si="18"/>
        <v>104.61053981147552</v>
      </c>
    </row>
    <row r="65" spans="1:12" x14ac:dyDescent="0.2">
      <c r="A65" s="5">
        <f t="shared" si="6"/>
        <v>45287</v>
      </c>
      <c r="B65" s="3" t="str">
        <f t="shared" ca="1" si="13"/>
        <v>MIDCAPETF</v>
      </c>
      <c r="C65" s="3">
        <f t="shared" ca="1" si="19"/>
        <v>0.25896047279836409</v>
      </c>
      <c r="D65" s="3">
        <f t="shared" ca="1" si="19"/>
        <v>0.14422871772989132</v>
      </c>
      <c r="E65" s="3">
        <f t="shared" ca="1" si="19"/>
        <v>0.2066161616161617</v>
      </c>
      <c r="F65" s="3">
        <f t="shared" ca="1" si="19"/>
        <v>0.43786982248520712</v>
      </c>
      <c r="G65" s="3"/>
      <c r="I65" s="2" vm="202">
        <f t="shared" ca="1" si="15"/>
        <v>12.36</v>
      </c>
      <c r="J65" s="2" t="str">
        <f t="shared" ca="1" si="16"/>
        <v/>
      </c>
      <c r="K65" s="4" t="str">
        <f t="shared" ca="1" si="17"/>
        <v/>
      </c>
      <c r="L65" s="10">
        <f t="shared" ca="1" si="18"/>
        <v>104.61053981147552</v>
      </c>
    </row>
    <row r="66" spans="1:12" x14ac:dyDescent="0.2">
      <c r="A66" s="5">
        <f t="shared" si="6"/>
        <v>45280</v>
      </c>
      <c r="B66" s="3" t="str">
        <f t="shared" ca="1" si="13"/>
        <v>MIDCAPETF</v>
      </c>
      <c r="C66" s="3">
        <f t="shared" ca="1" si="19"/>
        <v>0.18047898189108502</v>
      </c>
      <c r="D66" s="3">
        <f t="shared" ca="1" si="19"/>
        <v>0.13005347593582894</v>
      </c>
      <c r="E66" s="3">
        <f t="shared" ca="1" si="19"/>
        <v>0.15923661845832715</v>
      </c>
      <c r="F66" s="3">
        <f t="shared" ca="1" si="19"/>
        <v>0.36056105610561051</v>
      </c>
      <c r="G66" s="3"/>
      <c r="I66" s="2" vm="202">
        <f t="shared" ca="1" si="15"/>
        <v>12.36</v>
      </c>
      <c r="J66" s="2" t="str">
        <f t="shared" ca="1" si="16"/>
        <v/>
      </c>
      <c r="K66" s="4" t="str">
        <f t="shared" ca="1" si="17"/>
        <v/>
      </c>
      <c r="L66" s="10">
        <f t="shared" ca="1" si="18"/>
        <v>104.61053981147552</v>
      </c>
    </row>
    <row r="67" spans="1:12" x14ac:dyDescent="0.2">
      <c r="A67" s="5">
        <f t="shared" si="6"/>
        <v>45273</v>
      </c>
      <c r="B67" s="3" t="str">
        <f t="shared" ca="1" si="13"/>
        <v>MIDCAPETF</v>
      </c>
      <c r="C67" s="3">
        <f t="shared" ca="1" si="19"/>
        <v>0.17429786499147304</v>
      </c>
      <c r="D67" s="3">
        <f t="shared" ca="1" si="19"/>
        <v>0.12283362218370897</v>
      </c>
      <c r="E67" s="3">
        <f t="shared" ca="1" si="19"/>
        <v>0.13436717868184722</v>
      </c>
      <c r="F67" s="3">
        <f t="shared" ca="1" si="19"/>
        <v>0.35766423357664223</v>
      </c>
      <c r="G67" s="3"/>
      <c r="I67" s="2" vm="202">
        <f t="shared" ca="1" si="15"/>
        <v>12.36</v>
      </c>
      <c r="J67" s="2" t="str">
        <f t="shared" ca="1" si="16"/>
        <v/>
      </c>
      <c r="K67" s="4" t="str">
        <f t="shared" ca="1" si="17"/>
        <v/>
      </c>
      <c r="L67" s="10">
        <f t="shared" ca="1" si="18"/>
        <v>104.61053981147552</v>
      </c>
    </row>
    <row r="68" spans="1:12" x14ac:dyDescent="0.2">
      <c r="A68" s="5">
        <f t="shared" ref="A68:A88" si="20">A67-7</f>
        <v>45266</v>
      </c>
      <c r="B68" s="3" t="str">
        <f t="shared" ca="1" si="13"/>
        <v>MIDCAPETF</v>
      </c>
      <c r="C68" s="3">
        <f t="shared" ca="1" si="19"/>
        <v>0.15907081077583407</v>
      </c>
      <c r="D68" s="3">
        <f t="shared" ca="1" si="19"/>
        <v>0.15298996071584448</v>
      </c>
      <c r="E68" s="3">
        <f t="shared" ca="1" si="19"/>
        <v>0.13128245321837961</v>
      </c>
      <c r="F68" s="3">
        <f t="shared" ca="1" si="19"/>
        <v>0.33983739837398375</v>
      </c>
      <c r="G68" s="3"/>
      <c r="I68" s="2" vm="202">
        <f t="shared" ca="1" si="15"/>
        <v>12.36</v>
      </c>
      <c r="J68" s="2" t="str">
        <f t="shared" ca="1" si="16"/>
        <v/>
      </c>
      <c r="K68" s="4" t="str">
        <f t="shared" ca="1" si="17"/>
        <v/>
      </c>
      <c r="L68" s="10">
        <f t="shared" ca="1" si="18"/>
        <v>104.61053981147552</v>
      </c>
    </row>
    <row r="69" spans="1:12" x14ac:dyDescent="0.2">
      <c r="A69" s="5">
        <f t="shared" si="20"/>
        <v>45259</v>
      </c>
      <c r="B69" s="3" t="str">
        <f t="shared" ca="1" si="13"/>
        <v>MIDCAPETF</v>
      </c>
      <c r="C69" s="3">
        <f t="shared" ca="1" si="19"/>
        <v>0.10475169077896207</v>
      </c>
      <c r="D69" s="3">
        <f t="shared" ca="1" si="19"/>
        <v>0.17627494456762749</v>
      </c>
      <c r="E69" s="3">
        <f t="shared" ca="1" si="19"/>
        <v>8.9613134739222389E-2</v>
      </c>
      <c r="F69" s="3">
        <f t="shared" ca="1" si="19"/>
        <v>0.32668329177057376</v>
      </c>
      <c r="G69" s="3"/>
      <c r="I69" s="2" vm="202">
        <f t="shared" ca="1" si="15"/>
        <v>12.36</v>
      </c>
      <c r="J69" s="2" t="str">
        <f t="shared" ca="1" si="16"/>
        <v/>
      </c>
      <c r="K69" s="4" t="str">
        <f t="shared" ca="1" si="17"/>
        <v/>
      </c>
      <c r="L69" s="10">
        <f t="shared" ca="1" si="18"/>
        <v>104.61053981147552</v>
      </c>
    </row>
    <row r="70" spans="1:12" x14ac:dyDescent="0.2">
      <c r="A70" s="5">
        <f t="shared" si="20"/>
        <v>45252</v>
      </c>
      <c r="B70" s="3" t="str">
        <f t="shared" ca="1" si="13"/>
        <v>MIDCAPETF</v>
      </c>
      <c r="C70" s="3">
        <f t="shared" ca="1" si="19"/>
        <v>0.10158214468501758</v>
      </c>
      <c r="D70" s="3">
        <f t="shared" ca="1" si="19"/>
        <v>0.16191536748329627</v>
      </c>
      <c r="E70" s="3">
        <f t="shared" ca="1" si="19"/>
        <v>9.6872960899462957E-2</v>
      </c>
      <c r="F70" s="3">
        <f t="shared" ca="1" si="19"/>
        <v>0.33417935702199664</v>
      </c>
      <c r="G70" s="3"/>
      <c r="I70" s="2" vm="202">
        <f t="shared" ca="1" si="15"/>
        <v>12.36</v>
      </c>
      <c r="J70" s="2" t="str">
        <f t="shared" ca="1" si="16"/>
        <v/>
      </c>
      <c r="K70" s="4" t="str">
        <f t="shared" ca="1" si="17"/>
        <v/>
      </c>
      <c r="L70" s="10">
        <f t="shared" ca="1" si="18"/>
        <v>104.61053981147552</v>
      </c>
    </row>
    <row r="71" spans="1:12" x14ac:dyDescent="0.2">
      <c r="A71" s="5">
        <f t="shared" si="20"/>
        <v>45245</v>
      </c>
      <c r="B71" s="3" t="str">
        <f t="shared" ca="1" si="13"/>
        <v>MIDCAPETF</v>
      </c>
      <c r="C71" s="3">
        <f t="shared" ca="1" si="19"/>
        <v>7.0840841492803008E-2</v>
      </c>
      <c r="D71" s="3">
        <f t="shared" ca="1" si="19"/>
        <v>0.13975636766334443</v>
      </c>
      <c r="E71" s="3">
        <f t="shared" ca="1" si="19"/>
        <v>7.9936289881041178E-2</v>
      </c>
      <c r="F71" s="3">
        <f t="shared" ca="1" si="19"/>
        <v>0.30234505862646577</v>
      </c>
      <c r="G71" s="3"/>
      <c r="I71" s="2" vm="202">
        <f t="shared" ca="1" si="15"/>
        <v>12.36</v>
      </c>
      <c r="J71" s="2" t="str">
        <f t="shared" ca="1" si="16"/>
        <v/>
      </c>
      <c r="K71" s="4" t="str">
        <f t="shared" ca="1" si="17"/>
        <v/>
      </c>
      <c r="L71" s="10">
        <f t="shared" ca="1" si="18"/>
        <v>104.61053981147552</v>
      </c>
    </row>
    <row r="72" spans="1:12" x14ac:dyDescent="0.2">
      <c r="A72" s="5">
        <f>A71-14</f>
        <v>45231</v>
      </c>
      <c r="B72" s="3" t="str">
        <f t="shared" ca="1" si="13"/>
        <v>MIDCAPETF</v>
      </c>
      <c r="C72" s="3">
        <f t="shared" ca="1" si="19"/>
        <v>2.3022626822349901E-2</v>
      </c>
      <c r="D72" s="3">
        <f t="shared" ca="1" si="19"/>
        <v>0.19510505656892163</v>
      </c>
      <c r="E72" s="3">
        <f t="shared" ca="1" si="19"/>
        <v>6.0662693201333662E-2</v>
      </c>
      <c r="F72" s="3">
        <f t="shared" ca="1" si="19"/>
        <v>0.21963394342762066</v>
      </c>
      <c r="G72" s="3"/>
      <c r="I72" s="2" vm="202">
        <f t="shared" ca="1" si="15"/>
        <v>12.36</v>
      </c>
      <c r="J72" s="2" t="str">
        <f t="shared" ca="1" si="16"/>
        <v/>
      </c>
      <c r="K72" s="4" t="str">
        <f t="shared" ca="1" si="17"/>
        <v/>
      </c>
      <c r="L72" s="10">
        <f t="shared" ca="1" si="18"/>
        <v>104.61053981147552</v>
      </c>
    </row>
    <row r="73" spans="1:12" x14ac:dyDescent="0.2">
      <c r="A73" s="5">
        <f t="shared" si="20"/>
        <v>45224</v>
      </c>
      <c r="B73" s="3" t="str">
        <f t="shared" ca="1" si="13"/>
        <v>MIDCAPETF</v>
      </c>
      <c r="C73" s="3">
        <f t="shared" ca="1" si="19"/>
        <v>3.7890228783951319E-2</v>
      </c>
      <c r="D73" s="3">
        <f t="shared" ca="1" si="19"/>
        <v>0.19087329163771116</v>
      </c>
      <c r="E73" s="3">
        <f t="shared" ca="1" si="19"/>
        <v>9.8654475557171661E-2</v>
      </c>
      <c r="F73" s="3">
        <f t="shared" ca="1" si="19"/>
        <v>0.23874256584536968</v>
      </c>
      <c r="G73" s="3"/>
      <c r="I73" s="2" vm="202">
        <f t="shared" ca="1" si="15"/>
        <v>12.36</v>
      </c>
      <c r="J73" s="2" t="str">
        <f t="shared" ca="1" si="16"/>
        <v/>
      </c>
      <c r="K73" s="4" t="str">
        <f t="shared" ca="1" si="17"/>
        <v/>
      </c>
      <c r="L73" s="10">
        <f t="shared" ca="1" si="18"/>
        <v>104.61053981147552</v>
      </c>
    </row>
    <row r="74" spans="1:12" x14ac:dyDescent="0.2">
      <c r="A74" s="5">
        <f t="shared" si="20"/>
        <v>45217</v>
      </c>
      <c r="B74" s="3" t="str">
        <f t="shared" ca="1" si="13"/>
        <v>MIDCAPETF</v>
      </c>
      <c r="C74" s="3">
        <f t="shared" ca="1" si="19"/>
        <v>7.7021736195490575E-2</v>
      </c>
      <c r="D74" s="3">
        <f t="shared" ca="1" si="19"/>
        <v>0.17764378478664211</v>
      </c>
      <c r="E74" s="3">
        <f t="shared" ca="1" si="19"/>
        <v>0.13932018464120866</v>
      </c>
      <c r="F74" s="3">
        <f t="shared" ca="1" si="19"/>
        <v>0.29702127659574473</v>
      </c>
      <c r="G74" s="3"/>
      <c r="I74" s="2" vm="202">
        <f t="shared" ca="1" si="15"/>
        <v>12.36</v>
      </c>
      <c r="J74" s="2" t="str">
        <f t="shared" ca="1" si="16"/>
        <v/>
      </c>
      <c r="K74" s="4" t="str">
        <f t="shared" ca="1" si="17"/>
        <v/>
      </c>
      <c r="L74" s="10">
        <f t="shared" ca="1" si="18"/>
        <v>104.61053981147552</v>
      </c>
    </row>
    <row r="75" spans="1:12" x14ac:dyDescent="0.2">
      <c r="A75" s="5">
        <f t="shared" si="20"/>
        <v>45210</v>
      </c>
      <c r="B75" s="3" t="str">
        <f t="shared" ca="1" si="13"/>
        <v>MIDCAPETF</v>
      </c>
      <c r="C75" s="3">
        <f t="shared" ca="1" si="19"/>
        <v>8.1647431545598614E-2</v>
      </c>
      <c r="D75" s="3">
        <f t="shared" ca="1" si="19"/>
        <v>0.13242745278673418</v>
      </c>
      <c r="E75" s="3">
        <f t="shared" ca="1" si="19"/>
        <v>0.17695163286167737</v>
      </c>
      <c r="F75" s="3">
        <f t="shared" ca="1" si="19"/>
        <v>0.30703259005145789</v>
      </c>
      <c r="G75" s="3"/>
      <c r="I75" s="2" vm="202">
        <f t="shared" ca="1" si="15"/>
        <v>12.36</v>
      </c>
      <c r="J75" s="2" t="str">
        <f t="shared" ca="1" si="16"/>
        <v/>
      </c>
      <c r="K75" s="4" t="str">
        <f t="shared" ca="1" si="17"/>
        <v/>
      </c>
      <c r="L75" s="10">
        <f t="shared" ca="1" si="18"/>
        <v>104.61053981147552</v>
      </c>
    </row>
    <row r="76" spans="1:12" x14ac:dyDescent="0.2">
      <c r="A76" s="5">
        <f t="shared" si="20"/>
        <v>45203</v>
      </c>
      <c r="B76" s="3" t="str">
        <f t="shared" ca="1" si="13"/>
        <v>MIDCAPETF</v>
      </c>
      <c r="C76" s="3">
        <f t="shared" ca="1" si="19"/>
        <v>5.3828843882984811E-2</v>
      </c>
      <c r="D76" s="3">
        <f t="shared" ca="1" si="19"/>
        <v>9.784335981838832E-2</v>
      </c>
      <c r="E76" s="3">
        <f t="shared" ca="1" si="19"/>
        <v>0.13866907430028164</v>
      </c>
      <c r="F76" s="3">
        <f t="shared" ca="1" si="19"/>
        <v>0.27942421676545282</v>
      </c>
      <c r="G76" s="3"/>
      <c r="I76" s="2" vm="202">
        <f t="shared" ca="1" si="15"/>
        <v>12.36</v>
      </c>
      <c r="J76" s="2" t="str">
        <f t="shared" ca="1" si="16"/>
        <v/>
      </c>
      <c r="K76" s="4" t="str">
        <f t="shared" ca="1" si="17"/>
        <v/>
      </c>
      <c r="L76" s="10">
        <f t="shared" ca="1" si="18"/>
        <v>104.61053981147552</v>
      </c>
    </row>
    <row r="77" spans="1:12" x14ac:dyDescent="0.2">
      <c r="A77" s="5">
        <f t="shared" si="20"/>
        <v>45196</v>
      </c>
      <c r="B77" s="3" t="str">
        <f t="shared" ca="1" si="13"/>
        <v>MIDCAPETF</v>
      </c>
      <c r="C77" s="3">
        <f t="shared" ca="1" si="19"/>
        <v>6.9915726579569126E-2</v>
      </c>
      <c r="D77" s="3">
        <f t="shared" ca="1" si="19"/>
        <v>0.1716171617161717</v>
      </c>
      <c r="E77" s="3">
        <f t="shared" ca="1" si="19"/>
        <v>0.16936307444235421</v>
      </c>
      <c r="F77" s="3">
        <f t="shared" ca="1" si="19"/>
        <v>0.32695652173913037</v>
      </c>
      <c r="G77" s="3"/>
      <c r="I77" s="2" vm="202">
        <f t="shared" ca="1" si="15"/>
        <v>12.36</v>
      </c>
      <c r="J77" s="2" t="str">
        <f t="shared" ca="1" si="16"/>
        <v/>
      </c>
      <c r="K77" s="4" t="str">
        <f t="shared" ca="1" si="17"/>
        <v/>
      </c>
      <c r="L77" s="10">
        <f t="shared" ca="1" si="18"/>
        <v>104.61053981147552</v>
      </c>
    </row>
    <row r="78" spans="1:12" x14ac:dyDescent="0.2">
      <c r="A78" s="5">
        <f t="shared" si="20"/>
        <v>45189</v>
      </c>
      <c r="B78" s="3" t="str">
        <f t="shared" ca="1" si="13"/>
        <v>MIDCAPETF</v>
      </c>
      <c r="C78" s="3">
        <f t="shared" ca="1" si="19"/>
        <v>2.6180448263455336E-2</v>
      </c>
      <c r="D78" s="3">
        <f t="shared" ca="1" si="19"/>
        <v>0.18569075076488595</v>
      </c>
      <c r="E78" s="3">
        <f t="shared" ca="1" si="19"/>
        <v>0.12939724336556258</v>
      </c>
      <c r="F78" s="3">
        <f t="shared" ca="1" si="19"/>
        <v>0.25349794238683132</v>
      </c>
      <c r="G78" s="3"/>
      <c r="I78" s="2" vm="202">
        <f t="shared" ca="1" si="15"/>
        <v>12.36</v>
      </c>
      <c r="J78" s="2" t="str">
        <f t="shared" ca="1" si="16"/>
        <v/>
      </c>
      <c r="K78" s="4" t="str">
        <f t="shared" ca="1" si="17"/>
        <v/>
      </c>
      <c r="L78" s="10">
        <f t="shared" ca="1" si="18"/>
        <v>104.61053981147552</v>
      </c>
    </row>
    <row r="79" spans="1:12" x14ac:dyDescent="0.2">
      <c r="A79" s="5">
        <f t="shared" si="20"/>
        <v>45182</v>
      </c>
      <c r="B79" s="3" t="str">
        <f t="shared" ca="1" si="13"/>
        <v>MIDCAPETF</v>
      </c>
      <c r="C79" s="3">
        <f t="shared" ca="1" si="19"/>
        <v>2.1210335830317284E-2</v>
      </c>
      <c r="D79" s="3">
        <f t="shared" ca="1" si="19"/>
        <v>0.14666666666666672</v>
      </c>
      <c r="E79" s="3">
        <f t="shared" ca="1" si="19"/>
        <v>0.12429550647372434</v>
      </c>
      <c r="F79" s="3">
        <f t="shared" ca="1" si="19"/>
        <v>0.23615635179153105</v>
      </c>
      <c r="G79" s="3"/>
      <c r="I79" s="2" vm="202">
        <f t="shared" ca="1" si="15"/>
        <v>12.36</v>
      </c>
      <c r="J79" s="2" t="str">
        <f t="shared" ca="1" si="16"/>
        <v/>
      </c>
      <c r="K79" s="4" t="str">
        <f t="shared" ca="1" si="17"/>
        <v/>
      </c>
      <c r="L79" s="10">
        <f t="shared" ca="1" si="18"/>
        <v>104.61053981147552</v>
      </c>
    </row>
    <row r="80" spans="1:12" x14ac:dyDescent="0.2">
      <c r="A80" s="5">
        <f t="shared" si="20"/>
        <v>45175</v>
      </c>
      <c r="B80" s="3" t="str">
        <f t="shared" ca="1" si="13"/>
        <v>MIDCAPETF</v>
      </c>
      <c r="C80" s="3">
        <f t="shared" ca="1" si="19"/>
        <v>4.068103058610828E-2</v>
      </c>
      <c r="D80" s="3">
        <f t="shared" ca="1" si="19"/>
        <v>0.15655172413793106</v>
      </c>
      <c r="E80" s="3">
        <f t="shared" ca="1" si="19"/>
        <v>0.12333748960931001</v>
      </c>
      <c r="F80" s="3">
        <f t="shared" ca="1" si="19"/>
        <v>0.26539101497504181</v>
      </c>
      <c r="G80" s="3"/>
      <c r="I80" s="2" vm="202">
        <f t="shared" ca="1" si="15"/>
        <v>12.36</v>
      </c>
      <c r="J80" s="2" t="str">
        <f t="shared" ca="1" si="16"/>
        <v/>
      </c>
      <c r="K80" s="4" t="str">
        <f t="shared" ca="1" si="17"/>
        <v/>
      </c>
      <c r="L80" s="10">
        <f t="shared" ca="1" si="18"/>
        <v>104.61053981147552</v>
      </c>
    </row>
    <row r="81" spans="1:12" x14ac:dyDescent="0.2">
      <c r="A81" s="5">
        <f t="shared" si="20"/>
        <v>45168</v>
      </c>
      <c r="B81" s="3" t="str">
        <f t="shared" ca="1" si="13"/>
        <v>MIDCAPETF</v>
      </c>
      <c r="C81" s="3">
        <f t="shared" ca="1" si="19"/>
        <v>2.7521744774763102E-2</v>
      </c>
      <c r="D81" s="3">
        <f t="shared" ca="1" si="19"/>
        <v>0.14669703872437379</v>
      </c>
      <c r="E81" s="3">
        <f t="shared" ca="1" si="19"/>
        <v>0.10117574257425743</v>
      </c>
      <c r="F81" s="3">
        <f t="shared" ca="1" si="19"/>
        <v>0.24181360201511337</v>
      </c>
      <c r="G81" s="3"/>
      <c r="I81" s="2" vm="202">
        <f t="shared" ca="1" si="15"/>
        <v>12.36</v>
      </c>
      <c r="J81" s="2" t="str">
        <f t="shared" ca="1" si="16"/>
        <v/>
      </c>
      <c r="K81" s="4" t="str">
        <f t="shared" ca="1" si="17"/>
        <v/>
      </c>
      <c r="L81" s="10">
        <f t="shared" ca="1" si="18"/>
        <v>104.61053981147552</v>
      </c>
    </row>
    <row r="82" spans="1:12" x14ac:dyDescent="0.2">
      <c r="A82" s="5">
        <f t="shared" si="20"/>
        <v>45161</v>
      </c>
      <c r="B82" s="3" t="str">
        <f t="shared" ca="1" si="13"/>
        <v>MIDCAPETF</v>
      </c>
      <c r="C82" s="3">
        <f t="shared" ca="1" si="19"/>
        <v>4.644808743169393E-2</v>
      </c>
      <c r="D82" s="3">
        <f t="shared" ca="1" si="19"/>
        <v>0.12819932049830141</v>
      </c>
      <c r="E82" s="3">
        <f t="shared" ca="1" si="19"/>
        <v>0.11540662885686048</v>
      </c>
      <c r="F82" s="3">
        <f t="shared" ca="1" si="19"/>
        <v>0.25903614457831337</v>
      </c>
      <c r="G82" s="3"/>
      <c r="I82" s="2" vm="202">
        <f t="shared" ca="1" si="15"/>
        <v>12.36</v>
      </c>
      <c r="J82" s="2" t="str">
        <f t="shared" ca="1" si="16"/>
        <v/>
      </c>
      <c r="K82" s="4" t="str">
        <f t="shared" ca="1" si="17"/>
        <v/>
      </c>
      <c r="L82" s="10">
        <f t="shared" ca="1" si="18"/>
        <v>104.61053981147552</v>
      </c>
    </row>
    <row r="83" spans="1:12" x14ac:dyDescent="0.2">
      <c r="A83" s="5">
        <f t="shared" si="20"/>
        <v>45154</v>
      </c>
      <c r="B83" s="3" t="str">
        <f t="shared" ca="1" si="13"/>
        <v>MIDCAPETF</v>
      </c>
      <c r="C83" s="3">
        <f t="shared" ca="1" si="19"/>
        <v>3.2843732744340048E-2</v>
      </c>
      <c r="D83" s="3">
        <f t="shared" ca="1" si="19"/>
        <v>0.12228443449048165</v>
      </c>
      <c r="E83" s="3">
        <f t="shared" ca="1" si="19"/>
        <v>0.105518058632593</v>
      </c>
      <c r="F83" s="3">
        <f t="shared" ca="1" si="19"/>
        <v>0.21240441801189469</v>
      </c>
      <c r="G83" s="3"/>
      <c r="I83" s="2" vm="202">
        <f t="shared" ca="1" si="15"/>
        <v>12.36</v>
      </c>
      <c r="J83" s="2" t="str">
        <f t="shared" ca="1" si="16"/>
        <v/>
      </c>
      <c r="K83" s="4" t="str">
        <f t="shared" ca="1" si="17"/>
        <v/>
      </c>
      <c r="L83" s="10">
        <f t="shared" ca="1" si="18"/>
        <v>104.61053981147552</v>
      </c>
    </row>
    <row r="84" spans="1:12" x14ac:dyDescent="0.2">
      <c r="A84" s="5">
        <f>A83-14</f>
        <v>45140</v>
      </c>
      <c r="B84" s="3" t="str">
        <f t="shared" ca="1" si="13"/>
        <v>MIDCAPETF</v>
      </c>
      <c r="C84" s="3">
        <f t="shared" ca="1" si="19"/>
        <v>7.7674101046882216E-2</v>
      </c>
      <c r="D84" s="3">
        <f t="shared" ca="1" si="19"/>
        <v>0.14712539610683573</v>
      </c>
      <c r="E84" s="3">
        <f t="shared" ca="1" si="19"/>
        <v>0.14038808185770324</v>
      </c>
      <c r="F84" s="3">
        <f t="shared" ca="1" si="19"/>
        <v>0.23292469352014011</v>
      </c>
      <c r="G84" s="3"/>
      <c r="I84" s="2" vm="202">
        <f t="shared" ca="1" si="15"/>
        <v>12.36</v>
      </c>
      <c r="J84" s="2" t="str">
        <f t="shared" ca="1" si="16"/>
        <v/>
      </c>
      <c r="K84" s="4" t="str">
        <f t="shared" ca="1" si="17"/>
        <v/>
      </c>
      <c r="L84" s="10">
        <f t="shared" ca="1" si="18"/>
        <v>104.61053981147552</v>
      </c>
    </row>
    <row r="85" spans="1:12" x14ac:dyDescent="0.2">
      <c r="A85" s="5">
        <f t="shared" si="20"/>
        <v>45133</v>
      </c>
      <c r="B85" s="3" t="str">
        <f t="shared" ca="1" si="13"/>
        <v>MIDCAPETF</v>
      </c>
      <c r="C85" s="3">
        <f t="shared" ca="1" si="19"/>
        <v>0.12709453806621229</v>
      </c>
      <c r="D85" s="3">
        <f t="shared" ca="1" si="19"/>
        <v>0.16981132075471694</v>
      </c>
      <c r="E85" s="3">
        <f t="shared" ca="1" si="19"/>
        <v>0.21016063587349221</v>
      </c>
      <c r="F85" s="3">
        <f t="shared" ca="1" si="19"/>
        <v>0.28400735294117641</v>
      </c>
      <c r="G85" s="3"/>
      <c r="I85" s="2" vm="202">
        <f t="shared" ca="1" si="15"/>
        <v>12.36</v>
      </c>
      <c r="J85" s="2" t="str">
        <f t="shared" ca="1" si="16"/>
        <v/>
      </c>
      <c r="K85" s="4" t="str">
        <f t="shared" ca="1" si="17"/>
        <v/>
      </c>
      <c r="L85" s="10">
        <f t="shared" ca="1" si="18"/>
        <v>104.61053981147552</v>
      </c>
    </row>
    <row r="86" spans="1:12" x14ac:dyDescent="0.2">
      <c r="A86" s="5">
        <f t="shared" si="20"/>
        <v>45126</v>
      </c>
      <c r="B86" s="3" t="str">
        <f t="shared" ca="1" si="13"/>
        <v>MIDCAPETF</v>
      </c>
      <c r="C86" s="3">
        <f t="shared" ca="1" si="19"/>
        <v>0.12339025088238098</v>
      </c>
      <c r="D86" s="3">
        <f t="shared" ca="1" si="19"/>
        <v>0.17584696934777599</v>
      </c>
      <c r="E86" s="3">
        <f t="shared" ca="1" si="19"/>
        <v>0.22537665842140764</v>
      </c>
      <c r="F86" s="3">
        <f t="shared" ca="1" si="19"/>
        <v>0.27859778597785967</v>
      </c>
      <c r="G86" s="3"/>
      <c r="I86" s="2" vm="202">
        <f t="shared" ca="1" si="15"/>
        <v>12.36</v>
      </c>
      <c r="J86" s="2" t="str">
        <f t="shared" ca="1" si="16"/>
        <v/>
      </c>
      <c r="K86" s="4" t="str">
        <f t="shared" ca="1" si="17"/>
        <v/>
      </c>
      <c r="L86" s="10">
        <f t="shared" ca="1" si="18"/>
        <v>104.61053981147552</v>
      </c>
    </row>
    <row r="87" spans="1:12" x14ac:dyDescent="0.2">
      <c r="A87" s="5">
        <f t="shared" si="20"/>
        <v>45119</v>
      </c>
      <c r="B87" s="3" t="str">
        <f t="shared" ca="1" si="13"/>
        <v>MIDCAPETF</v>
      </c>
      <c r="C87" s="3">
        <f t="shared" ca="1" si="19"/>
        <v>0.14423875348019344</v>
      </c>
      <c r="D87" s="3">
        <f t="shared" ca="1" si="19"/>
        <v>0.14855570839064658</v>
      </c>
      <c r="E87" s="3">
        <f t="shared" ca="1" si="19"/>
        <v>0.21787549971444897</v>
      </c>
      <c r="F87" s="3">
        <f t="shared" ca="1" si="19"/>
        <v>0.2994296577946769</v>
      </c>
      <c r="G87" s="3"/>
      <c r="I87" s="2" vm="202">
        <f t="shared" ca="1" si="15"/>
        <v>12.36</v>
      </c>
      <c r="J87" s="2" t="str">
        <f t="shared" ca="1" si="16"/>
        <v/>
      </c>
      <c r="K87" s="4" t="str">
        <f t="shared" ca="1" si="17"/>
        <v/>
      </c>
      <c r="L87" s="10">
        <f t="shared" ca="1" si="18"/>
        <v>104.61053981147552</v>
      </c>
    </row>
    <row r="88" spans="1:12" x14ac:dyDescent="0.2">
      <c r="A88" s="5">
        <f t="shared" si="20"/>
        <v>45112</v>
      </c>
      <c r="B88" s="3" t="str">
        <f t="shared" ca="1" si="13"/>
        <v>MIDCAPETF</v>
      </c>
      <c r="C88" s="3">
        <f t="shared" ca="1" si="19"/>
        <v>0.18757297324737299</v>
      </c>
      <c r="D88" s="3">
        <f t="shared" ca="1" si="19"/>
        <v>0.11562500000000009</v>
      </c>
      <c r="E88" s="3">
        <f t="shared" ca="1" si="19"/>
        <v>0.23761915833527092</v>
      </c>
      <c r="F88" s="3">
        <f t="shared" ca="1" si="19"/>
        <v>0.33727810650887569</v>
      </c>
      <c r="G88" s="3"/>
      <c r="I88" s="2" vm="202">
        <f t="shared" ca="1" si="15"/>
        <v>12.36</v>
      </c>
      <c r="J88" s="2" t="str">
        <f t="shared" ca="1" si="16"/>
        <v/>
      </c>
      <c r="K88" s="4" t="str">
        <f t="shared" ca="1" si="17"/>
        <v/>
      </c>
      <c r="L88" s="10">
        <f t="shared" ca="1" si="18"/>
        <v>104.61053981147552</v>
      </c>
    </row>
    <row r="89" spans="1:12" x14ac:dyDescent="0.2">
      <c r="A89" s="5">
        <v>45104</v>
      </c>
      <c r="B89" s="3" t="str">
        <f t="shared" ca="1" si="13"/>
        <v>MIDCAPETF</v>
      </c>
      <c r="C89" s="3">
        <f t="shared" ca="1" si="19"/>
        <v>0.17049592286783932</v>
      </c>
      <c r="D89" s="3">
        <f t="shared" ca="1" si="19"/>
        <v>0.13517209938454533</v>
      </c>
      <c r="E89" s="3">
        <f t="shared" ca="1" si="19"/>
        <v>0.19603753910323252</v>
      </c>
      <c r="F89" s="3">
        <f t="shared" ca="1" si="19"/>
        <v>0.32111000991080285</v>
      </c>
      <c r="G89" s="3"/>
      <c r="I89" s="2" vm="202">
        <f t="shared" ref="I89:I92" ca="1" si="21">IF(B89&lt;&gt;B90,INDEX(_xlfn.STOCKHISTORY(B89,A89),2,2),I90)</f>
        <v>12.36</v>
      </c>
      <c r="J89" s="2" t="str">
        <f t="shared" ref="J89:J92" ca="1" si="22">IF(B89&lt;&gt;B90,INDEX(_xlfn.STOCKHISTORY(B90,A89),2,2),"")</f>
        <v/>
      </c>
      <c r="K89" s="4" t="str">
        <f t="shared" ref="K89:K92" ca="1" si="23">IF(ISNUMBER(J89),J89/I90-1,"")</f>
        <v/>
      </c>
      <c r="L89" s="10">
        <f t="shared" ref="L89:L92" ca="1" si="24">IF(K89&lt;&gt;"",L90*(1+K89),L90)</f>
        <v>104.61053981147552</v>
      </c>
    </row>
    <row r="90" spans="1:12" x14ac:dyDescent="0.2">
      <c r="A90" s="5">
        <v>45090</v>
      </c>
      <c r="B90" s="3" t="str">
        <f t="shared" ref="B90:B91" ca="1" si="25">INDEX($C$1:$G$1, 1, MATCH(MAX(C90:G90), C90:G90, 0))</f>
        <v>MIDCAPETF</v>
      </c>
      <c r="C90" s="3">
        <f t="shared" ca="1" si="19"/>
        <v>0.17538722354935654</v>
      </c>
      <c r="D90" s="3">
        <f t="shared" ca="1" si="19"/>
        <v>0.15161801312514145</v>
      </c>
      <c r="E90" s="3">
        <f t="shared" ca="1" si="19"/>
        <v>0.19538022924303244</v>
      </c>
      <c r="F90" s="3">
        <f t="shared" ca="1" si="19"/>
        <v>0.29702970297029707</v>
      </c>
      <c r="G90" s="3"/>
      <c r="I90" s="2" vm="202">
        <f t="shared" ca="1" si="21"/>
        <v>12.36</v>
      </c>
      <c r="J90" s="2" t="str">
        <f t="shared" ca="1" si="22"/>
        <v/>
      </c>
      <c r="K90" s="4" t="str">
        <f t="shared" ca="1" si="23"/>
        <v/>
      </c>
      <c r="L90" s="10">
        <f t="shared" ca="1" si="24"/>
        <v>104.61053981147552</v>
      </c>
    </row>
    <row r="91" spans="1:12" x14ac:dyDescent="0.2">
      <c r="A91" s="5">
        <v>45076</v>
      </c>
      <c r="B91" s="3" t="str">
        <f t="shared" ca="1" si="25"/>
        <v>MIDCAPETF</v>
      </c>
      <c r="C91" s="3">
        <f t="shared" ca="1" si="19"/>
        <v>7.9913291277979415E-2</v>
      </c>
      <c r="D91" s="3">
        <f t="shared" ca="1" si="19"/>
        <v>0.16280127330604821</v>
      </c>
      <c r="E91" s="3">
        <f t="shared" ca="1" si="19"/>
        <v>0.13262761181621685</v>
      </c>
      <c r="F91" s="3">
        <f t="shared" ca="1" si="19"/>
        <v>0.19583727530747397</v>
      </c>
      <c r="G91" s="3"/>
      <c r="I91" s="2" vm="202">
        <f t="shared" ca="1" si="21"/>
        <v>12.36</v>
      </c>
      <c r="J91" s="2" t="str">
        <f t="shared" ca="1" si="22"/>
        <v/>
      </c>
      <c r="K91" s="4" t="str">
        <f t="shared" ca="1" si="23"/>
        <v/>
      </c>
      <c r="L91" s="10">
        <f t="shared" ca="1" si="24"/>
        <v>104.61053981147552</v>
      </c>
    </row>
    <row r="92" spans="1:12" x14ac:dyDescent="0.2">
      <c r="A92" s="5">
        <v>45069</v>
      </c>
      <c r="B92" s="3" t="str">
        <f t="shared" ref="B92:B139" ca="1" si="26">INDEX($C$1:$G$1, 1, MATCH(MAX(C92:G92), C92:G92, 0))</f>
        <v>MIDCAPETF</v>
      </c>
      <c r="C92" s="3">
        <f t="shared" ref="C92:F139" ca="1" si="27">IFERROR(INDEX(_xlfn.STOCKHISTORY(C$1,$A92),2,2),0)/IFERROR(INDEX(_xlfn.STOCKHISTORY(C$1,EDATE($A92,-12)),2,2),0)-1</f>
        <v>7.5007426477869066E-2</v>
      </c>
      <c r="D92" s="3">
        <f t="shared" ca="1" si="27"/>
        <v>0.16225988700564975</v>
      </c>
      <c r="E92" s="3">
        <f t="shared" ca="1" si="27"/>
        <v>0.1452173417649405</v>
      </c>
      <c r="F92" s="3">
        <f t="shared" ca="1" si="27"/>
        <v>0.18731988472622474</v>
      </c>
      <c r="G92" s="3"/>
      <c r="I92" s="2" vm="202">
        <f t="shared" ca="1" si="21"/>
        <v>12.36</v>
      </c>
      <c r="J92" s="2" vm="167">
        <f t="shared" ca="1" si="22"/>
        <v>51.43</v>
      </c>
      <c r="K92" s="4">
        <f t="shared" ca="1" si="23"/>
        <v>9.7290377640281589E-2</v>
      </c>
      <c r="L92" s="10">
        <f t="shared" ca="1" si="24"/>
        <v>104.61053981147552</v>
      </c>
    </row>
    <row r="93" spans="1:12" x14ac:dyDescent="0.2">
      <c r="A93" s="5">
        <v>45062</v>
      </c>
      <c r="B93" s="3" t="str">
        <f t="shared" ca="1" si="26"/>
        <v>GOLDBEES</v>
      </c>
      <c r="C93" s="3">
        <f t="shared" ca="1" si="27"/>
        <v>8.0123573670835668E-2</v>
      </c>
      <c r="D93" s="3">
        <f t="shared" ca="1" si="27"/>
        <v>0.20653685674547972</v>
      </c>
      <c r="E93" s="3">
        <f t="shared" ca="1" si="27"/>
        <v>0.16487538488351827</v>
      </c>
      <c r="F93" s="3">
        <f t="shared" ca="1" si="27"/>
        <v>0.20136186770428011</v>
      </c>
      <c r="G93" s="3"/>
      <c r="I93" s="2" vm="85">
        <f t="shared" ref="I93:I99" ca="1" si="28">IF(B93&lt;&gt;B94,INDEX(_xlfn.STOCKHISTORY(B93,A93),2,2),I94)</f>
        <v>46.87</v>
      </c>
      <c r="J93" s="2" t="str">
        <f t="shared" ref="J93:J99" ca="1" si="29">IF(B93&lt;&gt;B94,INDEX(_xlfn.STOCKHISTORY(B94,A93),2,2),"")</f>
        <v/>
      </c>
      <c r="K93" s="4" t="str">
        <f t="shared" ref="K93:K99" ca="1" si="30">IF(ISNUMBER(J93),J93/I94-1,"")</f>
        <v/>
      </c>
      <c r="L93" s="10">
        <f t="shared" ref="L93:L99" ca="1" si="31">IF(K93&lt;&gt;"",L94*(1+K93),L94)</f>
        <v>95.335329592919649</v>
      </c>
    </row>
    <row r="94" spans="1:12" x14ac:dyDescent="0.2">
      <c r="A94" s="5">
        <v>45055</v>
      </c>
      <c r="B94" s="3" t="str">
        <f t="shared" ca="1" si="26"/>
        <v>GOLDBEES</v>
      </c>
      <c r="C94" s="3">
        <f t="shared" ca="1" si="27"/>
        <v>1.8724623835681964E-2</v>
      </c>
      <c r="D94" s="3">
        <f t="shared" ca="1" si="27"/>
        <v>0.17897343538946409</v>
      </c>
      <c r="E94" s="3">
        <f t="shared" ca="1" si="27"/>
        <v>0.12856739191862099</v>
      </c>
      <c r="F94" s="3">
        <f t="shared" ca="1" si="27"/>
        <v>0.16603415559772294</v>
      </c>
      <c r="G94" s="3"/>
      <c r="I94" s="2" vm="85">
        <f t="shared" ca="1" si="28"/>
        <v>46.87</v>
      </c>
      <c r="J94" s="2" t="str">
        <f t="shared" ca="1" si="29"/>
        <v/>
      </c>
      <c r="K94" s="4" t="str">
        <f t="shared" ca="1" si="30"/>
        <v/>
      </c>
      <c r="L94" s="10">
        <f t="shared" ca="1" si="31"/>
        <v>95.335329592919649</v>
      </c>
    </row>
    <row r="95" spans="1:12" x14ac:dyDescent="0.2">
      <c r="A95" s="5">
        <v>45048</v>
      </c>
      <c r="B95" s="3" t="str">
        <f t="shared" ca="1" si="26"/>
        <v>GOLDBEES</v>
      </c>
      <c r="C95" s="3">
        <f t="shared" ca="1" si="27"/>
        <v>-5.8894688501086367E-2</v>
      </c>
      <c r="D95" s="3">
        <f t="shared" ca="1" si="27"/>
        <v>0.16191123188405809</v>
      </c>
      <c r="E95" s="3">
        <f t="shared" ca="1" si="27"/>
        <v>7.1683232497839144E-2</v>
      </c>
      <c r="F95" s="3">
        <f t="shared" ca="1" si="27"/>
        <v>9.1809180918091871E-2</v>
      </c>
      <c r="G95" s="3"/>
      <c r="I95" s="2" vm="85">
        <f t="shared" ca="1" si="28"/>
        <v>46.87</v>
      </c>
      <c r="J95" s="2" t="str">
        <f t="shared" ca="1" si="29"/>
        <v/>
      </c>
      <c r="K95" s="4" t="str">
        <f t="shared" ca="1" si="30"/>
        <v/>
      </c>
      <c r="L95" s="10">
        <f t="shared" ca="1" si="31"/>
        <v>95.335329592919649</v>
      </c>
    </row>
    <row r="96" spans="1:12" x14ac:dyDescent="0.2">
      <c r="A96" s="5">
        <v>45034</v>
      </c>
      <c r="B96" s="3" t="str">
        <f t="shared" ca="1" si="26"/>
        <v>GOLDBEES</v>
      </c>
      <c r="C96" s="3">
        <f t="shared" ca="1" si="27"/>
        <v>-9.7063084419860335E-2</v>
      </c>
      <c r="D96" s="3">
        <f t="shared" ca="1" si="27"/>
        <v>0.1153929421952804</v>
      </c>
      <c r="E96" s="3">
        <f t="shared" ca="1" si="27"/>
        <v>3.7641625946410517E-2</v>
      </c>
      <c r="F96" s="3">
        <f t="shared" ca="1" si="27"/>
        <v>4.1300527240773155E-2</v>
      </c>
      <c r="G96" s="3"/>
      <c r="I96" s="2" vm="85">
        <f t="shared" ca="1" si="28"/>
        <v>46.87</v>
      </c>
      <c r="J96" s="2" t="str">
        <f t="shared" ca="1" si="29"/>
        <v/>
      </c>
      <c r="K96" s="4" t="str">
        <f t="shared" ca="1" si="30"/>
        <v/>
      </c>
      <c r="L96" s="10">
        <f t="shared" ca="1" si="31"/>
        <v>95.335329592919649</v>
      </c>
    </row>
    <row r="97" spans="1:12" x14ac:dyDescent="0.2">
      <c r="A97" s="5">
        <v>45027</v>
      </c>
      <c r="B97" s="3" t="str">
        <f t="shared" ca="1" si="26"/>
        <v>GOLDBEES</v>
      </c>
      <c r="C97" s="3">
        <f t="shared" ca="1" si="27"/>
        <v>-0.12219273833408839</v>
      </c>
      <c r="D97" s="3">
        <f t="shared" ca="1" si="27"/>
        <v>0.1399823087129588</v>
      </c>
      <c r="E97" s="3">
        <f t="shared" ca="1" si="27"/>
        <v>1.090415818855317E-2</v>
      </c>
      <c r="F97" s="3">
        <f t="shared" ca="1" si="27"/>
        <v>-6.8259385665528916E-3</v>
      </c>
      <c r="G97" s="3"/>
      <c r="I97" s="2" vm="85">
        <f t="shared" ca="1" si="28"/>
        <v>46.87</v>
      </c>
      <c r="J97" s="2" t="str">
        <f t="shared" ca="1" si="29"/>
        <v/>
      </c>
      <c r="K97" s="4" t="str">
        <f t="shared" ca="1" si="30"/>
        <v/>
      </c>
      <c r="L97" s="10">
        <f t="shared" ca="1" si="31"/>
        <v>95.335329592919649</v>
      </c>
    </row>
    <row r="98" spans="1:12" x14ac:dyDescent="0.2">
      <c r="A98" s="5">
        <v>45013</v>
      </c>
      <c r="B98" s="3" t="str">
        <f t="shared" ca="1" si="26"/>
        <v>GOLDBEES</v>
      </c>
      <c r="C98" s="3">
        <f t="shared" ca="1" si="27"/>
        <v>-8.4430746240776955E-2</v>
      </c>
      <c r="D98" s="3">
        <f t="shared" ca="1" si="27"/>
        <v>0.13306360979995491</v>
      </c>
      <c r="E98" s="3">
        <f t="shared" ca="1" si="27"/>
        <v>-3.2739373121510873E-3</v>
      </c>
      <c r="F98" s="3">
        <f t="shared" ca="1" si="27"/>
        <v>1.7415215398716821E-2</v>
      </c>
      <c r="G98" s="3"/>
      <c r="I98" s="2" vm="85">
        <f t="shared" ca="1" si="28"/>
        <v>46.87</v>
      </c>
      <c r="J98" s="2" t="str">
        <f t="shared" ca="1" si="29"/>
        <v/>
      </c>
      <c r="K98" s="4" t="str">
        <f t="shared" ca="1" si="30"/>
        <v/>
      </c>
      <c r="L98" s="10">
        <f t="shared" ca="1" si="31"/>
        <v>95.335329592919649</v>
      </c>
    </row>
    <row r="99" spans="1:12" x14ac:dyDescent="0.2">
      <c r="A99" s="5">
        <v>45006</v>
      </c>
      <c r="B99" s="3" t="str">
        <f t="shared" ca="1" si="26"/>
        <v>GOLDBEES</v>
      </c>
      <c r="C99" s="3">
        <f t="shared" ca="1" si="27"/>
        <v>-6.5693772071376721E-2</v>
      </c>
      <c r="D99" s="3">
        <f t="shared" ca="1" si="27"/>
        <v>0.14363389216130495</v>
      </c>
      <c r="E99" s="3">
        <f t="shared" ca="1" si="27"/>
        <v>1.1220196353436185E-2</v>
      </c>
      <c r="F99" s="3">
        <f t="shared" ca="1" si="27"/>
        <v>4.6961325966850875E-2</v>
      </c>
      <c r="G99" s="3"/>
      <c r="I99" s="2" vm="85">
        <f t="shared" ca="1" si="28"/>
        <v>46.87</v>
      </c>
      <c r="J99" s="2" t="str">
        <f t="shared" ca="1" si="29"/>
        <v/>
      </c>
      <c r="K99" s="4" t="str">
        <f t="shared" ca="1" si="30"/>
        <v/>
      </c>
      <c r="L99" s="10">
        <f t="shared" ca="1" si="31"/>
        <v>95.335329592919649</v>
      </c>
    </row>
    <row r="100" spans="1:12" x14ac:dyDescent="0.2">
      <c r="A100" s="5">
        <v>44999</v>
      </c>
      <c r="B100" s="3" t="str">
        <f t="shared" ca="1" si="26"/>
        <v>GOLDBEES</v>
      </c>
      <c r="C100" s="3">
        <f t="shared" ca="1" si="27"/>
        <v>-6.2318909419085133E-2</v>
      </c>
      <c r="D100" s="3">
        <f t="shared" ca="1" si="27"/>
        <v>0.10058243727598581</v>
      </c>
      <c r="E100" s="3">
        <f t="shared" ca="1" si="27"/>
        <v>2.3547450851541418E-2</v>
      </c>
      <c r="F100" s="3"/>
      <c r="G100" s="3"/>
      <c r="I100" s="2" vm="85">
        <f t="shared" ref="I100:I139" ca="1" si="32">IF(B100&lt;&gt;B101,INDEX(_xlfn.STOCKHISTORY(B100,A100),2,2),I101)</f>
        <v>46.87</v>
      </c>
      <c r="J100" s="2" t="str">
        <f t="shared" ref="J100:J138" ca="1" si="33">IF(B100&lt;&gt;B101,INDEX(_xlfn.STOCKHISTORY(B101,A100),2,2),"")</f>
        <v/>
      </c>
      <c r="K100" s="4" t="str">
        <f t="shared" ref="K100:K139" ca="1" si="34">IF(ISNUMBER(J100),J100/I101-1,"")</f>
        <v/>
      </c>
      <c r="L100" s="10">
        <f t="shared" ref="L100:L138" ca="1" si="35">IF(K100&lt;&gt;"",L101*(1+K100),L101)</f>
        <v>95.335329592919649</v>
      </c>
    </row>
    <row r="101" spans="1:12" x14ac:dyDescent="0.2">
      <c r="A101" s="5">
        <v>44985</v>
      </c>
      <c r="B101" s="3" t="str">
        <f t="shared" ca="1" si="26"/>
        <v>GOLDBEES</v>
      </c>
      <c r="C101" s="3">
        <f t="shared" ca="1" si="27"/>
        <v>-6.2860808210391195E-2</v>
      </c>
      <c r="D101" s="3">
        <f t="shared" ca="1" si="27"/>
        <v>8.7634778618949083E-2</v>
      </c>
      <c r="E101" s="3">
        <f t="shared" ca="1" si="27"/>
        <v>4.3224813022437303E-2</v>
      </c>
      <c r="F101" s="3"/>
      <c r="G101" s="3"/>
      <c r="I101" s="2" vm="85">
        <f t="shared" ca="1" si="32"/>
        <v>46.87</v>
      </c>
      <c r="J101" s="2" t="str">
        <f t="shared" ca="1" si="33"/>
        <v/>
      </c>
      <c r="K101" s="4" t="str">
        <f t="shared" ca="1" si="34"/>
        <v/>
      </c>
      <c r="L101" s="10">
        <f t="shared" ca="1" si="35"/>
        <v>95.335329592919649</v>
      </c>
    </row>
    <row r="102" spans="1:12" x14ac:dyDescent="0.2">
      <c r="A102" s="5">
        <v>44978</v>
      </c>
      <c r="B102" s="3" t="str">
        <f t="shared" ca="1" si="26"/>
        <v>GOLDBEES</v>
      </c>
      <c r="C102" s="3">
        <f t="shared" ca="1" si="27"/>
        <v>-4.1058005956601917E-2</v>
      </c>
      <c r="D102" s="3">
        <f t="shared" ca="1" si="27"/>
        <v>0.11972157772621794</v>
      </c>
      <c r="E102" s="3">
        <f t="shared" ca="1" si="27"/>
        <v>4.8150732728541534E-2</v>
      </c>
      <c r="F102" s="3"/>
      <c r="G102" s="3"/>
      <c r="I102" s="2" vm="85">
        <f t="shared" ca="1" si="32"/>
        <v>46.87</v>
      </c>
      <c r="J102" s="2" t="str">
        <f t="shared" ca="1" si="33"/>
        <v/>
      </c>
      <c r="K102" s="4" t="str">
        <f t="shared" ca="1" si="34"/>
        <v/>
      </c>
      <c r="L102" s="10">
        <f t="shared" ca="1" si="35"/>
        <v>95.335329592919649</v>
      </c>
    </row>
    <row r="103" spans="1:12" x14ac:dyDescent="0.2">
      <c r="A103" s="5">
        <v>44964</v>
      </c>
      <c r="B103" s="3" t="str">
        <f t="shared" ca="1" si="26"/>
        <v>GOLDBEES</v>
      </c>
      <c r="C103" s="3">
        <f t="shared" ca="1" si="27"/>
        <v>-6.7301992613195916E-2</v>
      </c>
      <c r="D103" s="3">
        <f t="shared" ca="1" si="27"/>
        <v>0.17871727119865466</v>
      </c>
      <c r="E103" s="3">
        <f t="shared" ca="1" si="27"/>
        <v>4.1322314049586639E-2</v>
      </c>
      <c r="F103" s="3"/>
      <c r="G103" s="3"/>
      <c r="I103" s="2" vm="85">
        <f t="shared" ca="1" si="32"/>
        <v>46.87</v>
      </c>
      <c r="J103" s="2" t="str">
        <f t="shared" ca="1" si="33"/>
        <v/>
      </c>
      <c r="K103" s="4" t="str">
        <f t="shared" ca="1" si="34"/>
        <v/>
      </c>
      <c r="L103" s="10">
        <f t="shared" ca="1" si="35"/>
        <v>95.335329592919649</v>
      </c>
    </row>
    <row r="104" spans="1:12" x14ac:dyDescent="0.2">
      <c r="A104" s="5">
        <v>44957</v>
      </c>
      <c r="B104" s="3" t="str">
        <f t="shared" ca="1" si="26"/>
        <v>GOLDBEES</v>
      </c>
      <c r="C104" s="3">
        <f t="shared" ca="1" si="27"/>
        <v>-4.0780921098285905E-2</v>
      </c>
      <c r="D104" s="3">
        <f t="shared" ca="1" si="27"/>
        <v>0.17987878787878797</v>
      </c>
      <c r="E104" s="3">
        <f t="shared" ca="1" si="27"/>
        <v>3.0965197463092231E-2</v>
      </c>
      <c r="F104" s="3"/>
      <c r="G104" s="3"/>
      <c r="I104" s="2" vm="85">
        <f t="shared" ca="1" si="32"/>
        <v>46.87</v>
      </c>
      <c r="J104" s="2" t="str">
        <f t="shared" ca="1" si="33"/>
        <v/>
      </c>
      <c r="K104" s="4" t="str">
        <f t="shared" ca="1" si="34"/>
        <v/>
      </c>
      <c r="L104" s="10">
        <f t="shared" ca="1" si="35"/>
        <v>95.335329592919649</v>
      </c>
    </row>
    <row r="105" spans="1:12" x14ac:dyDescent="0.2">
      <c r="A105" s="5">
        <v>44950</v>
      </c>
      <c r="B105" s="3" t="str">
        <f t="shared" ca="1" si="26"/>
        <v>GOLDBEES</v>
      </c>
      <c r="C105" s="3">
        <f t="shared" ca="1" si="27"/>
        <v>3.5027456478560648E-2</v>
      </c>
      <c r="D105" s="3">
        <f t="shared" ca="1" si="27"/>
        <v>0.16341579448144627</v>
      </c>
      <c r="E105" s="3">
        <f t="shared" ca="1" si="27"/>
        <v>6.7979977393831659E-2</v>
      </c>
      <c r="F105" s="3"/>
      <c r="G105" s="3"/>
      <c r="I105" s="2" vm="85">
        <f t="shared" ca="1" si="32"/>
        <v>46.87</v>
      </c>
      <c r="J105" s="2" t="str">
        <f t="shared" ca="1" si="33"/>
        <v/>
      </c>
      <c r="K105" s="4" t="str">
        <f t="shared" ca="1" si="34"/>
        <v/>
      </c>
      <c r="L105" s="10">
        <f t="shared" ca="1" si="35"/>
        <v>95.335329592919649</v>
      </c>
    </row>
    <row r="106" spans="1:12" x14ac:dyDescent="0.2">
      <c r="A106" s="5">
        <v>44936</v>
      </c>
      <c r="B106" s="3" t="str">
        <f t="shared" ca="1" si="26"/>
        <v>GOLDBEES</v>
      </c>
      <c r="C106" s="3">
        <f t="shared" ca="1" si="27"/>
        <v>-1.2643627168271165E-2</v>
      </c>
      <c r="D106" s="3">
        <f t="shared" ca="1" si="27"/>
        <v>0.16776235695154607</v>
      </c>
      <c r="E106" s="3">
        <f t="shared" ca="1" si="27"/>
        <v>9.1587342423462559E-3</v>
      </c>
      <c r="F106" s="3"/>
      <c r="G106" s="3"/>
      <c r="I106" s="2" vm="85">
        <f t="shared" ca="1" si="32"/>
        <v>46.87</v>
      </c>
      <c r="J106" s="2" t="str">
        <f t="shared" ca="1" si="33"/>
        <v/>
      </c>
      <c r="K106" s="4" t="str">
        <f t="shared" ca="1" si="34"/>
        <v/>
      </c>
      <c r="L106" s="10">
        <f t="shared" ca="1" si="35"/>
        <v>95.335329592919649</v>
      </c>
    </row>
    <row r="107" spans="1:12" x14ac:dyDescent="0.2">
      <c r="A107" s="5">
        <v>44929</v>
      </c>
      <c r="B107" s="3" t="str">
        <f t="shared" ca="1" si="26"/>
        <v>GOLDBEES</v>
      </c>
      <c r="C107" s="3">
        <f t="shared" ca="1" si="27"/>
        <v>3.9614153667106855E-3</v>
      </c>
      <c r="D107" s="3">
        <f t="shared" ca="1" si="27"/>
        <v>0.14138509465612281</v>
      </c>
      <c r="E107" s="3">
        <f t="shared" ca="1" si="27"/>
        <v>4.6979865771812124E-2</v>
      </c>
      <c r="F107" s="3"/>
      <c r="G107" s="3"/>
      <c r="I107" s="2" vm="85">
        <f t="shared" ca="1" si="32"/>
        <v>46.87</v>
      </c>
      <c r="J107" s="2" t="str">
        <f t="shared" ca="1" si="33"/>
        <v/>
      </c>
      <c r="K107" s="4" t="str">
        <f t="shared" ca="1" si="34"/>
        <v/>
      </c>
      <c r="L107" s="10">
        <f t="shared" ca="1" si="35"/>
        <v>95.335329592919649</v>
      </c>
    </row>
    <row r="108" spans="1:12" x14ac:dyDescent="0.2">
      <c r="A108" s="5">
        <v>44922</v>
      </c>
      <c r="B108" s="3" t="str">
        <f t="shared" ca="1" si="26"/>
        <v>GOLDBEES</v>
      </c>
      <c r="C108" s="3">
        <f t="shared" ca="1" si="27"/>
        <v>1.704948005942164E-2</v>
      </c>
      <c r="D108" s="3">
        <f t="shared" ca="1" si="27"/>
        <v>0.12695359461408984</v>
      </c>
      <c r="E108" s="3">
        <f t="shared" ca="1" si="27"/>
        <v>7.2879978325656847E-2</v>
      </c>
      <c r="F108" s="3"/>
      <c r="G108" s="3"/>
      <c r="I108" s="2" vm="85">
        <f t="shared" ca="1" si="32"/>
        <v>46.87</v>
      </c>
      <c r="J108" s="2" vm="203">
        <f t="shared" ca="1" si="33"/>
        <v>198</v>
      </c>
      <c r="K108" s="4">
        <f t="shared" ca="1" si="34"/>
        <v>-1.5953481437304351E-2</v>
      </c>
      <c r="L108" s="10">
        <f t="shared" ca="1" si="35"/>
        <v>95.335329592919649</v>
      </c>
    </row>
    <row r="109" spans="1:12" x14ac:dyDescent="0.2">
      <c r="A109" s="5">
        <v>44915</v>
      </c>
      <c r="B109" s="3" t="str">
        <f t="shared" ca="1" si="26"/>
        <v>NIFTYBEES</v>
      </c>
      <c r="C109" s="3">
        <f t="shared" ca="1" si="27"/>
        <v>8.5719017650120577E-2</v>
      </c>
      <c r="D109" s="3">
        <f t="shared" ca="1" si="27"/>
        <v>0.1168179646440517</v>
      </c>
      <c r="E109" s="3">
        <f t="shared" ca="1" si="27"/>
        <v>0.11826821541710664</v>
      </c>
      <c r="F109" s="3"/>
      <c r="G109" s="3"/>
      <c r="I109" s="2" vm="204">
        <f t="shared" ca="1" si="32"/>
        <v>201.21</v>
      </c>
      <c r="J109" s="2" vm="205">
        <f t="shared" ca="1" si="33"/>
        <v>46.75</v>
      </c>
      <c r="K109" s="4">
        <f t="shared" ca="1" si="34"/>
        <v>1.2781629116118021E-2</v>
      </c>
      <c r="L109" s="10">
        <f t="shared" ca="1" si="35"/>
        <v>96.880917512077588</v>
      </c>
    </row>
    <row r="110" spans="1:12" x14ac:dyDescent="0.2">
      <c r="A110" s="5">
        <v>44908</v>
      </c>
      <c r="B110" s="3" t="str">
        <f t="shared" ca="1" si="26"/>
        <v>GOLDBEES</v>
      </c>
      <c r="C110" s="3">
        <f t="shared" ca="1" si="27"/>
        <v>3.1876503608660789E-2</v>
      </c>
      <c r="D110" s="3">
        <f t="shared" ca="1" si="27"/>
        <v>0.11095066185318903</v>
      </c>
      <c r="E110" s="3">
        <f t="shared" ca="1" si="27"/>
        <v>8.4459819052687513E-2</v>
      </c>
      <c r="F110" s="3"/>
      <c r="G110" s="3"/>
      <c r="I110" s="2" vm="172">
        <f t="shared" ca="1" si="32"/>
        <v>46.16</v>
      </c>
      <c r="J110" s="2" vm="173">
        <f t="shared" ca="1" si="33"/>
        <v>203.77</v>
      </c>
      <c r="K110" s="4">
        <f t="shared" ca="1" si="34"/>
        <v>1.6713365776925837E-3</v>
      </c>
      <c r="L110" s="10">
        <f t="shared" ca="1" si="35"/>
        <v>95.658249248288783</v>
      </c>
    </row>
    <row r="111" spans="1:12" x14ac:dyDescent="0.2">
      <c r="A111" s="5">
        <v>44894</v>
      </c>
      <c r="B111" s="3" t="str">
        <f t="shared" ca="1" si="26"/>
        <v>NIFTYBEES</v>
      </c>
      <c r="C111" s="3">
        <f t="shared" ca="1" si="27"/>
        <v>3.9473085498475502E-2</v>
      </c>
      <c r="D111" s="3">
        <f t="shared" ca="1" si="27"/>
        <v>8.3613647284959347E-2</v>
      </c>
      <c r="E111" s="3">
        <f t="shared" ca="1" si="27"/>
        <v>0.10230289894337585</v>
      </c>
      <c r="F111" s="3"/>
      <c r="G111" s="3"/>
      <c r="I111" s="2" vm="206">
        <f t="shared" ca="1" si="32"/>
        <v>203.43</v>
      </c>
      <c r="J111" s="2" vm="207">
        <f t="shared" ca="1" si="33"/>
        <v>45.1</v>
      </c>
      <c r="K111" s="4">
        <f t="shared" ca="1" si="34"/>
        <v>2.3836549375709559E-2</v>
      </c>
      <c r="L111" s="10">
        <f t="shared" ca="1" si="35"/>
        <v>95.49863888000877</v>
      </c>
    </row>
    <row r="112" spans="1:12" x14ac:dyDescent="0.2">
      <c r="A112" s="5">
        <v>44887</v>
      </c>
      <c r="B112" s="3" t="str">
        <f t="shared" ca="1" si="26"/>
        <v>GOLDBEES</v>
      </c>
      <c r="C112" s="3">
        <f t="shared" ca="1" si="27"/>
        <v>5.5661931691686206E-4</v>
      </c>
      <c r="D112" s="3">
        <f t="shared" ca="1" si="27"/>
        <v>6.3225195358749708E-2</v>
      </c>
      <c r="E112" s="3">
        <f t="shared" ca="1" si="27"/>
        <v>5.6754893120458227E-2</v>
      </c>
      <c r="F112" s="3"/>
      <c r="G112" s="3"/>
      <c r="I112" s="2" vm="208">
        <f t="shared" ca="1" si="32"/>
        <v>44.05</v>
      </c>
      <c r="J112" s="2" t="str">
        <f t="shared" ca="1" si="33"/>
        <v/>
      </c>
      <c r="K112" s="4" t="str">
        <f t="shared" ca="1" si="34"/>
        <v/>
      </c>
      <c r="L112" s="10">
        <f t="shared" ca="1" si="35"/>
        <v>93.275278107857773</v>
      </c>
    </row>
    <row r="113" spans="1:12" x14ac:dyDescent="0.2">
      <c r="A113" s="5">
        <v>44866</v>
      </c>
      <c r="B113" s="3" t="str">
        <f t="shared" ca="1" si="26"/>
        <v>GOLDBEES</v>
      </c>
      <c r="C113" s="3">
        <f t="shared" ca="1" si="27"/>
        <v>2.0212670495333818E-2</v>
      </c>
      <c r="D113" s="3">
        <f t="shared" ca="1" si="27"/>
        <v>4.9176356589147208E-2</v>
      </c>
      <c r="E113" s="3">
        <f t="shared" ca="1" si="27"/>
        <v>2.1357820883202594E-2</v>
      </c>
      <c r="F113" s="3"/>
      <c r="G113" s="3"/>
      <c r="I113" s="2" vm="208">
        <f t="shared" ca="1" si="32"/>
        <v>44.05</v>
      </c>
      <c r="J113" s="2" t="str">
        <f t="shared" ca="1" si="33"/>
        <v/>
      </c>
      <c r="K113" s="4" t="str">
        <f t="shared" ca="1" si="34"/>
        <v/>
      </c>
      <c r="L113" s="10">
        <f t="shared" ca="1" si="35"/>
        <v>93.275278107857773</v>
      </c>
    </row>
    <row r="114" spans="1:12" x14ac:dyDescent="0.2">
      <c r="A114" s="5">
        <v>44859</v>
      </c>
      <c r="B114" s="3" t="str">
        <f t="shared" ca="1" si="26"/>
        <v>GOLDBEES</v>
      </c>
      <c r="C114" s="3">
        <f t="shared" ca="1" si="27"/>
        <v>7.9060363041552062E-3</v>
      </c>
      <c r="D114" s="3">
        <f t="shared" ca="1" si="27"/>
        <v>3.8239538239538406E-2</v>
      </c>
      <c r="E114" s="3">
        <f t="shared" ca="1" si="27"/>
        <v>-1.6452915027336368E-2</v>
      </c>
      <c r="F114" s="3"/>
      <c r="G114" s="3"/>
      <c r="I114" s="2" vm="208">
        <f t="shared" ca="1" si="32"/>
        <v>44.05</v>
      </c>
      <c r="J114" s="2" t="str">
        <f t="shared" ca="1" si="33"/>
        <v/>
      </c>
      <c r="K114" s="4" t="str">
        <f t="shared" ca="1" si="34"/>
        <v/>
      </c>
      <c r="L114" s="10">
        <f t="shared" ca="1" si="35"/>
        <v>93.275278107857773</v>
      </c>
    </row>
    <row r="115" spans="1:12" x14ac:dyDescent="0.2">
      <c r="A115" s="5">
        <v>44852</v>
      </c>
      <c r="B115" s="3" t="str">
        <f t="shared" ca="1" si="26"/>
        <v>GOLDBEES</v>
      </c>
      <c r="C115" s="3">
        <f t="shared" ca="1" si="27"/>
        <v>-5.0648324183453219E-2</v>
      </c>
      <c r="D115" s="3">
        <f t="shared" ca="1" si="27"/>
        <v>5.2220595412396209E-2</v>
      </c>
      <c r="E115" s="3">
        <f t="shared" ca="1" si="27"/>
        <v>-4.1576592428736681E-2</v>
      </c>
      <c r="F115" s="3"/>
      <c r="G115" s="3"/>
      <c r="I115" s="2" vm="208">
        <f t="shared" ca="1" si="32"/>
        <v>44.05</v>
      </c>
      <c r="J115" s="2" t="str">
        <f t="shared" ca="1" si="33"/>
        <v/>
      </c>
      <c r="K115" s="4" t="str">
        <f t="shared" ca="1" si="34"/>
        <v/>
      </c>
      <c r="L115" s="10">
        <f t="shared" ca="1" si="35"/>
        <v>93.275278107857773</v>
      </c>
    </row>
    <row r="116" spans="1:12" x14ac:dyDescent="0.2">
      <c r="A116" s="5">
        <v>44838</v>
      </c>
      <c r="B116" s="3" t="str">
        <f t="shared" ca="1" si="26"/>
        <v>GOLDBEES</v>
      </c>
      <c r="C116" s="3">
        <f t="shared" ca="1" si="27"/>
        <v>-1.8902330546166635E-3</v>
      </c>
      <c r="D116" s="3">
        <f t="shared" ca="1" si="27"/>
        <v>9.4681908548707616E-2</v>
      </c>
      <c r="E116" s="3">
        <f t="shared" ca="1" si="27"/>
        <v>-1.4343296864366861E-2</v>
      </c>
      <c r="F116" s="3"/>
      <c r="G116" s="3"/>
      <c r="I116" s="2" vm="208">
        <f t="shared" ca="1" si="32"/>
        <v>44.05</v>
      </c>
      <c r="J116" s="2" vm="209">
        <f t="shared" ca="1" si="33"/>
        <v>448.83</v>
      </c>
      <c r="K116" s="4">
        <f t="shared" ca="1" si="34"/>
        <v>-5.0075133865267074E-2</v>
      </c>
      <c r="L116" s="10">
        <f t="shared" ca="1" si="35"/>
        <v>93.275278107857773</v>
      </c>
    </row>
    <row r="117" spans="1:12" x14ac:dyDescent="0.2">
      <c r="A117" s="5">
        <v>44824</v>
      </c>
      <c r="B117" s="3" t="str">
        <f t="shared" ca="1" si="26"/>
        <v>JUNIORBEES</v>
      </c>
      <c r="C117" s="3">
        <f t="shared" ca="1" si="27"/>
        <v>6.3543870706343153E-2</v>
      </c>
      <c r="D117" s="3">
        <f t="shared" ca="1" si="27"/>
        <v>5.7754543191436358E-2</v>
      </c>
      <c r="E117" s="3">
        <f t="shared" ca="1" si="27"/>
        <v>3.5026083253486551E-2</v>
      </c>
      <c r="F117" s="3"/>
      <c r="G117" s="3"/>
      <c r="I117" s="2" vm="177">
        <f t="shared" ca="1" si="32"/>
        <v>472.49</v>
      </c>
      <c r="J117" s="2" vm="210">
        <f t="shared" ca="1" si="33"/>
        <v>42.49</v>
      </c>
      <c r="K117" s="4">
        <f t="shared" ca="1" si="34"/>
        <v>-2.3218390804597644E-2</v>
      </c>
      <c r="L117" s="10">
        <f t="shared" ca="1" si="35"/>
        <v>98.19226912902819</v>
      </c>
    </row>
    <row r="118" spans="1:12" x14ac:dyDescent="0.2">
      <c r="A118" s="5">
        <v>44817</v>
      </c>
      <c r="B118" s="3" t="str">
        <f t="shared" ca="1" si="26"/>
        <v>GOLDBEES</v>
      </c>
      <c r="C118" s="3">
        <f t="shared" ca="1" si="27"/>
        <v>5.7522419279467885E-2</v>
      </c>
      <c r="D118" s="3">
        <f t="shared" ca="1" si="27"/>
        <v>6.8271119842829187E-2</v>
      </c>
      <c r="E118" s="3">
        <f t="shared" ca="1" si="27"/>
        <v>5.2589385922719112E-2</v>
      </c>
      <c r="F118" s="3"/>
      <c r="G118" s="3"/>
      <c r="I118" s="2" vm="211">
        <f t="shared" ca="1" si="32"/>
        <v>43.5</v>
      </c>
      <c r="J118" s="2" t="str">
        <f t="shared" ca="1" si="33"/>
        <v/>
      </c>
      <c r="K118" s="4" t="str">
        <f t="shared" ca="1" si="34"/>
        <v/>
      </c>
      <c r="L118" s="10">
        <f t="shared" ca="1" si="35"/>
        <v>100.52632871529127</v>
      </c>
    </row>
    <row r="119" spans="1:12" x14ac:dyDescent="0.2">
      <c r="A119" s="5">
        <v>44810</v>
      </c>
      <c r="B119" s="3" t="str">
        <f t="shared" ca="1" si="26"/>
        <v>GOLDBEES</v>
      </c>
      <c r="C119" s="3">
        <f t="shared" ca="1" si="27"/>
        <v>4.3248826712774857E-2</v>
      </c>
      <c r="D119" s="3">
        <f t="shared" ca="1" si="27"/>
        <v>5.556903664159174E-2</v>
      </c>
      <c r="E119" s="3">
        <f t="shared" ca="1" si="27"/>
        <v>2.6286323647027432E-2</v>
      </c>
      <c r="F119" s="3"/>
      <c r="G119" s="3"/>
      <c r="I119" s="2" vm="211">
        <f t="shared" ca="1" si="32"/>
        <v>43.5</v>
      </c>
      <c r="J119" s="2" vm="178">
        <f t="shared" ca="1" si="33"/>
        <v>464.59</v>
      </c>
      <c r="K119" s="4">
        <f t="shared" ca="1" si="34"/>
        <v>3.2009418454840288E-2</v>
      </c>
      <c r="L119" s="10">
        <f t="shared" ca="1" si="35"/>
        <v>100.52632871529127</v>
      </c>
    </row>
    <row r="120" spans="1:12" x14ac:dyDescent="0.2">
      <c r="A120" s="5">
        <v>44803</v>
      </c>
      <c r="B120" s="3" t="str">
        <f t="shared" ca="1" si="26"/>
        <v>JUNIORBEES</v>
      </c>
      <c r="C120" s="3">
        <f t="shared" ca="1" si="27"/>
        <v>7.9355441382531478E-2</v>
      </c>
      <c r="D120" s="3">
        <f t="shared" ca="1" si="27"/>
        <v>7.0470616922701845E-2</v>
      </c>
      <c r="E120" s="3">
        <f t="shared" ca="1" si="27"/>
        <v>6.2167935586350476E-2</v>
      </c>
      <c r="F120" s="3"/>
      <c r="G120" s="3"/>
      <c r="I120" s="2" vm="212">
        <f t="shared" ca="1" si="32"/>
        <v>450.18</v>
      </c>
      <c r="J120" s="2" t="str">
        <f t="shared" ca="1" si="33"/>
        <v/>
      </c>
      <c r="K120" s="4" t="str">
        <f t="shared" ca="1" si="34"/>
        <v/>
      </c>
      <c r="L120" s="10">
        <f t="shared" ca="1" si="35"/>
        <v>97.408344262790465</v>
      </c>
    </row>
    <row r="121" spans="1:12" x14ac:dyDescent="0.2">
      <c r="A121" s="5">
        <v>44796</v>
      </c>
      <c r="B121" s="3" t="str">
        <f t="shared" ca="1" si="26"/>
        <v>JUNIORBEES</v>
      </c>
      <c r="C121" s="3">
        <f t="shared" ca="1" si="27"/>
        <v>9.4689232564925563E-2</v>
      </c>
      <c r="D121" s="3">
        <f t="shared" ca="1" si="27"/>
        <v>7.6566691050963254E-2</v>
      </c>
      <c r="E121" s="3">
        <f t="shared" ca="1" si="27"/>
        <v>7.911285794497469E-2</v>
      </c>
      <c r="F121" s="3"/>
      <c r="G121" s="3"/>
      <c r="I121" s="2" vm="212">
        <f t="shared" ca="1" si="32"/>
        <v>450.18</v>
      </c>
      <c r="J121" s="2" vm="213">
        <f t="shared" ca="1" si="33"/>
        <v>44.15</v>
      </c>
      <c r="K121" s="4">
        <f t="shared" ca="1" si="34"/>
        <v>-1.1198208286674172E-2</v>
      </c>
      <c r="L121" s="10">
        <f t="shared" ca="1" si="35"/>
        <v>97.408344262790465</v>
      </c>
    </row>
    <row r="122" spans="1:12" x14ac:dyDescent="0.2">
      <c r="A122" s="5">
        <v>44789</v>
      </c>
      <c r="B122" s="3" t="str">
        <f t="shared" ca="1" si="26"/>
        <v>GOLDBEES</v>
      </c>
      <c r="C122" s="3">
        <f t="shared" ca="1" si="27"/>
        <v>9.264890433439521E-2</v>
      </c>
      <c r="D122" s="3">
        <f t="shared" ca="1" si="27"/>
        <v>9.4899460519862533E-2</v>
      </c>
      <c r="E122" s="3">
        <f t="shared" ca="1" si="27"/>
        <v>8.6730123180291274E-2</v>
      </c>
      <c r="F122" s="3"/>
      <c r="G122" s="3"/>
      <c r="I122" s="2" vm="214">
        <f t="shared" ca="1" si="32"/>
        <v>44.65</v>
      </c>
      <c r="J122" s="2" vm="215">
        <f t="shared" ca="1" si="33"/>
        <v>194.09</v>
      </c>
      <c r="K122" s="4">
        <f t="shared" ca="1" si="34"/>
        <v>9.1128850910726422E-2</v>
      </c>
      <c r="L122" s="10">
        <f t="shared" ca="1" si="35"/>
        <v>98.511496519447206</v>
      </c>
    </row>
    <row r="123" spans="1:12" x14ac:dyDescent="0.2">
      <c r="A123" s="5">
        <v>44775</v>
      </c>
      <c r="B123" s="3" t="str">
        <f t="shared" ca="1" si="26"/>
        <v>NIFTYBEES</v>
      </c>
      <c r="C123" s="3">
        <f t="shared" ca="1" si="27"/>
        <v>5.5032654629273869E-2</v>
      </c>
      <c r="D123" s="3">
        <f t="shared" ca="1" si="27"/>
        <v>6.3809294485913659E-2</v>
      </c>
      <c r="E123" s="3">
        <f t="shared" ca="1" si="27"/>
        <v>0.1030409356725146</v>
      </c>
      <c r="F123" s="3"/>
      <c r="G123" s="3"/>
      <c r="I123" s="2" vm="183">
        <f t="shared" ca="1" si="32"/>
        <v>177.88</v>
      </c>
      <c r="J123" s="2" t="str">
        <f t="shared" ca="1" si="33"/>
        <v/>
      </c>
      <c r="K123" s="4" t="str">
        <f t="shared" ca="1" si="34"/>
        <v/>
      </c>
      <c r="L123" s="10">
        <f t="shared" ca="1" si="35"/>
        <v>90.284017728266619</v>
      </c>
    </row>
    <row r="124" spans="1:12" x14ac:dyDescent="0.2">
      <c r="A124" s="5">
        <v>44768</v>
      </c>
      <c r="B124" s="3" t="str">
        <f t="shared" ca="1" si="26"/>
        <v>NIFTYBEES</v>
      </c>
      <c r="C124" s="3">
        <f t="shared" ca="1" si="27"/>
        <v>1.5067695443296003E-2</v>
      </c>
      <c r="D124" s="3">
        <f t="shared" ca="1" si="27"/>
        <v>4.9758454106280325E-2</v>
      </c>
      <c r="E124" s="3">
        <f t="shared" ca="1" si="27"/>
        <v>5.6553911205073915E-2</v>
      </c>
      <c r="F124" s="3"/>
      <c r="G124" s="3"/>
      <c r="I124" s="2" vm="183">
        <f t="shared" ca="1" si="32"/>
        <v>177.88</v>
      </c>
      <c r="J124" s="2" t="str">
        <f t="shared" ca="1" si="33"/>
        <v/>
      </c>
      <c r="K124" s="4" t="str">
        <f t="shared" ca="1" si="34"/>
        <v/>
      </c>
      <c r="L124" s="10">
        <f t="shared" ca="1" si="35"/>
        <v>90.284017728266619</v>
      </c>
    </row>
    <row r="125" spans="1:12" x14ac:dyDescent="0.2">
      <c r="A125" s="5">
        <v>44761</v>
      </c>
      <c r="B125" s="3" t="str">
        <f t="shared" ca="1" si="26"/>
        <v>NIFTYBEES</v>
      </c>
      <c r="C125" s="3">
        <f t="shared" ca="1" si="27"/>
        <v>2.7669534102884752E-2</v>
      </c>
      <c r="D125" s="3">
        <f t="shared" ca="1" si="27"/>
        <v>4.2527630946660233E-2</v>
      </c>
      <c r="E125" s="3">
        <f t="shared" ca="1" si="27"/>
        <v>4.777051304706359E-2</v>
      </c>
      <c r="F125" s="3"/>
      <c r="G125" s="3"/>
      <c r="I125" s="2" vm="183">
        <f t="shared" ca="1" si="32"/>
        <v>177.88</v>
      </c>
      <c r="J125" s="2" vm="184">
        <f t="shared" ca="1" si="33"/>
        <v>43.39</v>
      </c>
      <c r="K125" s="4">
        <f t="shared" ca="1" si="34"/>
        <v>-4.1312829928850103E-3</v>
      </c>
      <c r="L125" s="10">
        <f t="shared" ca="1" si="35"/>
        <v>90.284017728266619</v>
      </c>
    </row>
    <row r="126" spans="1:12" x14ac:dyDescent="0.2">
      <c r="A126" s="5">
        <v>44754</v>
      </c>
      <c r="B126" s="3" t="str">
        <f t="shared" ca="1" si="26"/>
        <v>GOLDBEES</v>
      </c>
      <c r="C126" s="3">
        <f t="shared" ca="1" si="27"/>
        <v>2.4482201439552931E-3</v>
      </c>
      <c r="D126" s="3">
        <f t="shared" ca="1" si="27"/>
        <v>5.1084337349397435E-2</v>
      </c>
      <c r="E126" s="3">
        <f t="shared" ca="1" si="27"/>
        <v>3.5849503076194944E-2</v>
      </c>
      <c r="F126" s="3"/>
      <c r="G126" s="3"/>
      <c r="I126" s="2" vm="185">
        <f t="shared" ca="1" si="32"/>
        <v>43.57</v>
      </c>
      <c r="J126" s="2" t="str">
        <f t="shared" ca="1" si="33"/>
        <v/>
      </c>
      <c r="K126" s="4" t="str">
        <f t="shared" ca="1" si="34"/>
        <v/>
      </c>
      <c r="L126" s="10">
        <f t="shared" ca="1" si="35"/>
        <v>90.658553870029422</v>
      </c>
    </row>
    <row r="127" spans="1:12" x14ac:dyDescent="0.2">
      <c r="A127" s="5">
        <v>44747</v>
      </c>
      <c r="B127" s="3" t="str">
        <f t="shared" ca="1" si="26"/>
        <v>GOLDBEES</v>
      </c>
      <c r="C127" s="3">
        <f t="shared" ca="1" si="27"/>
        <v>-2.7233895459371271E-2</v>
      </c>
      <c r="D127" s="3">
        <f t="shared" ca="1" si="27"/>
        <v>8.737864077669899E-2</v>
      </c>
      <c r="E127" s="3">
        <f t="shared" ca="1" si="27"/>
        <v>1.1226708987245093E-2</v>
      </c>
      <c r="F127" s="3"/>
      <c r="G127" s="3"/>
      <c r="I127" s="2" vm="185">
        <f t="shared" ca="1" si="32"/>
        <v>43.57</v>
      </c>
      <c r="J127" s="2" t="str">
        <f t="shared" ca="1" si="33"/>
        <v/>
      </c>
      <c r="K127" s="4" t="str">
        <f t="shared" ca="1" si="34"/>
        <v/>
      </c>
      <c r="L127" s="10">
        <f t="shared" ca="1" si="35"/>
        <v>90.658553870029422</v>
      </c>
    </row>
    <row r="128" spans="1:12" x14ac:dyDescent="0.2">
      <c r="A128" s="5">
        <v>44740</v>
      </c>
      <c r="B128" s="3" t="str">
        <f t="shared" ca="1" si="26"/>
        <v>GOLDBEES</v>
      </c>
      <c r="C128" s="3">
        <f t="shared" ca="1" si="27"/>
        <v>-3.3349013394073035E-2</v>
      </c>
      <c r="D128" s="3">
        <f t="shared" ca="1" si="27"/>
        <v>7.3003429691327781E-2</v>
      </c>
      <c r="E128" s="3">
        <f t="shared" ca="1" si="27"/>
        <v>1.6485133941713359E-2</v>
      </c>
      <c r="F128" s="3"/>
      <c r="G128" s="3"/>
      <c r="I128" s="2" vm="185">
        <f t="shared" ca="1" si="32"/>
        <v>43.57</v>
      </c>
      <c r="J128" s="2" t="str">
        <f t="shared" ca="1" si="33"/>
        <v/>
      </c>
      <c r="K128" s="4" t="str">
        <f t="shared" ca="1" si="34"/>
        <v/>
      </c>
      <c r="L128" s="10">
        <f t="shared" ca="1" si="35"/>
        <v>90.658553870029422</v>
      </c>
    </row>
    <row r="129" spans="1:12" x14ac:dyDescent="0.2">
      <c r="A129" s="5">
        <v>44733</v>
      </c>
      <c r="B129" s="3" t="str">
        <f t="shared" ca="1" si="26"/>
        <v>GOLDBEES</v>
      </c>
      <c r="C129" s="3">
        <f t="shared" ca="1" si="27"/>
        <v>-5.107353597461195E-2</v>
      </c>
      <c r="D129" s="3">
        <f t="shared" ca="1" si="27"/>
        <v>6.9108669108669085E-2</v>
      </c>
      <c r="E129" s="3">
        <f t="shared" ca="1" si="27"/>
        <v>7.0385047613414908E-3</v>
      </c>
      <c r="F129" s="3"/>
      <c r="G129" s="3"/>
      <c r="I129" s="2" vm="185">
        <f t="shared" ca="1" si="32"/>
        <v>43.57</v>
      </c>
      <c r="J129" s="2" t="str">
        <f t="shared" ca="1" si="33"/>
        <v/>
      </c>
      <c r="K129" s="4" t="str">
        <f t="shared" ca="1" si="34"/>
        <v/>
      </c>
      <c r="L129" s="10">
        <f t="shared" ca="1" si="35"/>
        <v>90.658553870029422</v>
      </c>
    </row>
    <row r="130" spans="1:12" x14ac:dyDescent="0.2">
      <c r="A130" s="5">
        <v>44726</v>
      </c>
      <c r="B130" s="3" t="str">
        <f t="shared" ca="1" si="26"/>
        <v>GOLDBEES</v>
      </c>
      <c r="C130" s="3">
        <f t="shared" ca="1" si="27"/>
        <v>-4.7368035727359148E-2</v>
      </c>
      <c r="D130" s="3">
        <f t="shared" ca="1" si="27"/>
        <v>3.664049488460619E-2</v>
      </c>
      <c r="E130" s="3">
        <f t="shared" ca="1" si="27"/>
        <v>1.0261854210898758E-2</v>
      </c>
      <c r="F130" s="3"/>
      <c r="G130" s="3"/>
      <c r="I130" s="2" vm="185">
        <f t="shared" ca="1" si="32"/>
        <v>43.57</v>
      </c>
      <c r="J130" s="2" vm="186">
        <f t="shared" ca="1" si="33"/>
        <v>171.3</v>
      </c>
      <c r="K130" s="4">
        <f t="shared" ca="1" si="34"/>
        <v>-2.7588555858310548E-2</v>
      </c>
      <c r="L130" s="10">
        <f t="shared" ca="1" si="35"/>
        <v>90.658553870029422</v>
      </c>
    </row>
    <row r="131" spans="1:12" x14ac:dyDescent="0.2">
      <c r="A131" s="5">
        <v>44719</v>
      </c>
      <c r="B131" s="3" t="str">
        <f t="shared" ca="1" si="26"/>
        <v>NIFTYBEES</v>
      </c>
      <c r="C131" s="3">
        <f t="shared" ca="1" si="27"/>
        <v>-2.0695404835466613E-2</v>
      </c>
      <c r="D131" s="3">
        <f t="shared" ca="1" si="27"/>
        <v>3.736991485335861E-2</v>
      </c>
      <c r="E131" s="3">
        <f t="shared" ca="1" si="27"/>
        <v>5.8886319160291745E-2</v>
      </c>
      <c r="F131" s="3"/>
      <c r="G131" s="3"/>
      <c r="I131" s="2" vm="216">
        <f t="shared" ca="1" si="32"/>
        <v>176.16</v>
      </c>
      <c r="J131" s="2" t="str">
        <f t="shared" ca="1" si="33"/>
        <v/>
      </c>
      <c r="K131" s="4" t="str">
        <f t="shared" ca="1" si="34"/>
        <v/>
      </c>
      <c r="L131" s="10">
        <f t="shared" ca="1" si="35"/>
        <v>93.230652946552141</v>
      </c>
    </row>
    <row r="132" spans="1:12" x14ac:dyDescent="0.2">
      <c r="A132" s="5">
        <v>44705</v>
      </c>
      <c r="B132" s="3" t="str">
        <f t="shared" ca="1" si="26"/>
        <v>NIFTYBEES</v>
      </c>
      <c r="C132" s="3">
        <f t="shared" ca="1" si="27"/>
        <v>2.395867958781861E-2</v>
      </c>
      <c r="D132" s="3">
        <f t="shared" ca="1" si="27"/>
        <v>4.4312796208530791E-2</v>
      </c>
      <c r="E132" s="3">
        <f t="shared" ca="1" si="27"/>
        <v>7.7941267007326287E-2</v>
      </c>
      <c r="F132" s="3"/>
      <c r="G132" s="3"/>
      <c r="I132" s="2" vm="216">
        <f t="shared" ca="1" si="32"/>
        <v>176.16</v>
      </c>
      <c r="J132" s="2" t="str">
        <f t="shared" ca="1" si="33"/>
        <v/>
      </c>
      <c r="K132" s="4" t="str">
        <f t="shared" ca="1" si="34"/>
        <v/>
      </c>
      <c r="L132" s="10">
        <f t="shared" ca="1" si="35"/>
        <v>93.230652946552141</v>
      </c>
    </row>
    <row r="133" spans="1:12" x14ac:dyDescent="0.2">
      <c r="A133" s="5">
        <v>44698</v>
      </c>
      <c r="B133" s="3" t="str">
        <f t="shared" ca="1" si="26"/>
        <v>NIFTYBEES</v>
      </c>
      <c r="C133" s="3">
        <f t="shared" ca="1" si="27"/>
        <v>8.6687142554543462E-2</v>
      </c>
      <c r="D133" s="3">
        <f t="shared" ca="1" si="27"/>
        <v>4.0879751374611528E-2</v>
      </c>
      <c r="E133" s="3">
        <f t="shared" ca="1" si="27"/>
        <v>0.10606820461384148</v>
      </c>
      <c r="F133" s="3"/>
      <c r="G133" s="3"/>
      <c r="I133" s="2" vm="216">
        <f t="shared" ca="1" si="32"/>
        <v>176.16</v>
      </c>
      <c r="J133" s="2" t="str">
        <f t="shared" ca="1" si="33"/>
        <v/>
      </c>
      <c r="K133" s="4" t="str">
        <f t="shared" ca="1" si="34"/>
        <v/>
      </c>
      <c r="L133" s="10">
        <f t="shared" ca="1" si="35"/>
        <v>93.230652946552141</v>
      </c>
    </row>
    <row r="134" spans="1:12" x14ac:dyDescent="0.2">
      <c r="A134" s="5">
        <v>44691</v>
      </c>
      <c r="B134" s="3" t="str">
        <f t="shared" ca="1" si="26"/>
        <v>NIFTYBEES</v>
      </c>
      <c r="C134" s="3">
        <f t="shared" ca="1" si="27"/>
        <v>8.1554938516461783E-2</v>
      </c>
      <c r="D134" s="3">
        <f t="shared" ca="1" si="27"/>
        <v>6.7534973468403203E-2</v>
      </c>
      <c r="E134" s="3">
        <f t="shared" ca="1" si="27"/>
        <v>0.1031373285741124</v>
      </c>
      <c r="F134" s="3"/>
      <c r="G134" s="3"/>
      <c r="I134" s="2" vm="216">
        <f t="shared" ca="1" si="32"/>
        <v>176.16</v>
      </c>
      <c r="J134" s="2" vm="217">
        <f t="shared" ca="1" si="33"/>
        <v>408.99</v>
      </c>
      <c r="K134" s="4">
        <f t="shared" ca="1" si="34"/>
        <v>-9.3630883786898322E-2</v>
      </c>
      <c r="L134" s="10">
        <f t="shared" ca="1" si="35"/>
        <v>93.230652946552141</v>
      </c>
    </row>
    <row r="135" spans="1:12" x14ac:dyDescent="0.2">
      <c r="A135" s="5">
        <v>44670</v>
      </c>
      <c r="B135" s="3" t="str">
        <f t="shared" ca="1" si="26"/>
        <v>JUNIORBEES</v>
      </c>
      <c r="C135" s="3">
        <f t="shared" ca="1" si="27"/>
        <v>0.25876811797359056</v>
      </c>
      <c r="D135" s="3">
        <f t="shared" ca="1" si="27"/>
        <v>0.10715145677823257</v>
      </c>
      <c r="E135" s="3">
        <f t="shared" ca="1" si="27"/>
        <v>0.19203063144915311</v>
      </c>
      <c r="F135" s="3"/>
      <c r="G135" s="3"/>
      <c r="I135" s="2" vm="218">
        <f t="shared" ca="1" si="32"/>
        <v>451.24</v>
      </c>
      <c r="J135" s="2" t="str">
        <f t="shared" ca="1" si="33"/>
        <v/>
      </c>
      <c r="K135" s="4" t="str">
        <f t="shared" ca="1" si="34"/>
        <v/>
      </c>
      <c r="L135" s="10">
        <f t="shared" ca="1" si="35"/>
        <v>102.86168325778671</v>
      </c>
    </row>
    <row r="136" spans="1:12" x14ac:dyDescent="0.2">
      <c r="A136" s="5">
        <v>44656</v>
      </c>
      <c r="B136" s="3" t="str">
        <f t="shared" ca="1" si="26"/>
        <v>JUNIORBEES</v>
      </c>
      <c r="C136" s="3">
        <f t="shared" ca="1" si="27"/>
        <v>0.2536185581330741</v>
      </c>
      <c r="D136" s="3">
        <f t="shared" ca="1" si="27"/>
        <v>0.12662090007627769</v>
      </c>
      <c r="E136" s="3">
        <f t="shared" ca="1" si="27"/>
        <v>0.23948776758409784</v>
      </c>
      <c r="F136" s="3"/>
      <c r="G136" s="3"/>
      <c r="I136" s="2" vm="218">
        <f t="shared" ca="1" si="32"/>
        <v>451.24</v>
      </c>
      <c r="J136" s="2" vm="219">
        <f t="shared" ca="1" si="33"/>
        <v>194.55</v>
      </c>
      <c r="K136" s="4">
        <f t="shared" ca="1" si="34"/>
        <v>3.848617486922179E-2</v>
      </c>
      <c r="L136" s="10">
        <f t="shared" ca="1" si="35"/>
        <v>102.86168325778671</v>
      </c>
    </row>
    <row r="137" spans="1:12" x14ac:dyDescent="0.2">
      <c r="A137" s="5">
        <v>44642</v>
      </c>
      <c r="B137" s="3" t="str">
        <f t="shared" ca="1" si="26"/>
        <v>NIFTYBEES</v>
      </c>
      <c r="C137" s="3">
        <f t="shared" ca="1" si="27"/>
        <v>0.18904794996525354</v>
      </c>
      <c r="D137" s="3">
        <f t="shared" ca="1" si="27"/>
        <v>0.14079794079794072</v>
      </c>
      <c r="E137" s="3">
        <f t="shared" ca="1" si="27"/>
        <v>0.19074556664336106</v>
      </c>
      <c r="F137" s="3"/>
      <c r="G137" s="3"/>
      <c r="I137" s="2" vm="220">
        <f t="shared" ca="1" si="32"/>
        <v>187.34</v>
      </c>
      <c r="J137" s="2" vm="221">
        <f t="shared" ca="1" si="33"/>
        <v>427.76</v>
      </c>
      <c r="K137" s="4">
        <f t="shared" ca="1" si="34"/>
        <v>2.6246341346384483E-2</v>
      </c>
      <c r="L137" s="10">
        <f t="shared" ca="1" si="35"/>
        <v>99.049641436719412</v>
      </c>
    </row>
    <row r="138" spans="1:12" x14ac:dyDescent="0.2">
      <c r="A138" s="5">
        <v>44635</v>
      </c>
      <c r="B138" s="3" t="str">
        <f t="shared" ca="1" si="26"/>
        <v>JUNIORBEES</v>
      </c>
      <c r="C138" s="3">
        <f t="shared" ca="1" si="27"/>
        <v>0.14984827586206895</v>
      </c>
      <c r="D138" s="3">
        <f t="shared" ca="1" si="27"/>
        <v>0.13492063492063489</v>
      </c>
      <c r="E138" s="3">
        <f t="shared" ca="1" si="27"/>
        <v>0.12903225806451601</v>
      </c>
      <c r="F138" s="3"/>
      <c r="G138" s="3"/>
      <c r="I138" s="2" vm="222">
        <f t="shared" ca="1" si="32"/>
        <v>416.82</v>
      </c>
      <c r="J138" s="2" vm="223">
        <f t="shared" ca="1" si="33"/>
        <v>44.33</v>
      </c>
      <c r="K138" s="4">
        <f t="shared" ca="1" si="34"/>
        <v>-3.4835619420857888E-2</v>
      </c>
      <c r="L138" s="10">
        <f t="shared" ca="1" si="35"/>
        <v>96.516438057914215</v>
      </c>
    </row>
    <row r="139" spans="1:12" x14ac:dyDescent="0.2">
      <c r="A139" s="5">
        <v>44628</v>
      </c>
      <c r="B139" s="3" t="str">
        <f t="shared" ca="1" si="26"/>
        <v>GOLDBEES</v>
      </c>
      <c r="C139" s="3">
        <f t="shared" ca="1" si="27"/>
        <v>0.10159367958081078</v>
      </c>
      <c r="D139" s="3">
        <f t="shared" ca="1" si="27"/>
        <v>0.18682170542635657</v>
      </c>
      <c r="E139" s="3">
        <f t="shared" ca="1" si="27"/>
        <v>8.3479130217445796E-2</v>
      </c>
      <c r="F139" s="3"/>
      <c r="G139" s="3"/>
      <c r="I139" s="2" vm="191">
        <f t="shared" ca="1" si="32"/>
        <v>45.93</v>
      </c>
      <c r="K139" s="4" t="str">
        <f t="shared" si="34"/>
        <v/>
      </c>
      <c r="L139" s="10">
        <v>100</v>
      </c>
    </row>
    <row r="140" spans="1:12" x14ac:dyDescent="0.2">
      <c r="A140" s="5"/>
      <c r="B140" s="3"/>
      <c r="C140" s="3"/>
      <c r="D140" s="3"/>
      <c r="E140" s="3"/>
      <c r="F140" s="3"/>
      <c r="G140" s="3"/>
    </row>
    <row r="141" spans="1:12" x14ac:dyDescent="0.2">
      <c r="A141" s="5"/>
      <c r="B141" s="3"/>
      <c r="C141" s="3"/>
      <c r="D141" s="3"/>
      <c r="E141" s="3"/>
      <c r="F141" s="3"/>
      <c r="G141" s="3"/>
    </row>
    <row r="142" spans="1:12" x14ac:dyDescent="0.2">
      <c r="A142" s="5"/>
      <c r="B142" s="3"/>
      <c r="C142" s="3"/>
      <c r="D142" s="3"/>
      <c r="E142" s="3"/>
      <c r="F142" s="3"/>
      <c r="G142" s="3"/>
    </row>
    <row r="143" spans="1:12" x14ac:dyDescent="0.2">
      <c r="A143" s="5"/>
      <c r="B143" s="3"/>
      <c r="C143" s="3"/>
      <c r="D143" s="3"/>
      <c r="E143" s="3"/>
      <c r="F143" s="3"/>
      <c r="G143" s="3"/>
    </row>
    <row r="144" spans="1:12" x14ac:dyDescent="0.2">
      <c r="A144" s="5"/>
      <c r="B144" s="3"/>
      <c r="C144" s="3"/>
      <c r="D144" s="3"/>
      <c r="E144" s="3"/>
      <c r="F144" s="3"/>
      <c r="G144" s="3"/>
    </row>
    <row r="145" spans="1:7" x14ac:dyDescent="0.2">
      <c r="A145" s="5"/>
      <c r="B145" s="3"/>
      <c r="C145" s="3"/>
      <c r="D145" s="3"/>
      <c r="E145" s="3"/>
      <c r="F145" s="3"/>
      <c r="G145" s="3"/>
    </row>
    <row r="146" spans="1:7" x14ac:dyDescent="0.2">
      <c r="A146" s="5"/>
      <c r="B146" s="3"/>
      <c r="C146" s="3"/>
      <c r="D146" s="3"/>
      <c r="E146" s="3"/>
      <c r="F146" s="3"/>
      <c r="G146" s="3"/>
    </row>
    <row r="147" spans="1:7" x14ac:dyDescent="0.2">
      <c r="A147" s="5"/>
      <c r="B147" s="3"/>
      <c r="C147" s="3"/>
      <c r="D147" s="3"/>
      <c r="E147" s="3"/>
      <c r="F147" s="3"/>
      <c r="G147" s="3"/>
    </row>
    <row r="148" spans="1:7" x14ac:dyDescent="0.2">
      <c r="A148" s="5"/>
      <c r="B148" s="3"/>
      <c r="C148" s="3"/>
      <c r="D148" s="3"/>
      <c r="E148" s="3"/>
      <c r="F148" s="3"/>
      <c r="G148" s="3"/>
    </row>
    <row r="149" spans="1:7" x14ac:dyDescent="0.2">
      <c r="A149" s="5"/>
      <c r="B149" s="3"/>
      <c r="C149" s="3"/>
      <c r="D149" s="3"/>
      <c r="E149" s="3"/>
      <c r="F149" s="3"/>
      <c r="G149" s="3"/>
    </row>
    <row r="150" spans="1:7" x14ac:dyDescent="0.2">
      <c r="A150" s="5"/>
      <c r="B150" s="3"/>
      <c r="C150" s="3"/>
      <c r="D150" s="3"/>
      <c r="E150" s="3"/>
      <c r="F150" s="3"/>
      <c r="G150" s="3"/>
    </row>
    <row r="151" spans="1:7" x14ac:dyDescent="0.2">
      <c r="A151" s="5"/>
      <c r="B151" s="3"/>
      <c r="C151" s="3"/>
      <c r="D151" s="3"/>
      <c r="E151" s="3"/>
      <c r="F151" s="3"/>
      <c r="G151" s="3"/>
    </row>
    <row r="152" spans="1:7" x14ac:dyDescent="0.2">
      <c r="A152" s="5"/>
      <c r="B152" s="3"/>
      <c r="C152" s="3"/>
      <c r="D152" s="3"/>
      <c r="E152" s="3"/>
      <c r="F152" s="3"/>
      <c r="G152" s="3"/>
    </row>
    <row r="153" spans="1:7" x14ac:dyDescent="0.2">
      <c r="A153" s="5"/>
      <c r="B153" s="3"/>
      <c r="C153" s="3"/>
      <c r="D153" s="3"/>
      <c r="E153" s="3"/>
      <c r="F153" s="3"/>
      <c r="G153" s="3"/>
    </row>
    <row r="154" spans="1:7" x14ac:dyDescent="0.2">
      <c r="A154" s="5"/>
      <c r="B154" s="3"/>
      <c r="C154" s="3"/>
      <c r="D154" s="3"/>
      <c r="E154" s="3"/>
      <c r="F154" s="3"/>
      <c r="G154" s="3"/>
    </row>
    <row r="155" spans="1:7" x14ac:dyDescent="0.2">
      <c r="A155" s="5"/>
      <c r="B155" s="3"/>
      <c r="C155" s="3"/>
      <c r="D155" s="3"/>
      <c r="E155" s="3"/>
      <c r="F155" s="3"/>
      <c r="G155" s="3"/>
    </row>
    <row r="156" spans="1:7" x14ac:dyDescent="0.2">
      <c r="A156" s="5"/>
      <c r="B156" s="3"/>
      <c r="C156" s="3"/>
      <c r="D156" s="3"/>
      <c r="E156" s="3"/>
      <c r="F156" s="3"/>
      <c r="G156" s="3"/>
    </row>
    <row r="157" spans="1:7" x14ac:dyDescent="0.2">
      <c r="A157" s="5"/>
      <c r="B157" s="3"/>
      <c r="C157" s="3"/>
      <c r="D157" s="3"/>
      <c r="E157" s="3"/>
      <c r="F157" s="3"/>
      <c r="G157" s="3"/>
    </row>
    <row r="158" spans="1:7" x14ac:dyDescent="0.2">
      <c r="A158" s="5"/>
      <c r="B158" s="3"/>
      <c r="C158" s="3"/>
      <c r="D158" s="3"/>
      <c r="E158" s="3"/>
      <c r="F158" s="3"/>
      <c r="G158" s="3"/>
    </row>
    <row r="159" spans="1:7" x14ac:dyDescent="0.2">
      <c r="A159" s="5"/>
      <c r="B159" s="3"/>
      <c r="C159" s="3"/>
      <c r="D159" s="3"/>
      <c r="E159" s="3"/>
      <c r="F159" s="3"/>
      <c r="G159" s="3"/>
    </row>
    <row r="160" spans="1:7" x14ac:dyDescent="0.2">
      <c r="A160" s="5"/>
      <c r="B160" s="3"/>
      <c r="C160" s="3"/>
      <c r="D160" s="3"/>
      <c r="E160" s="3"/>
      <c r="F160" s="3"/>
      <c r="G160" s="3"/>
    </row>
    <row r="161" spans="1:7" x14ac:dyDescent="0.2">
      <c r="A161" s="5"/>
      <c r="B161" s="3"/>
      <c r="C161" s="3"/>
      <c r="D161" s="3"/>
      <c r="E161" s="3"/>
      <c r="F161" s="3"/>
      <c r="G161" s="3"/>
    </row>
    <row r="162" spans="1:7" x14ac:dyDescent="0.2">
      <c r="A162" s="5"/>
      <c r="B162" s="3"/>
      <c r="C162" s="3"/>
      <c r="D162" s="3"/>
      <c r="E162" s="3"/>
      <c r="F162" s="3"/>
      <c r="G162" s="3"/>
    </row>
    <row r="163" spans="1:7" x14ac:dyDescent="0.2">
      <c r="A163" s="5"/>
      <c r="B163" s="3"/>
      <c r="C163" s="3"/>
      <c r="D163" s="3"/>
      <c r="E163" s="3"/>
      <c r="F163" s="3"/>
      <c r="G163" s="3"/>
    </row>
    <row r="164" spans="1:7" x14ac:dyDescent="0.2">
      <c r="A164" s="5"/>
      <c r="B164" s="3"/>
      <c r="C164" s="3"/>
      <c r="D164" s="3"/>
      <c r="E164" s="3"/>
      <c r="F164" s="3"/>
      <c r="G164" s="3"/>
    </row>
    <row r="165" spans="1:7" x14ac:dyDescent="0.2">
      <c r="A165" s="5"/>
      <c r="B165" s="3"/>
      <c r="C165" s="3"/>
      <c r="D165" s="3"/>
      <c r="E165" s="3"/>
      <c r="F165" s="3"/>
      <c r="G165" s="3"/>
    </row>
    <row r="166" spans="1:7" x14ac:dyDescent="0.2">
      <c r="A166" s="5"/>
      <c r="B166" s="3"/>
      <c r="C166" s="3"/>
      <c r="D166" s="3"/>
      <c r="E166" s="3"/>
      <c r="F166" s="3"/>
      <c r="G166" s="3"/>
    </row>
    <row r="167" spans="1:7" x14ac:dyDescent="0.2">
      <c r="A167" s="5"/>
      <c r="B167" s="3"/>
      <c r="C167" s="3"/>
      <c r="D167" s="3"/>
      <c r="E167" s="3"/>
      <c r="F167" s="3"/>
      <c r="G167" s="3"/>
    </row>
    <row r="168" spans="1:7" x14ac:dyDescent="0.2">
      <c r="A168" s="5"/>
      <c r="B168" s="3"/>
      <c r="C168" s="3"/>
      <c r="D168" s="3"/>
      <c r="E168" s="3"/>
      <c r="F168" s="3"/>
      <c r="G168" s="3"/>
    </row>
    <row r="169" spans="1:7" x14ac:dyDescent="0.2">
      <c r="A169" s="5"/>
      <c r="B169" s="3"/>
      <c r="C169" s="3"/>
      <c r="D169" s="3"/>
      <c r="E169" s="3"/>
      <c r="F169" s="3"/>
      <c r="G169" s="3"/>
    </row>
    <row r="170" spans="1:7" x14ac:dyDescent="0.2">
      <c r="A170" s="5"/>
      <c r="B170" s="3"/>
      <c r="C170" s="3"/>
      <c r="D170" s="3"/>
      <c r="E170" s="3"/>
      <c r="F170" s="3"/>
      <c r="G170" s="3"/>
    </row>
    <row r="171" spans="1:7" x14ac:dyDescent="0.2">
      <c r="A171" s="5"/>
      <c r="B171" s="3"/>
      <c r="C171" s="3"/>
      <c r="D171" s="3"/>
      <c r="E171" s="3"/>
      <c r="F171" s="3"/>
      <c r="G171" s="3"/>
    </row>
    <row r="172" spans="1:7" x14ac:dyDescent="0.2">
      <c r="A172" s="5"/>
      <c r="B172" s="3"/>
      <c r="C172" s="3"/>
      <c r="D172" s="3"/>
      <c r="E172" s="3"/>
      <c r="F172" s="3"/>
      <c r="G172" s="3"/>
    </row>
    <row r="173" spans="1:7" x14ac:dyDescent="0.2">
      <c r="A173" s="5"/>
      <c r="B173" s="3"/>
      <c r="C173" s="3"/>
      <c r="D173" s="3"/>
      <c r="E173" s="3"/>
      <c r="F173" s="3"/>
      <c r="G173" s="3"/>
    </row>
    <row r="174" spans="1:7" x14ac:dyDescent="0.2">
      <c r="A174" s="5"/>
      <c r="B174" s="3"/>
      <c r="C174" s="3"/>
      <c r="D174" s="3"/>
      <c r="E174" s="3"/>
      <c r="F174" s="3"/>
      <c r="G174" s="3"/>
    </row>
    <row r="175" spans="1:7" x14ac:dyDescent="0.2">
      <c r="A175" s="5"/>
      <c r="B175" s="3"/>
      <c r="C175" s="3"/>
      <c r="D175" s="3"/>
      <c r="E175" s="3"/>
      <c r="F175" s="3"/>
      <c r="G175" s="3"/>
    </row>
    <row r="176" spans="1:7" x14ac:dyDescent="0.2">
      <c r="A176" s="5"/>
      <c r="B176" s="3"/>
      <c r="C176" s="3"/>
      <c r="D176" s="3"/>
      <c r="E176" s="3"/>
      <c r="F176" s="3"/>
      <c r="G176" s="3"/>
    </row>
    <row r="177" spans="1:7" x14ac:dyDescent="0.2">
      <c r="A177" s="5"/>
      <c r="B177" s="3"/>
      <c r="C177" s="3"/>
      <c r="D177" s="3"/>
      <c r="E177" s="3"/>
      <c r="F177" s="3"/>
      <c r="G177" s="3"/>
    </row>
    <row r="178" spans="1:7" x14ac:dyDescent="0.2">
      <c r="A178" s="5"/>
      <c r="B178" s="3"/>
      <c r="C178" s="3"/>
      <c r="D178" s="3"/>
      <c r="E178" s="3"/>
      <c r="F178" s="3"/>
      <c r="G178" s="3"/>
    </row>
    <row r="179" spans="1:7" x14ac:dyDescent="0.2">
      <c r="A179" s="5"/>
      <c r="B179" s="3"/>
      <c r="C179" s="3"/>
      <c r="D179" s="3"/>
      <c r="E179" s="3"/>
      <c r="F179" s="3"/>
      <c r="G179" s="3"/>
    </row>
    <row r="180" spans="1:7" x14ac:dyDescent="0.2">
      <c r="A180" s="5"/>
      <c r="B180" s="3"/>
      <c r="C180" s="3"/>
      <c r="D180" s="3"/>
      <c r="E180" s="3"/>
      <c r="F180" s="3"/>
      <c r="G180" s="3"/>
    </row>
    <row r="181" spans="1:7" x14ac:dyDescent="0.2">
      <c r="A181" s="5"/>
      <c r="B181" s="3"/>
      <c r="C181" s="3"/>
      <c r="D181" s="3"/>
      <c r="E181" s="3"/>
      <c r="F181" s="3"/>
      <c r="G181" s="3"/>
    </row>
    <row r="182" spans="1:7" x14ac:dyDescent="0.2">
      <c r="A182" s="5"/>
      <c r="B182" s="3"/>
      <c r="C182" s="3"/>
      <c r="D182" s="3"/>
      <c r="E182" s="3"/>
      <c r="F182" s="3"/>
      <c r="G182" s="3"/>
    </row>
    <row r="183" spans="1:7" x14ac:dyDescent="0.2">
      <c r="A183" s="5"/>
      <c r="B183" s="3"/>
      <c r="C183" s="3"/>
      <c r="D183" s="3"/>
      <c r="E183" s="3"/>
      <c r="F183" s="3"/>
      <c r="G183" s="3"/>
    </row>
    <row r="184" spans="1:7" x14ac:dyDescent="0.2">
      <c r="A184" s="5"/>
      <c r="B184" s="3"/>
      <c r="C184" s="3"/>
      <c r="D184" s="3"/>
      <c r="E184" s="3"/>
      <c r="F184" s="3"/>
      <c r="G184" s="3"/>
    </row>
    <row r="185" spans="1:7" x14ac:dyDescent="0.2">
      <c r="A185" s="5"/>
      <c r="B185" s="3"/>
      <c r="C185" s="3"/>
      <c r="D185" s="3"/>
      <c r="E185" s="3"/>
      <c r="F185" s="3"/>
      <c r="G185" s="3"/>
    </row>
    <row r="186" spans="1:7" x14ac:dyDescent="0.2">
      <c r="A186" s="5"/>
      <c r="B186" s="3"/>
      <c r="C186" s="3"/>
      <c r="D186" s="3"/>
      <c r="E186" s="3"/>
      <c r="F186" s="3"/>
      <c r="G186" s="3"/>
    </row>
    <row r="187" spans="1:7" x14ac:dyDescent="0.2">
      <c r="A187" s="5"/>
      <c r="B187" s="3"/>
      <c r="C187" s="3"/>
      <c r="D187" s="3"/>
      <c r="E187" s="3"/>
      <c r="F187" s="3"/>
      <c r="G187" s="3"/>
    </row>
    <row r="188" spans="1:7" x14ac:dyDescent="0.2">
      <c r="A188" s="5"/>
      <c r="B188" s="3"/>
      <c r="C188" s="3"/>
      <c r="D188" s="3"/>
      <c r="E188" s="3"/>
      <c r="F188" s="3"/>
      <c r="G188" s="3"/>
    </row>
    <row r="189" spans="1:7" x14ac:dyDescent="0.2">
      <c r="A189" s="5"/>
      <c r="B189" s="3"/>
      <c r="C189" s="3"/>
      <c r="D189" s="3"/>
      <c r="E189" s="3"/>
      <c r="F189" s="3"/>
      <c r="G189" s="3"/>
    </row>
    <row r="190" spans="1:7" x14ac:dyDescent="0.2">
      <c r="A190" s="5"/>
      <c r="B190" s="3"/>
      <c r="C190" s="3"/>
      <c r="D190" s="3"/>
      <c r="E190" s="3"/>
      <c r="F190" s="3"/>
      <c r="G190" s="3"/>
    </row>
    <row r="191" spans="1:7" x14ac:dyDescent="0.2">
      <c r="A191" s="5"/>
      <c r="B191" s="3"/>
      <c r="C191" s="3"/>
      <c r="D191" s="3"/>
      <c r="E191" s="3"/>
      <c r="F191" s="3"/>
      <c r="G191" s="3"/>
    </row>
    <row r="192" spans="1:7" x14ac:dyDescent="0.2">
      <c r="A192" s="5"/>
      <c r="B192" s="3"/>
      <c r="C192" s="3"/>
      <c r="D192" s="3"/>
      <c r="E192" s="3"/>
      <c r="F192" s="3"/>
      <c r="G192" s="3"/>
    </row>
    <row r="193" spans="1:7" x14ac:dyDescent="0.2">
      <c r="A193" s="5"/>
      <c r="B193" s="3"/>
      <c r="C193" s="3"/>
      <c r="D193" s="3"/>
      <c r="E193" s="3"/>
      <c r="F193" s="3"/>
      <c r="G193" s="3"/>
    </row>
    <row r="194" spans="1:7" x14ac:dyDescent="0.2">
      <c r="A194" s="5"/>
      <c r="B194" s="3"/>
      <c r="C194" s="3"/>
      <c r="D194" s="3"/>
      <c r="E194" s="3"/>
      <c r="F194" s="3"/>
      <c r="G194" s="3"/>
    </row>
    <row r="195" spans="1:7" x14ac:dyDescent="0.2">
      <c r="A195" s="5"/>
      <c r="B195" s="3"/>
      <c r="C195" s="3"/>
      <c r="D195" s="3"/>
      <c r="E195" s="3"/>
      <c r="F195" s="3"/>
      <c r="G195" s="3"/>
    </row>
    <row r="196" spans="1:7" x14ac:dyDescent="0.2">
      <c r="A196" s="5"/>
      <c r="B196" s="3"/>
      <c r="C196" s="3"/>
      <c r="D196" s="3"/>
      <c r="E196" s="3"/>
      <c r="F196" s="3"/>
      <c r="G196" s="3"/>
    </row>
    <row r="197" spans="1:7" x14ac:dyDescent="0.2">
      <c r="A197" s="5"/>
      <c r="B197" s="3"/>
      <c r="C197" s="3"/>
      <c r="D197" s="3"/>
      <c r="E197" s="3"/>
      <c r="F197" s="3"/>
      <c r="G197" s="3"/>
    </row>
    <row r="198" spans="1:7" x14ac:dyDescent="0.2">
      <c r="A198" s="5"/>
      <c r="B198" s="3"/>
      <c r="C198" s="3"/>
      <c r="D198" s="3"/>
      <c r="E198" s="3"/>
      <c r="F198" s="3"/>
      <c r="G198" s="3"/>
    </row>
    <row r="199" spans="1:7" x14ac:dyDescent="0.2">
      <c r="A199" s="5"/>
      <c r="B199" s="3"/>
      <c r="C199" s="3"/>
      <c r="D199" s="3"/>
      <c r="E199" s="3"/>
      <c r="F199" s="3"/>
      <c r="G199" s="3"/>
    </row>
    <row r="200" spans="1:7" x14ac:dyDescent="0.2">
      <c r="A200" s="5"/>
      <c r="B200" s="3"/>
      <c r="C200" s="3"/>
      <c r="D200" s="3"/>
      <c r="E200" s="3"/>
      <c r="F200" s="3"/>
      <c r="G200" s="3"/>
    </row>
    <row r="201" spans="1:7" x14ac:dyDescent="0.2">
      <c r="A201" s="5"/>
      <c r="B201" s="3"/>
      <c r="C201" s="3"/>
      <c r="D201" s="3"/>
      <c r="E201" s="3"/>
      <c r="F201" s="3"/>
      <c r="G201" s="3"/>
    </row>
    <row r="202" spans="1:7" x14ac:dyDescent="0.2">
      <c r="A202" s="5"/>
      <c r="B202" s="3"/>
      <c r="C202" s="3"/>
      <c r="D202" s="3"/>
      <c r="E202" s="3"/>
      <c r="F202" s="3"/>
      <c r="G202" s="3"/>
    </row>
    <row r="203" spans="1:7" x14ac:dyDescent="0.2">
      <c r="A203" s="5"/>
      <c r="B203" s="3"/>
      <c r="C203" s="3"/>
      <c r="D203" s="3"/>
      <c r="E203" s="3"/>
      <c r="F203" s="3"/>
      <c r="G203" s="3"/>
    </row>
    <row r="204" spans="1:7" x14ac:dyDescent="0.2">
      <c r="A204" s="5"/>
      <c r="B204" s="3"/>
      <c r="C204" s="3"/>
      <c r="D204" s="3"/>
      <c r="E204" s="3"/>
      <c r="F204" s="3"/>
      <c r="G204" s="3"/>
    </row>
    <row r="205" spans="1:7" x14ac:dyDescent="0.2">
      <c r="A205" s="5"/>
      <c r="B205" s="3"/>
      <c r="C205" s="3"/>
      <c r="D205" s="3"/>
      <c r="E205" s="3"/>
      <c r="F205" s="3"/>
      <c r="G205" s="3"/>
    </row>
    <row r="206" spans="1:7" x14ac:dyDescent="0.2">
      <c r="A206" s="5"/>
      <c r="B206" s="3"/>
      <c r="C206" s="3"/>
      <c r="D206" s="3"/>
      <c r="E206" s="3"/>
      <c r="F206" s="3"/>
      <c r="G206" s="3"/>
    </row>
    <row r="207" spans="1:7" x14ac:dyDescent="0.2">
      <c r="A207" s="5"/>
      <c r="B207" s="3"/>
      <c r="C207" s="3"/>
      <c r="D207" s="3"/>
      <c r="E207" s="3"/>
      <c r="F207" s="3"/>
      <c r="G207" s="3"/>
    </row>
    <row r="208" spans="1:7" x14ac:dyDescent="0.2">
      <c r="A208" s="5"/>
      <c r="B208" s="3"/>
      <c r="C208" s="3"/>
      <c r="D208" s="3"/>
      <c r="E208" s="3"/>
      <c r="F208" s="3"/>
      <c r="G208" s="3"/>
    </row>
    <row r="209" spans="1:7" x14ac:dyDescent="0.2">
      <c r="A209" s="5"/>
      <c r="B209" s="3"/>
      <c r="C209" s="3"/>
      <c r="D209" s="3"/>
      <c r="E209" s="3"/>
      <c r="F209" s="3"/>
      <c r="G209" s="3"/>
    </row>
    <row r="210" spans="1:7" x14ac:dyDescent="0.2">
      <c r="A210" s="5"/>
      <c r="B210" s="3"/>
      <c r="C210" s="3"/>
      <c r="D210" s="3"/>
      <c r="E210" s="3"/>
      <c r="F210" s="3"/>
      <c r="G210" s="3"/>
    </row>
    <row r="211" spans="1:7" x14ac:dyDescent="0.2">
      <c r="A211" s="5"/>
      <c r="B211" s="3"/>
      <c r="C211" s="3"/>
      <c r="D211" s="3"/>
      <c r="E211" s="3"/>
      <c r="F211" s="3"/>
      <c r="G211" s="3"/>
    </row>
    <row r="212" spans="1:7" x14ac:dyDescent="0.2">
      <c r="A212" s="5"/>
      <c r="B212" s="3"/>
      <c r="C212" s="3"/>
      <c r="D212" s="3"/>
      <c r="E212" s="3"/>
      <c r="F212" s="3"/>
      <c r="G212" s="3"/>
    </row>
    <row r="213" spans="1:7" x14ac:dyDescent="0.2">
      <c r="A213" s="5"/>
      <c r="B213" s="3"/>
      <c r="C213" s="3"/>
      <c r="D213" s="3"/>
      <c r="E213" s="3"/>
      <c r="F213" s="3"/>
      <c r="G213" s="3"/>
    </row>
    <row r="214" spans="1:7" x14ac:dyDescent="0.2">
      <c r="A214" s="5"/>
      <c r="B214" s="3"/>
      <c r="C214" s="3"/>
      <c r="D214" s="3"/>
      <c r="E214" s="3"/>
      <c r="F214" s="3"/>
      <c r="G214" s="3"/>
    </row>
    <row r="215" spans="1:7" x14ac:dyDescent="0.2">
      <c r="A215" s="5"/>
      <c r="B215" s="3"/>
      <c r="C215" s="3"/>
      <c r="D215" s="3"/>
      <c r="E215" s="3"/>
      <c r="F215" s="3"/>
      <c r="G215" s="3"/>
    </row>
    <row r="216" spans="1:7" x14ac:dyDescent="0.2">
      <c r="A216" s="5"/>
      <c r="B216" s="3"/>
      <c r="C216" s="3"/>
      <c r="D216" s="3"/>
      <c r="E216" s="3"/>
      <c r="F216" s="3"/>
      <c r="G216" s="3"/>
    </row>
    <row r="217" spans="1:7" x14ac:dyDescent="0.2">
      <c r="A217" s="5"/>
      <c r="B217" s="3"/>
      <c r="C217" s="3"/>
      <c r="D217" s="3"/>
      <c r="E217" s="3"/>
      <c r="F217" s="3"/>
      <c r="G217" s="3"/>
    </row>
    <row r="218" spans="1:7" x14ac:dyDescent="0.2">
      <c r="A218" s="5"/>
      <c r="B218" s="3"/>
      <c r="C218" s="3"/>
      <c r="D218" s="3"/>
      <c r="E218" s="3"/>
      <c r="F218" s="3"/>
      <c r="G218" s="3"/>
    </row>
    <row r="219" spans="1:7" x14ac:dyDescent="0.2">
      <c r="A219" s="5"/>
      <c r="B219" s="3"/>
      <c r="C219" s="3"/>
      <c r="D219" s="3"/>
      <c r="E219" s="3"/>
      <c r="F219" s="3"/>
      <c r="G219" s="3"/>
    </row>
    <row r="220" spans="1:7" x14ac:dyDescent="0.2">
      <c r="A220" s="5"/>
      <c r="B220" s="3"/>
      <c r="C220" s="3"/>
      <c r="D220" s="3"/>
      <c r="E220" s="3"/>
      <c r="F220" s="3"/>
      <c r="G220" s="3"/>
    </row>
    <row r="221" spans="1:7" x14ac:dyDescent="0.2">
      <c r="A221" s="5"/>
      <c r="B221" s="3"/>
      <c r="C221" s="3"/>
      <c r="D221" s="3"/>
      <c r="E221" s="3"/>
      <c r="F221" s="3"/>
      <c r="G221" s="3"/>
    </row>
    <row r="222" spans="1:7" x14ac:dyDescent="0.2">
      <c r="A222" s="5"/>
      <c r="B222" s="3"/>
      <c r="C222" s="3"/>
      <c r="D222" s="3"/>
      <c r="E222" s="3"/>
      <c r="F222" s="3"/>
      <c r="G222" s="3"/>
    </row>
    <row r="223" spans="1:7" x14ac:dyDescent="0.2">
      <c r="A223" s="5"/>
      <c r="B223" s="3"/>
      <c r="C223" s="3"/>
      <c r="D223" s="3"/>
      <c r="E223" s="3"/>
      <c r="F223" s="3"/>
      <c r="G223" s="3"/>
    </row>
    <row r="224" spans="1:7" x14ac:dyDescent="0.2">
      <c r="A224" s="5"/>
      <c r="B224" s="3"/>
      <c r="C224" s="3"/>
      <c r="D224" s="3"/>
      <c r="E224" s="3"/>
      <c r="F224" s="3"/>
      <c r="G224" s="3"/>
    </row>
    <row r="225" spans="1:7" x14ac:dyDescent="0.2">
      <c r="A225" s="5"/>
      <c r="B225" s="3"/>
      <c r="C225" s="3"/>
      <c r="D225" s="3"/>
      <c r="E225" s="3"/>
      <c r="F225" s="3"/>
      <c r="G225" s="3"/>
    </row>
    <row r="226" spans="1:7" x14ac:dyDescent="0.2">
      <c r="A226" s="5"/>
      <c r="B226" s="3"/>
      <c r="C226" s="3"/>
      <c r="D226" s="3"/>
      <c r="E226" s="3"/>
      <c r="F226" s="3"/>
      <c r="G226" s="3"/>
    </row>
    <row r="227" spans="1:7" x14ac:dyDescent="0.2">
      <c r="A227" s="5"/>
      <c r="B227" s="3"/>
      <c r="C227" s="3"/>
      <c r="D227" s="3"/>
      <c r="E227" s="3"/>
      <c r="F227" s="3"/>
      <c r="G227" s="3"/>
    </row>
    <row r="228" spans="1:7" x14ac:dyDescent="0.2">
      <c r="A228" s="5"/>
      <c r="B228" s="3"/>
      <c r="C228" s="3"/>
      <c r="D228" s="3"/>
      <c r="E228" s="3"/>
      <c r="F228" s="3"/>
      <c r="G228" s="3"/>
    </row>
    <row r="229" spans="1:7" x14ac:dyDescent="0.2">
      <c r="A229" s="5"/>
      <c r="B229" s="3"/>
      <c r="C229" s="3"/>
      <c r="D229" s="3"/>
      <c r="E229" s="3"/>
      <c r="F229" s="3"/>
      <c r="G229" s="3"/>
    </row>
    <row r="230" spans="1:7" x14ac:dyDescent="0.2">
      <c r="A230" s="5"/>
      <c r="B230" s="3"/>
      <c r="C230" s="3"/>
      <c r="D230" s="3"/>
      <c r="E230" s="3"/>
      <c r="F230" s="3"/>
      <c r="G230" s="3"/>
    </row>
    <row r="231" spans="1:7" x14ac:dyDescent="0.2">
      <c r="A231" s="5"/>
      <c r="B231" s="3"/>
      <c r="C231" s="3"/>
      <c r="D231" s="3"/>
      <c r="E231" s="3"/>
      <c r="F231" s="3"/>
      <c r="G231" s="3"/>
    </row>
    <row r="232" spans="1:7" x14ac:dyDescent="0.2">
      <c r="A232" s="5"/>
      <c r="B232" s="3"/>
      <c r="C232" s="3"/>
      <c r="D232" s="3"/>
      <c r="E232" s="3"/>
      <c r="F232" s="3"/>
      <c r="G232" s="3"/>
    </row>
    <row r="233" spans="1:7" x14ac:dyDescent="0.2">
      <c r="A233" s="5"/>
      <c r="B233" s="3"/>
      <c r="C233" s="3"/>
      <c r="D233" s="3"/>
      <c r="E233" s="3"/>
      <c r="F233" s="3"/>
      <c r="G233" s="3"/>
    </row>
    <row r="234" spans="1:7" x14ac:dyDescent="0.2">
      <c r="A234" s="5"/>
      <c r="B234" s="3"/>
      <c r="C234" s="3"/>
      <c r="D234" s="3"/>
      <c r="E234" s="3"/>
      <c r="F234" s="3"/>
      <c r="G234" s="3"/>
    </row>
    <row r="235" spans="1:7" x14ac:dyDescent="0.2">
      <c r="A235" s="5"/>
      <c r="B235" s="3"/>
      <c r="C235" s="3"/>
      <c r="D235" s="3"/>
      <c r="E235" s="3"/>
      <c r="F235" s="3"/>
      <c r="G235" s="3"/>
    </row>
    <row r="236" spans="1:7" x14ac:dyDescent="0.2">
      <c r="A236" s="5"/>
      <c r="B236" s="3"/>
      <c r="C236" s="3"/>
      <c r="D236" s="3"/>
      <c r="E236" s="3"/>
      <c r="F236" s="3"/>
      <c r="G236" s="3"/>
    </row>
    <row r="237" spans="1:7" x14ac:dyDescent="0.2">
      <c r="A237" s="5"/>
      <c r="B237" s="3"/>
      <c r="C237" s="3"/>
      <c r="D237" s="3"/>
      <c r="E237" s="3"/>
      <c r="F237" s="3"/>
      <c r="G237" s="3"/>
    </row>
    <row r="238" spans="1:7" x14ac:dyDescent="0.2">
      <c r="A238" s="5"/>
      <c r="B238" s="3"/>
      <c r="C238" s="3"/>
      <c r="D238" s="3"/>
      <c r="E238" s="3"/>
      <c r="F238" s="3"/>
      <c r="G238" s="3"/>
    </row>
    <row r="239" spans="1:7" x14ac:dyDescent="0.2">
      <c r="A239" s="5"/>
      <c r="B239" s="3"/>
      <c r="C239" s="3"/>
      <c r="D239" s="3"/>
      <c r="E239" s="3"/>
      <c r="F239" s="3"/>
      <c r="G239" s="3"/>
    </row>
    <row r="240" spans="1:7" x14ac:dyDescent="0.2">
      <c r="A240" s="5"/>
      <c r="B240" s="3"/>
      <c r="C240" s="3"/>
      <c r="D240" s="3"/>
      <c r="E240" s="3"/>
      <c r="F240" s="3"/>
      <c r="G240" s="3"/>
    </row>
    <row r="241" spans="1:7" x14ac:dyDescent="0.2">
      <c r="A241" s="5"/>
      <c r="B241" s="3"/>
      <c r="C241" s="3"/>
      <c r="D241" s="3"/>
      <c r="E241" s="3"/>
      <c r="F241" s="3"/>
      <c r="G241" s="3"/>
    </row>
    <row r="242" spans="1:7" x14ac:dyDescent="0.2">
      <c r="A242" s="5"/>
      <c r="B242" s="3"/>
      <c r="C242" s="3"/>
      <c r="D242" s="3"/>
      <c r="E242" s="3"/>
      <c r="F242" s="3"/>
      <c r="G242" s="3"/>
    </row>
    <row r="243" spans="1:7" x14ac:dyDescent="0.2">
      <c r="A243" s="5"/>
      <c r="B243" s="3"/>
      <c r="C243" s="3"/>
      <c r="D243" s="3"/>
      <c r="E243" s="3"/>
      <c r="F243" s="3"/>
      <c r="G243" s="3"/>
    </row>
    <row r="244" spans="1:7" x14ac:dyDescent="0.2">
      <c r="A244" s="5"/>
      <c r="B244" s="3"/>
      <c r="C244" s="3"/>
      <c r="D244" s="3"/>
      <c r="E244" s="3"/>
      <c r="F244" s="3"/>
      <c r="G244" s="3"/>
    </row>
    <row r="245" spans="1:7" x14ac:dyDescent="0.2">
      <c r="A245" s="5"/>
      <c r="B245" s="3"/>
      <c r="C245" s="3"/>
      <c r="D245" s="3"/>
      <c r="E245" s="3"/>
      <c r="F245" s="3"/>
      <c r="G245" s="3"/>
    </row>
    <row r="246" spans="1:7" x14ac:dyDescent="0.2">
      <c r="A246" s="5"/>
      <c r="B246" s="3"/>
      <c r="C246" s="3"/>
      <c r="D246" s="3"/>
      <c r="E246" s="3"/>
      <c r="F246" s="3"/>
      <c r="G246" s="3"/>
    </row>
    <row r="247" spans="1:7" x14ac:dyDescent="0.2">
      <c r="A247" s="5"/>
      <c r="B247" s="3"/>
      <c r="C247" s="3"/>
      <c r="D247" s="3"/>
      <c r="E247" s="3"/>
      <c r="F247" s="3"/>
      <c r="G247" s="3"/>
    </row>
    <row r="248" spans="1:7" x14ac:dyDescent="0.2">
      <c r="A248" s="5"/>
      <c r="B248" s="3"/>
      <c r="C248" s="3"/>
      <c r="D248" s="3"/>
      <c r="E248" s="3"/>
      <c r="F248" s="3"/>
      <c r="G248" s="3"/>
    </row>
    <row r="249" spans="1:7" x14ac:dyDescent="0.2">
      <c r="A249" s="5"/>
      <c r="B249" s="3"/>
      <c r="C249" s="3"/>
      <c r="D249" s="3"/>
      <c r="E249" s="3"/>
      <c r="F249" s="3"/>
      <c r="G249" s="3"/>
    </row>
    <row r="250" spans="1:7" x14ac:dyDescent="0.2">
      <c r="A250" s="5"/>
      <c r="B250" s="3"/>
      <c r="C250" s="3"/>
      <c r="D250" s="3"/>
      <c r="E250" s="3"/>
      <c r="F250" s="3"/>
      <c r="G250" s="3"/>
    </row>
    <row r="251" spans="1:7" x14ac:dyDescent="0.2">
      <c r="A251" s="5"/>
      <c r="B251" s="3"/>
      <c r="C251" s="3"/>
      <c r="D251" s="3"/>
      <c r="E251" s="3"/>
      <c r="F251" s="3"/>
      <c r="G251" s="3"/>
    </row>
    <row r="252" spans="1:7" x14ac:dyDescent="0.2">
      <c r="A252" s="5"/>
      <c r="B252" s="3"/>
      <c r="C252" s="3"/>
      <c r="D252" s="3"/>
      <c r="E252" s="3"/>
      <c r="F252" s="3"/>
      <c r="G252" s="3"/>
    </row>
    <row r="253" spans="1:7" x14ac:dyDescent="0.2">
      <c r="A253" s="5"/>
      <c r="B253" s="3"/>
      <c r="C253" s="3"/>
      <c r="D253" s="3"/>
      <c r="E253" s="3"/>
      <c r="F253" s="3"/>
      <c r="G253" s="3"/>
    </row>
    <row r="254" spans="1:7" x14ac:dyDescent="0.2">
      <c r="A254" s="5"/>
      <c r="B254" s="3"/>
      <c r="C254" s="3"/>
      <c r="D254" s="3"/>
      <c r="E254" s="3"/>
      <c r="F254" s="3"/>
      <c r="G254" s="3"/>
    </row>
    <row r="255" spans="1:7" x14ac:dyDescent="0.2">
      <c r="A255" s="5"/>
      <c r="B255" s="3"/>
      <c r="C255" s="3"/>
      <c r="D255" s="3"/>
      <c r="E255" s="3"/>
      <c r="F255" s="3"/>
      <c r="G255" s="3"/>
    </row>
    <row r="256" spans="1:7" x14ac:dyDescent="0.2">
      <c r="A256" s="5"/>
      <c r="B256" s="3"/>
      <c r="C256" s="3"/>
      <c r="D256" s="3"/>
      <c r="E256" s="3"/>
      <c r="F256" s="3"/>
      <c r="G256" s="3"/>
    </row>
    <row r="257" spans="1:7" x14ac:dyDescent="0.2">
      <c r="A257" s="5"/>
      <c r="B257" s="3"/>
      <c r="C257" s="3"/>
      <c r="D257" s="3"/>
      <c r="E257" s="3"/>
      <c r="F257" s="3"/>
      <c r="G257" s="3"/>
    </row>
    <row r="258" spans="1:7" x14ac:dyDescent="0.2">
      <c r="A258" s="5"/>
      <c r="B258" s="3"/>
      <c r="C258" s="3"/>
      <c r="D258" s="3"/>
      <c r="E258" s="3"/>
      <c r="F258" s="3"/>
      <c r="G258" s="3"/>
    </row>
    <row r="259" spans="1:7" x14ac:dyDescent="0.2">
      <c r="A259" s="5"/>
      <c r="B259" s="3"/>
      <c r="C259" s="3"/>
      <c r="D259" s="3"/>
      <c r="E259" s="3"/>
      <c r="F259" s="3"/>
      <c r="G259" s="3"/>
    </row>
    <row r="260" spans="1:7" x14ac:dyDescent="0.2">
      <c r="A260" s="5"/>
      <c r="B260" s="3"/>
      <c r="C260" s="3"/>
      <c r="D260" s="3"/>
      <c r="E260" s="3"/>
      <c r="F260" s="3"/>
      <c r="G260" s="3"/>
    </row>
    <row r="261" spans="1:7" x14ac:dyDescent="0.2">
      <c r="A261" s="5"/>
      <c r="B261" s="3"/>
      <c r="C261" s="3"/>
      <c r="D261" s="3"/>
      <c r="E261" s="3"/>
      <c r="F261" s="3"/>
      <c r="G261" s="3"/>
    </row>
    <row r="262" spans="1:7" x14ac:dyDescent="0.2">
      <c r="A262" s="5"/>
      <c r="B262" s="3"/>
      <c r="C262" s="3"/>
      <c r="D262" s="3"/>
      <c r="E262" s="3"/>
      <c r="F262" s="3"/>
      <c r="G262" s="3"/>
    </row>
    <row r="263" spans="1:7" x14ac:dyDescent="0.2">
      <c r="A263" s="5"/>
      <c r="B263" s="3"/>
      <c r="C263" s="3"/>
      <c r="D263" s="3"/>
      <c r="E263" s="3"/>
      <c r="F263" s="3"/>
      <c r="G263" s="3"/>
    </row>
    <row r="264" spans="1:7" x14ac:dyDescent="0.2">
      <c r="A264" s="5"/>
      <c r="B264" s="3"/>
      <c r="C264" s="3"/>
      <c r="D264" s="3"/>
      <c r="E264" s="3"/>
      <c r="F264" s="3"/>
      <c r="G264" s="3"/>
    </row>
    <row r="265" spans="1:7" x14ac:dyDescent="0.2">
      <c r="A265" s="5"/>
      <c r="B265" s="3"/>
      <c r="C265" s="3"/>
      <c r="D265" s="3"/>
      <c r="E265" s="3"/>
      <c r="F265" s="3"/>
      <c r="G265" s="3"/>
    </row>
    <row r="266" spans="1:7" x14ac:dyDescent="0.2">
      <c r="A266" s="5"/>
      <c r="B266" s="3"/>
      <c r="C266" s="3"/>
      <c r="D266" s="3"/>
      <c r="E266" s="3"/>
      <c r="F266" s="3"/>
      <c r="G266" s="3"/>
    </row>
    <row r="267" spans="1:7" x14ac:dyDescent="0.2">
      <c r="A267" s="5"/>
      <c r="B267" s="3"/>
      <c r="C267" s="3"/>
      <c r="D267" s="3"/>
      <c r="E267" s="3"/>
      <c r="F267" s="3"/>
      <c r="G267" s="3"/>
    </row>
    <row r="268" spans="1:7" x14ac:dyDescent="0.2">
      <c r="A268" s="5"/>
      <c r="B268" s="3"/>
      <c r="C268" s="3"/>
      <c r="D268" s="3"/>
      <c r="E268" s="3"/>
      <c r="F268" s="3"/>
      <c r="G268" s="3"/>
    </row>
    <row r="269" spans="1:7" x14ac:dyDescent="0.2">
      <c r="A269" s="5"/>
      <c r="B269" s="3"/>
      <c r="C269" s="3"/>
      <c r="D269" s="3"/>
      <c r="E269" s="3"/>
      <c r="F269" s="3"/>
      <c r="G269" s="3"/>
    </row>
    <row r="270" spans="1:7" x14ac:dyDescent="0.2">
      <c r="A270" s="5"/>
      <c r="B270" s="3"/>
      <c r="C270" s="3"/>
      <c r="D270" s="3"/>
      <c r="E270" s="3"/>
      <c r="F270" s="3"/>
      <c r="G270" s="3"/>
    </row>
    <row r="271" spans="1:7" x14ac:dyDescent="0.2">
      <c r="A271" s="5"/>
      <c r="B271" s="3"/>
      <c r="C271" s="3"/>
      <c r="D271" s="3"/>
      <c r="E271" s="3"/>
      <c r="F271" s="3"/>
      <c r="G271" s="3"/>
    </row>
    <row r="272" spans="1:7" x14ac:dyDescent="0.2">
      <c r="A272" s="5"/>
      <c r="B272" s="3"/>
      <c r="C272" s="3"/>
      <c r="D272" s="3"/>
      <c r="E272" s="3"/>
      <c r="F272" s="3"/>
      <c r="G272" s="3"/>
    </row>
    <row r="273" spans="1:7" x14ac:dyDescent="0.2">
      <c r="A273" s="5"/>
      <c r="B273" s="3"/>
      <c r="C273" s="3"/>
      <c r="D273" s="3"/>
      <c r="E273" s="3"/>
      <c r="F273" s="3"/>
      <c r="G273" s="3"/>
    </row>
    <row r="274" spans="1:7" x14ac:dyDescent="0.2">
      <c r="A274" s="5"/>
      <c r="B274" s="3"/>
      <c r="C274" s="3"/>
      <c r="D274" s="3"/>
      <c r="E274" s="3"/>
      <c r="F274" s="3"/>
      <c r="G274" s="3"/>
    </row>
    <row r="275" spans="1:7" x14ac:dyDescent="0.2">
      <c r="A275" s="5"/>
      <c r="B275" s="3"/>
      <c r="C275" s="3"/>
      <c r="D275" s="3"/>
      <c r="E275" s="3"/>
      <c r="F275" s="3"/>
      <c r="G275" s="3"/>
    </row>
    <row r="276" spans="1:7" x14ac:dyDescent="0.2">
      <c r="A276" s="5"/>
      <c r="B276" s="3"/>
      <c r="C276" s="3"/>
      <c r="D276" s="3"/>
      <c r="E276" s="3"/>
      <c r="F276" s="3"/>
      <c r="G276" s="3"/>
    </row>
    <row r="277" spans="1:7" x14ac:dyDescent="0.2">
      <c r="A277" s="5"/>
      <c r="B277" s="3"/>
      <c r="C277" s="3"/>
      <c r="D277" s="3"/>
      <c r="E277" s="3"/>
      <c r="F277" s="3"/>
      <c r="G277" s="3"/>
    </row>
    <row r="278" spans="1:7" x14ac:dyDescent="0.2">
      <c r="A278" s="5"/>
      <c r="B278" s="3"/>
      <c r="C278" s="3"/>
      <c r="D278" s="3"/>
      <c r="E278" s="3"/>
      <c r="F278" s="3"/>
      <c r="G278" s="3"/>
    </row>
    <row r="279" spans="1:7" x14ac:dyDescent="0.2">
      <c r="A279" s="5"/>
      <c r="B279" s="3"/>
      <c r="C279" s="3"/>
      <c r="D279" s="3"/>
      <c r="E279" s="3"/>
      <c r="F279" s="3"/>
      <c r="G279" s="3"/>
    </row>
    <row r="280" spans="1:7" x14ac:dyDescent="0.2">
      <c r="A280" s="5"/>
      <c r="B280" s="3"/>
      <c r="C280" s="3"/>
      <c r="D280" s="3"/>
      <c r="E280" s="3"/>
      <c r="F280" s="3"/>
      <c r="G280" s="3"/>
    </row>
    <row r="281" spans="1:7" x14ac:dyDescent="0.2">
      <c r="A281" s="5"/>
      <c r="B281" s="3"/>
      <c r="C281" s="3"/>
      <c r="D281" s="3"/>
      <c r="E281" s="3"/>
      <c r="F281" s="3"/>
      <c r="G281" s="3"/>
    </row>
    <row r="282" spans="1:7" x14ac:dyDescent="0.2">
      <c r="A282" s="5"/>
      <c r="B282" s="3"/>
      <c r="C282" s="3"/>
      <c r="D282" s="3"/>
      <c r="E282" s="3"/>
      <c r="F282" s="3"/>
      <c r="G282" s="3"/>
    </row>
    <row r="283" spans="1:7" x14ac:dyDescent="0.2">
      <c r="A283" s="5"/>
      <c r="B283" s="3"/>
      <c r="C283" s="3"/>
      <c r="D283" s="3"/>
      <c r="E283" s="3"/>
      <c r="F283" s="3"/>
      <c r="G283" s="3"/>
    </row>
    <row r="284" spans="1:7" x14ac:dyDescent="0.2">
      <c r="A284" s="5"/>
      <c r="B284" s="3"/>
      <c r="C284" s="3"/>
      <c r="D284" s="3"/>
      <c r="E284" s="3"/>
      <c r="F284" s="3"/>
      <c r="G284" s="3"/>
    </row>
    <row r="285" spans="1:7" x14ac:dyDescent="0.2">
      <c r="A285" s="5"/>
      <c r="B285" s="3"/>
      <c r="C285" s="3"/>
      <c r="D285" s="3"/>
      <c r="E285" s="3"/>
      <c r="F285" s="3"/>
      <c r="G285" s="3"/>
    </row>
    <row r="286" spans="1:7" x14ac:dyDescent="0.2">
      <c r="A286" s="5"/>
      <c r="B286" s="3"/>
      <c r="C286" s="3"/>
      <c r="D286" s="3"/>
      <c r="E286" s="3"/>
      <c r="F286" s="3"/>
      <c r="G286" s="3"/>
    </row>
    <row r="287" spans="1:7" x14ac:dyDescent="0.2">
      <c r="A287" s="5"/>
      <c r="B287" s="3"/>
      <c r="C287" s="3"/>
      <c r="D287" s="3"/>
      <c r="E287" s="3"/>
      <c r="F287" s="3"/>
      <c r="G287" s="3"/>
    </row>
    <row r="288" spans="1:7" x14ac:dyDescent="0.2">
      <c r="A288" s="5"/>
      <c r="B288" s="3"/>
      <c r="C288" s="3"/>
      <c r="D288" s="3"/>
      <c r="E288" s="3"/>
      <c r="F288" s="3"/>
      <c r="G288" s="3"/>
    </row>
    <row r="289" spans="1:7" x14ac:dyDescent="0.2">
      <c r="A289" s="5"/>
      <c r="B289" s="3"/>
      <c r="C289" s="3"/>
      <c r="D289" s="3"/>
      <c r="E289" s="3"/>
      <c r="F289" s="3"/>
      <c r="G289" s="3"/>
    </row>
    <row r="290" spans="1:7" x14ac:dyDescent="0.2">
      <c r="A290" s="5"/>
      <c r="B290" s="3"/>
      <c r="C290" s="3"/>
      <c r="D290" s="3"/>
      <c r="E290" s="3"/>
      <c r="F290" s="3"/>
      <c r="G290" s="3"/>
    </row>
    <row r="291" spans="1:7" x14ac:dyDescent="0.2">
      <c r="A291" s="5"/>
      <c r="B291" s="3"/>
      <c r="C291" s="3"/>
      <c r="D291" s="3"/>
      <c r="E291" s="3"/>
      <c r="F291" s="3"/>
      <c r="G291" s="3"/>
    </row>
    <row r="292" spans="1:7" x14ac:dyDescent="0.2">
      <c r="A292" s="5"/>
      <c r="B292" s="3"/>
      <c r="C292" s="3"/>
      <c r="D292" s="3"/>
      <c r="E292" s="3"/>
      <c r="F292" s="3"/>
      <c r="G292" s="3"/>
    </row>
    <row r="293" spans="1:7" x14ac:dyDescent="0.2">
      <c r="A293" s="5"/>
      <c r="B293" s="3"/>
      <c r="C293" s="3"/>
      <c r="D293" s="3"/>
      <c r="E293" s="3"/>
      <c r="F293" s="3"/>
      <c r="G293" s="3"/>
    </row>
    <row r="294" spans="1:7" x14ac:dyDescent="0.2">
      <c r="A294" s="5"/>
      <c r="B294" s="3"/>
      <c r="C294" s="3"/>
      <c r="D294" s="3"/>
      <c r="E294" s="3"/>
      <c r="F294" s="3"/>
      <c r="G294" s="3"/>
    </row>
    <row r="295" spans="1:7" x14ac:dyDescent="0.2">
      <c r="A295" s="5"/>
      <c r="B295" s="3"/>
      <c r="C295" s="3"/>
      <c r="D295" s="3"/>
      <c r="E295" s="3"/>
      <c r="F295" s="3"/>
      <c r="G295" s="3"/>
    </row>
    <row r="296" spans="1:7" x14ac:dyDescent="0.2">
      <c r="A296" s="5"/>
      <c r="B296" s="3"/>
      <c r="C296" s="3"/>
      <c r="D296" s="3"/>
      <c r="E296" s="3"/>
      <c r="F296" s="3"/>
      <c r="G296" s="3"/>
    </row>
    <row r="297" spans="1:7" x14ac:dyDescent="0.2">
      <c r="A297" s="5"/>
      <c r="B297" s="3"/>
      <c r="C297" s="3"/>
      <c r="D297" s="3"/>
      <c r="E297" s="3"/>
      <c r="F297" s="3"/>
      <c r="G297" s="3"/>
    </row>
    <row r="298" spans="1:7" x14ac:dyDescent="0.2">
      <c r="A298" s="5"/>
      <c r="B298" s="3"/>
      <c r="C298" s="3"/>
      <c r="D298" s="3"/>
      <c r="E298" s="3"/>
      <c r="F298" s="3"/>
      <c r="G298" s="3"/>
    </row>
    <row r="299" spans="1:7" x14ac:dyDescent="0.2">
      <c r="A299" s="5"/>
      <c r="B299" s="3"/>
      <c r="C299" s="3"/>
      <c r="D299" s="3"/>
      <c r="E299" s="3"/>
      <c r="F299" s="3"/>
      <c r="G299" s="3"/>
    </row>
    <row r="300" spans="1:7" x14ac:dyDescent="0.2">
      <c r="A300" s="5"/>
      <c r="B300" s="3"/>
      <c r="C300" s="3"/>
      <c r="D300" s="3"/>
      <c r="E300" s="3"/>
      <c r="F300" s="3"/>
      <c r="G300" s="3"/>
    </row>
    <row r="301" spans="1:7" x14ac:dyDescent="0.2">
      <c r="A301" s="5"/>
      <c r="B301" s="3"/>
      <c r="C301" s="3"/>
      <c r="D301" s="3"/>
      <c r="E301" s="3"/>
      <c r="F301" s="3"/>
      <c r="G301" s="3"/>
    </row>
    <row r="302" spans="1:7" x14ac:dyDescent="0.2">
      <c r="A302" s="5"/>
      <c r="B302" s="3"/>
      <c r="C302" s="3"/>
      <c r="D302" s="3"/>
      <c r="E302" s="3"/>
      <c r="F302" s="3"/>
      <c r="G302" s="3"/>
    </row>
    <row r="303" spans="1:7" x14ac:dyDescent="0.2">
      <c r="A303" s="5"/>
      <c r="B303" s="3"/>
      <c r="C303" s="3"/>
      <c r="D303" s="3"/>
      <c r="E303" s="3"/>
      <c r="F303" s="3"/>
      <c r="G303" s="3"/>
    </row>
    <row r="304" spans="1:7" x14ac:dyDescent="0.2">
      <c r="A304" s="5"/>
      <c r="B304" s="3"/>
      <c r="C304" s="3"/>
      <c r="D304" s="3"/>
      <c r="E304" s="3"/>
      <c r="F304" s="3"/>
      <c r="G304" s="3"/>
    </row>
    <row r="305" spans="1:7" x14ac:dyDescent="0.2">
      <c r="A305" s="5"/>
      <c r="B305" s="3"/>
      <c r="C305" s="3"/>
      <c r="D305" s="3"/>
      <c r="E305" s="3"/>
      <c r="F305" s="3"/>
      <c r="G305" s="3"/>
    </row>
    <row r="306" spans="1:7" x14ac:dyDescent="0.2">
      <c r="A306" s="5"/>
      <c r="B306" s="3"/>
      <c r="C306" s="3"/>
      <c r="D306" s="3"/>
      <c r="E306" s="3"/>
      <c r="F306" s="3"/>
      <c r="G306" s="3"/>
    </row>
    <row r="307" spans="1:7" x14ac:dyDescent="0.2">
      <c r="A307" s="5"/>
      <c r="B307" s="3"/>
      <c r="C307" s="3"/>
      <c r="D307" s="3"/>
      <c r="E307" s="3"/>
      <c r="F307" s="3"/>
      <c r="G307" s="3"/>
    </row>
    <row r="308" spans="1:7" x14ac:dyDescent="0.2">
      <c r="A308" s="5"/>
      <c r="B308" s="3"/>
      <c r="C308" s="3"/>
      <c r="D308" s="3"/>
      <c r="E308" s="3"/>
      <c r="F308" s="3"/>
      <c r="G308" s="3"/>
    </row>
    <row r="309" spans="1:7" x14ac:dyDescent="0.2">
      <c r="A309" s="5"/>
      <c r="B309" s="3"/>
      <c r="C309" s="3"/>
      <c r="D309" s="3"/>
      <c r="E309" s="3"/>
      <c r="F309" s="3"/>
      <c r="G309" s="3"/>
    </row>
    <row r="310" spans="1:7" x14ac:dyDescent="0.2">
      <c r="A310" s="5"/>
      <c r="B310" s="3"/>
      <c r="C310" s="3"/>
      <c r="D310" s="3"/>
      <c r="E310" s="3"/>
      <c r="F310" s="3"/>
      <c r="G310" s="3"/>
    </row>
    <row r="311" spans="1:7" x14ac:dyDescent="0.2">
      <c r="A311" s="5"/>
      <c r="B311" s="3"/>
      <c r="C311" s="3"/>
      <c r="D311" s="3"/>
      <c r="E311" s="3"/>
      <c r="F311" s="3"/>
      <c r="G311" s="3"/>
    </row>
    <row r="312" spans="1:7" x14ac:dyDescent="0.2">
      <c r="A312" s="5"/>
      <c r="B312" s="3"/>
      <c r="C312" s="3"/>
      <c r="D312" s="3"/>
      <c r="E312" s="3"/>
      <c r="F312" s="3"/>
      <c r="G312" s="3"/>
    </row>
    <row r="313" spans="1:7" x14ac:dyDescent="0.2">
      <c r="A313" s="5"/>
      <c r="B313" s="3"/>
      <c r="C313" s="3"/>
      <c r="D313" s="3"/>
      <c r="E313" s="3"/>
      <c r="F313" s="3"/>
      <c r="G313" s="3"/>
    </row>
    <row r="314" spans="1:7" x14ac:dyDescent="0.2">
      <c r="A314" s="5"/>
      <c r="B314" s="3"/>
      <c r="C314" s="3"/>
      <c r="D314" s="3"/>
      <c r="E314" s="3"/>
      <c r="F314" s="3"/>
      <c r="G314" s="3"/>
    </row>
    <row r="315" spans="1:7" x14ac:dyDescent="0.2">
      <c r="A315" s="5"/>
      <c r="B315" s="3"/>
      <c r="C315" s="3"/>
      <c r="D315" s="3"/>
      <c r="E315" s="3"/>
      <c r="F315" s="3"/>
      <c r="G315" s="3"/>
    </row>
    <row r="316" spans="1:7" x14ac:dyDescent="0.2">
      <c r="A316" s="5"/>
      <c r="B316" s="3"/>
      <c r="C316" s="3"/>
      <c r="D316" s="3"/>
      <c r="E316" s="3"/>
      <c r="F316" s="3"/>
      <c r="G316" s="3"/>
    </row>
    <row r="317" spans="1:7" x14ac:dyDescent="0.2">
      <c r="A317" s="5"/>
      <c r="B317" s="3"/>
      <c r="C317" s="3"/>
      <c r="D317" s="3"/>
      <c r="E317" s="3"/>
      <c r="F317" s="3"/>
      <c r="G317" s="3"/>
    </row>
    <row r="318" spans="1:7" x14ac:dyDescent="0.2">
      <c r="A318" s="5"/>
      <c r="B318" s="3"/>
      <c r="C318" s="3"/>
      <c r="D318" s="3"/>
      <c r="E318" s="3"/>
      <c r="F318" s="3"/>
      <c r="G318" s="3"/>
    </row>
    <row r="319" spans="1:7" x14ac:dyDescent="0.2">
      <c r="A319" s="5"/>
      <c r="B319" s="3"/>
      <c r="C319" s="3"/>
      <c r="D319" s="3"/>
      <c r="E319" s="3"/>
      <c r="F319" s="3"/>
      <c r="G319" s="3"/>
    </row>
    <row r="320" spans="1:7" x14ac:dyDescent="0.2">
      <c r="A320" s="5"/>
      <c r="B320" s="3"/>
      <c r="C320" s="3"/>
      <c r="D320" s="3"/>
      <c r="E320" s="3"/>
      <c r="F320" s="3"/>
      <c r="G320" s="3"/>
    </row>
    <row r="321" spans="1:7" x14ac:dyDescent="0.2">
      <c r="A321" s="5"/>
      <c r="B321" s="3"/>
      <c r="C321" s="3"/>
      <c r="D321" s="3"/>
      <c r="E321" s="3"/>
      <c r="F321" s="3"/>
      <c r="G321" s="3"/>
    </row>
    <row r="322" spans="1:7" x14ac:dyDescent="0.2">
      <c r="A322" s="5"/>
      <c r="B322" s="3"/>
      <c r="C322" s="3"/>
      <c r="D322" s="3"/>
      <c r="E322" s="3"/>
      <c r="F322" s="3"/>
      <c r="G322" s="3"/>
    </row>
    <row r="323" spans="1:7" x14ac:dyDescent="0.2">
      <c r="A323" s="5"/>
      <c r="B323" s="3"/>
      <c r="C323" s="3"/>
      <c r="D323" s="3"/>
      <c r="E323" s="3"/>
      <c r="F323" s="3"/>
      <c r="G323" s="3"/>
    </row>
    <row r="324" spans="1:7" x14ac:dyDescent="0.2">
      <c r="A324" s="5"/>
      <c r="B324" s="3"/>
      <c r="C324" s="3"/>
      <c r="D324" s="3"/>
      <c r="E324" s="3"/>
      <c r="F324" s="3"/>
      <c r="G324" s="3"/>
    </row>
    <row r="325" spans="1:7" x14ac:dyDescent="0.2">
      <c r="A325" s="5"/>
      <c r="B325" s="3"/>
      <c r="C325" s="3"/>
      <c r="D325" s="3"/>
      <c r="E325" s="3"/>
      <c r="F325" s="3"/>
      <c r="G325" s="3"/>
    </row>
    <row r="326" spans="1:7" x14ac:dyDescent="0.2">
      <c r="A326" s="5"/>
      <c r="B326" s="3"/>
      <c r="C326" s="3"/>
      <c r="D326" s="3"/>
      <c r="E326" s="3"/>
      <c r="F326" s="3"/>
      <c r="G326" s="3"/>
    </row>
    <row r="327" spans="1:7" x14ac:dyDescent="0.2">
      <c r="A327" s="5"/>
      <c r="B327" s="3"/>
      <c r="C327" s="3"/>
      <c r="D327" s="3"/>
      <c r="E327" s="3"/>
      <c r="F327" s="3"/>
      <c r="G327" s="3"/>
    </row>
    <row r="328" spans="1:7" x14ac:dyDescent="0.2">
      <c r="A328" s="5"/>
      <c r="B328" s="3"/>
      <c r="C328" s="3"/>
      <c r="D328" s="3"/>
      <c r="E328" s="3"/>
      <c r="F328" s="3"/>
      <c r="G328" s="3"/>
    </row>
    <row r="329" spans="1:7" x14ac:dyDescent="0.2">
      <c r="A329" s="5"/>
      <c r="B329" s="3"/>
      <c r="C329" s="3"/>
      <c r="D329" s="3"/>
      <c r="E329" s="3"/>
      <c r="F329" s="3"/>
      <c r="G329" s="3"/>
    </row>
    <row r="330" spans="1:7" x14ac:dyDescent="0.2">
      <c r="A330" s="5"/>
      <c r="B330" s="3"/>
      <c r="C330" s="3"/>
      <c r="D330" s="3"/>
      <c r="E330" s="3"/>
      <c r="F330" s="3"/>
      <c r="G330" s="3"/>
    </row>
    <row r="331" spans="1:7" x14ac:dyDescent="0.2">
      <c r="A331" s="5"/>
      <c r="B331" s="3"/>
      <c r="C331" s="3"/>
      <c r="D331" s="3"/>
      <c r="E331" s="3"/>
      <c r="F331" s="3"/>
      <c r="G331" s="3"/>
    </row>
    <row r="332" spans="1:7" x14ac:dyDescent="0.2">
      <c r="A332" s="5"/>
      <c r="B332" s="3"/>
      <c r="C332" s="3"/>
      <c r="D332" s="3"/>
      <c r="E332" s="3"/>
      <c r="F332" s="3"/>
      <c r="G332" s="3"/>
    </row>
    <row r="333" spans="1:7" x14ac:dyDescent="0.2">
      <c r="A333" s="5"/>
      <c r="B333" s="3"/>
      <c r="C333" s="3"/>
      <c r="D333" s="3"/>
      <c r="E333" s="3"/>
      <c r="F333" s="3"/>
      <c r="G333" s="3"/>
    </row>
    <row r="334" spans="1:7" x14ac:dyDescent="0.2">
      <c r="A334" s="5"/>
      <c r="B334" s="3"/>
      <c r="C334" s="3"/>
      <c r="D334" s="3"/>
      <c r="E334" s="3"/>
      <c r="F334" s="3"/>
      <c r="G334" s="3"/>
    </row>
    <row r="335" spans="1:7" x14ac:dyDescent="0.2">
      <c r="A335" s="5"/>
      <c r="B335" s="3"/>
      <c r="C335" s="3"/>
      <c r="D335" s="3"/>
      <c r="E335" s="3"/>
      <c r="F335" s="3"/>
      <c r="G335" s="3"/>
    </row>
    <row r="336" spans="1:7" x14ac:dyDescent="0.2">
      <c r="A336" s="5"/>
      <c r="B336" s="3"/>
      <c r="C336" s="3"/>
      <c r="D336" s="3"/>
      <c r="E336" s="3"/>
      <c r="F336" s="3"/>
      <c r="G336" s="3"/>
    </row>
    <row r="337" spans="1:7" x14ac:dyDescent="0.2">
      <c r="A337" s="5"/>
      <c r="B337" s="3"/>
      <c r="C337" s="3"/>
      <c r="D337" s="3"/>
      <c r="E337" s="3"/>
      <c r="F337" s="3"/>
      <c r="G337" s="3"/>
    </row>
    <row r="338" spans="1:7" x14ac:dyDescent="0.2">
      <c r="A338" s="5"/>
      <c r="B338" s="3"/>
      <c r="C338" s="3"/>
      <c r="D338" s="3"/>
      <c r="E338" s="3"/>
      <c r="F338" s="3"/>
      <c r="G338" s="3"/>
    </row>
    <row r="339" spans="1:7" x14ac:dyDescent="0.2">
      <c r="A339" s="5"/>
      <c r="B339" s="3"/>
      <c r="C339" s="3"/>
      <c r="D339" s="3"/>
      <c r="E339" s="3"/>
      <c r="F339" s="3"/>
      <c r="G339" s="3"/>
    </row>
    <row r="340" spans="1:7" x14ac:dyDescent="0.2">
      <c r="A340" s="5"/>
      <c r="B340" s="3"/>
      <c r="C340" s="3"/>
      <c r="D340" s="3"/>
      <c r="E340" s="3"/>
      <c r="F340" s="3"/>
      <c r="G340" s="3"/>
    </row>
    <row r="341" spans="1:7" x14ac:dyDescent="0.2">
      <c r="A341" s="5"/>
      <c r="B341" s="3"/>
      <c r="C341" s="3"/>
      <c r="D341" s="3"/>
      <c r="E341" s="3"/>
      <c r="F341" s="3"/>
      <c r="G341" s="3"/>
    </row>
    <row r="342" spans="1:7" x14ac:dyDescent="0.2">
      <c r="A342" s="5"/>
      <c r="B342" s="3"/>
      <c r="C342" s="3"/>
      <c r="D342" s="3"/>
      <c r="E342" s="3"/>
      <c r="F342" s="3"/>
      <c r="G342" s="3"/>
    </row>
    <row r="343" spans="1:7" x14ac:dyDescent="0.2">
      <c r="A343" s="5"/>
      <c r="B343" s="3"/>
      <c r="C343" s="3"/>
      <c r="D343" s="3"/>
      <c r="E343" s="3"/>
      <c r="F343" s="3"/>
      <c r="G343" s="3"/>
    </row>
    <row r="344" spans="1:7" x14ac:dyDescent="0.2">
      <c r="A344" s="5"/>
      <c r="B344" s="3"/>
      <c r="C344" s="3"/>
      <c r="D344" s="3"/>
      <c r="E344" s="3"/>
      <c r="F344" s="3"/>
      <c r="G344" s="3"/>
    </row>
    <row r="345" spans="1:7" x14ac:dyDescent="0.2">
      <c r="A345" s="5"/>
      <c r="B345" s="3"/>
      <c r="C345" s="3"/>
      <c r="D345" s="3"/>
      <c r="E345" s="3"/>
      <c r="F345" s="3"/>
      <c r="G345" s="3"/>
    </row>
    <row r="346" spans="1:7" x14ac:dyDescent="0.2">
      <c r="A346" s="5"/>
      <c r="B346" s="3"/>
      <c r="C346" s="3"/>
      <c r="D346" s="3"/>
      <c r="E346" s="3"/>
      <c r="F346" s="3"/>
      <c r="G346" s="3"/>
    </row>
    <row r="347" spans="1:7" x14ac:dyDescent="0.2">
      <c r="A347" s="5"/>
      <c r="B347" s="3"/>
      <c r="C347" s="3"/>
      <c r="D347" s="3"/>
      <c r="E347" s="3"/>
      <c r="F347" s="3"/>
      <c r="G347" s="3"/>
    </row>
    <row r="348" spans="1:7" x14ac:dyDescent="0.2">
      <c r="A348" s="5"/>
      <c r="B348" s="3"/>
      <c r="C348" s="3"/>
      <c r="D348" s="3"/>
      <c r="E348" s="3"/>
      <c r="F348" s="3"/>
      <c r="G348" s="3"/>
    </row>
    <row r="349" spans="1:7" x14ac:dyDescent="0.2">
      <c r="A349" s="5"/>
      <c r="B349" s="3"/>
      <c r="C349" s="3"/>
      <c r="D349" s="3"/>
      <c r="E349" s="3"/>
      <c r="F349" s="3"/>
      <c r="G349" s="3"/>
    </row>
    <row r="350" spans="1:7" x14ac:dyDescent="0.2">
      <c r="A350" s="5"/>
      <c r="B350" s="3"/>
      <c r="C350" s="3"/>
      <c r="D350" s="3"/>
      <c r="E350" s="3"/>
      <c r="F350" s="3"/>
      <c r="G350" s="3"/>
    </row>
    <row r="351" spans="1:7" x14ac:dyDescent="0.2">
      <c r="A351" s="5"/>
      <c r="B351" s="3"/>
      <c r="C351" s="3"/>
      <c r="D351" s="3"/>
      <c r="E351" s="3"/>
      <c r="F351" s="3"/>
      <c r="G351" s="3"/>
    </row>
    <row r="352" spans="1:7" x14ac:dyDescent="0.2">
      <c r="A352" s="5"/>
      <c r="B352" s="3"/>
      <c r="C352" s="3"/>
      <c r="D352" s="3"/>
      <c r="E352" s="3"/>
      <c r="F352" s="3"/>
      <c r="G352" s="3"/>
    </row>
    <row r="353" spans="1:7" x14ac:dyDescent="0.2">
      <c r="A353" s="5"/>
      <c r="B353" s="3"/>
      <c r="C353" s="3"/>
      <c r="D353" s="3"/>
      <c r="E353" s="3"/>
      <c r="F353" s="3"/>
      <c r="G353" s="3"/>
    </row>
    <row r="354" spans="1:7" x14ac:dyDescent="0.2">
      <c r="A354" s="5"/>
      <c r="B354" s="3"/>
      <c r="C354" s="3"/>
      <c r="D354" s="3"/>
      <c r="E354" s="3"/>
      <c r="F354" s="3"/>
      <c r="G354" s="3"/>
    </row>
    <row r="355" spans="1:7" x14ac:dyDescent="0.2">
      <c r="A355" s="5"/>
      <c r="B355" s="3"/>
      <c r="C355" s="3"/>
      <c r="D355" s="3"/>
      <c r="E355" s="3"/>
      <c r="F355" s="3"/>
      <c r="G355" s="3"/>
    </row>
    <row r="356" spans="1:7" x14ac:dyDescent="0.2">
      <c r="A356" s="5"/>
      <c r="B356" s="3"/>
      <c r="C356" s="3"/>
      <c r="D356" s="3"/>
      <c r="E356" s="3"/>
      <c r="F356" s="3"/>
      <c r="G356" s="3"/>
    </row>
    <row r="357" spans="1:7" x14ac:dyDescent="0.2">
      <c r="A357" s="5"/>
      <c r="B357" s="3"/>
      <c r="C357" s="3"/>
      <c r="D357" s="3"/>
      <c r="E357" s="3"/>
      <c r="F357" s="3"/>
      <c r="G357" s="3"/>
    </row>
    <row r="358" spans="1:7" x14ac:dyDescent="0.2">
      <c r="A358" s="5"/>
      <c r="B358" s="3"/>
      <c r="C358" s="3"/>
      <c r="D358" s="3"/>
      <c r="E358" s="3"/>
      <c r="F358" s="3"/>
      <c r="G358" s="3"/>
    </row>
    <row r="359" spans="1:7" x14ac:dyDescent="0.2">
      <c r="A359" s="5"/>
      <c r="B359" s="3"/>
      <c r="C359" s="3"/>
      <c r="D359" s="3"/>
      <c r="E359" s="3"/>
      <c r="F359" s="3"/>
      <c r="G359" s="3"/>
    </row>
    <row r="360" spans="1:7" x14ac:dyDescent="0.2">
      <c r="A360" s="5"/>
      <c r="B360" s="3"/>
      <c r="C360" s="3"/>
      <c r="D360" s="3"/>
      <c r="E360" s="3"/>
      <c r="F360" s="3"/>
      <c r="G360" s="3"/>
    </row>
    <row r="361" spans="1:7" x14ac:dyDescent="0.2">
      <c r="A361" s="5"/>
      <c r="B361" s="3"/>
      <c r="C361" s="3"/>
      <c r="D361" s="3"/>
      <c r="E361" s="3"/>
      <c r="F361" s="3"/>
      <c r="G361" s="3"/>
    </row>
    <row r="362" spans="1:7" x14ac:dyDescent="0.2">
      <c r="A362" s="5"/>
      <c r="B362" s="3"/>
      <c r="C362" s="3"/>
      <c r="D362" s="3"/>
      <c r="E362" s="3"/>
      <c r="F362" s="3"/>
      <c r="G362" s="3"/>
    </row>
    <row r="363" spans="1:7" x14ac:dyDescent="0.2">
      <c r="A363" s="5"/>
      <c r="B363" s="3"/>
      <c r="C363" s="3"/>
      <c r="D363" s="3"/>
      <c r="E363" s="3"/>
      <c r="F363" s="3"/>
      <c r="G363" s="3"/>
    </row>
    <row r="364" spans="1:7" x14ac:dyDescent="0.2">
      <c r="A364" s="5"/>
      <c r="B364" s="3"/>
      <c r="C364" s="3"/>
      <c r="D364" s="3"/>
      <c r="E364" s="3"/>
      <c r="F364" s="3"/>
      <c r="G364" s="3"/>
    </row>
    <row r="365" spans="1:7" x14ac:dyDescent="0.2">
      <c r="A365" s="5"/>
      <c r="B365" s="3"/>
      <c r="C365" s="3"/>
      <c r="D365" s="3"/>
      <c r="E365" s="3"/>
      <c r="F365" s="3"/>
      <c r="G365" s="3"/>
    </row>
    <row r="366" spans="1:7" x14ac:dyDescent="0.2">
      <c r="A366" s="5"/>
      <c r="B366" s="3"/>
      <c r="C366" s="3"/>
      <c r="D366" s="3"/>
      <c r="E366" s="3"/>
      <c r="F366" s="3"/>
      <c r="G366" s="3"/>
    </row>
    <row r="367" spans="1:7" x14ac:dyDescent="0.2">
      <c r="A367" s="5"/>
      <c r="B367" s="3"/>
      <c r="C367" s="3"/>
      <c r="D367" s="3"/>
      <c r="E367" s="3"/>
      <c r="F367" s="3"/>
      <c r="G367" s="3"/>
    </row>
    <row r="368" spans="1:7" x14ac:dyDescent="0.2">
      <c r="A368" s="5"/>
      <c r="B368" s="3"/>
      <c r="C368" s="3"/>
      <c r="D368" s="3"/>
      <c r="E368" s="3"/>
      <c r="F368" s="3"/>
      <c r="G368" s="3"/>
    </row>
    <row r="369" spans="1:7" x14ac:dyDescent="0.2">
      <c r="A369" s="5"/>
      <c r="B369" s="3"/>
      <c r="C369" s="3"/>
      <c r="D369" s="3"/>
      <c r="E369" s="3"/>
      <c r="F369" s="3"/>
      <c r="G369" s="3"/>
    </row>
    <row r="370" spans="1:7" x14ac:dyDescent="0.2">
      <c r="A370" s="5"/>
      <c r="B370" s="3"/>
      <c r="C370" s="3"/>
      <c r="D370" s="3"/>
      <c r="E370" s="3"/>
      <c r="F370" s="3"/>
      <c r="G370" s="3"/>
    </row>
    <row r="371" spans="1:7" x14ac:dyDescent="0.2">
      <c r="A371" s="5"/>
      <c r="B371" s="3"/>
      <c r="C371" s="3"/>
      <c r="D371" s="3"/>
      <c r="E371" s="3"/>
      <c r="F371" s="3"/>
      <c r="G371" s="3"/>
    </row>
    <row r="372" spans="1:7" x14ac:dyDescent="0.2">
      <c r="A372" s="5"/>
      <c r="B372" s="3"/>
      <c r="C372" s="3"/>
      <c r="D372" s="3"/>
      <c r="E372" s="3"/>
      <c r="F372" s="3"/>
      <c r="G372" s="3"/>
    </row>
    <row r="373" spans="1:7" x14ac:dyDescent="0.2">
      <c r="A373" s="5"/>
      <c r="B373" s="3"/>
      <c r="C373" s="3"/>
      <c r="D373" s="3"/>
      <c r="E373" s="3"/>
      <c r="F373" s="3"/>
      <c r="G373" s="3"/>
    </row>
    <row r="374" spans="1:7" x14ac:dyDescent="0.2">
      <c r="A374" s="5"/>
      <c r="B374" s="3"/>
      <c r="C374" s="3"/>
      <c r="D374" s="3"/>
      <c r="E374" s="3"/>
      <c r="F374" s="3"/>
      <c r="G374" s="3"/>
    </row>
    <row r="375" spans="1:7" x14ac:dyDescent="0.2">
      <c r="A375" s="5"/>
      <c r="B375" s="3"/>
      <c r="C375" s="3"/>
      <c r="D375" s="3"/>
      <c r="E375" s="3"/>
      <c r="F375" s="3"/>
      <c r="G375" s="3"/>
    </row>
    <row r="376" spans="1:7" x14ac:dyDescent="0.2">
      <c r="A376" s="5"/>
      <c r="B376" s="3"/>
      <c r="C376" s="3"/>
      <c r="D376" s="3"/>
      <c r="E376" s="3"/>
      <c r="F376" s="3"/>
      <c r="G376" s="3"/>
    </row>
    <row r="377" spans="1:7" x14ac:dyDescent="0.2">
      <c r="A377" s="5"/>
      <c r="B377" s="3"/>
      <c r="C377" s="3"/>
      <c r="D377" s="3"/>
      <c r="E377" s="3"/>
      <c r="F377" s="3"/>
      <c r="G377" s="3"/>
    </row>
    <row r="378" spans="1:7" x14ac:dyDescent="0.2">
      <c r="A378" s="5"/>
      <c r="B378" s="3"/>
      <c r="C378" s="3"/>
      <c r="D378" s="3"/>
      <c r="E378" s="3"/>
      <c r="F378" s="3"/>
      <c r="G378" s="3"/>
    </row>
    <row r="379" spans="1:7" x14ac:dyDescent="0.2">
      <c r="A379" s="5"/>
      <c r="B379" s="3"/>
      <c r="C379" s="3"/>
      <c r="D379" s="3"/>
      <c r="E379" s="3"/>
      <c r="F379" s="3"/>
      <c r="G379" s="3"/>
    </row>
    <row r="380" spans="1:7" x14ac:dyDescent="0.2">
      <c r="A380" s="5"/>
      <c r="B380" s="3"/>
      <c r="C380" s="3"/>
      <c r="D380" s="3"/>
      <c r="E380" s="3"/>
      <c r="F380" s="3"/>
      <c r="G380" s="3"/>
    </row>
    <row r="381" spans="1:7" x14ac:dyDescent="0.2">
      <c r="A381" s="5"/>
      <c r="B381" s="3"/>
      <c r="C381" s="3"/>
      <c r="D381" s="3"/>
      <c r="E381" s="3"/>
      <c r="F381" s="3"/>
      <c r="G381" s="3"/>
    </row>
    <row r="382" spans="1:7" x14ac:dyDescent="0.2">
      <c r="A382" s="5"/>
      <c r="B382" s="3"/>
      <c r="C382" s="3"/>
      <c r="D382" s="3"/>
      <c r="E382" s="3"/>
      <c r="F382" s="3"/>
      <c r="G382" s="3"/>
    </row>
    <row r="383" spans="1:7" x14ac:dyDescent="0.2">
      <c r="A383" s="5"/>
      <c r="B383" s="3"/>
      <c r="C383" s="3"/>
      <c r="D383" s="3"/>
      <c r="E383" s="3"/>
      <c r="F383" s="3"/>
      <c r="G383" s="3"/>
    </row>
    <row r="384" spans="1:7" x14ac:dyDescent="0.2">
      <c r="A384" s="5"/>
      <c r="B384" s="3"/>
      <c r="C384" s="3"/>
      <c r="D384" s="3"/>
      <c r="E384" s="3"/>
      <c r="F384" s="3"/>
      <c r="G384" s="3"/>
    </row>
    <row r="385" spans="1:7" x14ac:dyDescent="0.2">
      <c r="A385" s="5"/>
      <c r="B385" s="3"/>
      <c r="C385" s="3"/>
      <c r="D385" s="3"/>
      <c r="E385" s="3"/>
      <c r="F385" s="3"/>
      <c r="G385" s="3"/>
    </row>
    <row r="386" spans="1:7" x14ac:dyDescent="0.2">
      <c r="A386" s="5"/>
      <c r="B386" s="3"/>
      <c r="C386" s="3"/>
      <c r="D386" s="3"/>
      <c r="E386" s="3"/>
      <c r="F386" s="3"/>
      <c r="G386" s="3"/>
    </row>
    <row r="387" spans="1:7" x14ac:dyDescent="0.2">
      <c r="A387" s="5"/>
      <c r="B387" s="3"/>
      <c r="C387" s="3"/>
      <c r="D387" s="3"/>
      <c r="E387" s="3"/>
      <c r="F387" s="3"/>
      <c r="G387" s="3"/>
    </row>
    <row r="388" spans="1:7" x14ac:dyDescent="0.2">
      <c r="A388" s="5"/>
      <c r="B388" s="3"/>
      <c r="C388" s="3"/>
      <c r="D388" s="3"/>
      <c r="E388" s="3"/>
      <c r="F388" s="3"/>
      <c r="G388" s="3"/>
    </row>
    <row r="389" spans="1:7" x14ac:dyDescent="0.2">
      <c r="A389" s="5"/>
      <c r="B389" s="3"/>
      <c r="C389" s="3"/>
      <c r="D389" s="3"/>
      <c r="E389" s="3"/>
      <c r="F389" s="3"/>
      <c r="G389" s="3"/>
    </row>
    <row r="390" spans="1:7" x14ac:dyDescent="0.2">
      <c r="A390" s="5"/>
      <c r="B390" s="3"/>
      <c r="C390" s="3"/>
      <c r="D390" s="3"/>
      <c r="E390" s="3"/>
      <c r="F390" s="3"/>
      <c r="G390" s="3"/>
    </row>
    <row r="391" spans="1:7" x14ac:dyDescent="0.2">
      <c r="A391" s="5"/>
      <c r="B391" s="3"/>
      <c r="C391" s="3"/>
      <c r="D391" s="3"/>
      <c r="E391" s="3"/>
      <c r="F391" s="3"/>
      <c r="G391" s="3"/>
    </row>
    <row r="392" spans="1:7" x14ac:dyDescent="0.2">
      <c r="A392" s="5"/>
      <c r="B392" s="3"/>
      <c r="C392" s="3"/>
      <c r="D392" s="3"/>
      <c r="E392" s="3"/>
      <c r="F392" s="3"/>
      <c r="G392" s="3"/>
    </row>
    <row r="393" spans="1:7" x14ac:dyDescent="0.2">
      <c r="A393" s="5"/>
      <c r="B393" s="3"/>
      <c r="C393" s="3"/>
      <c r="D393" s="3"/>
      <c r="E393" s="3"/>
      <c r="F393" s="3"/>
      <c r="G393" s="3"/>
    </row>
    <row r="394" spans="1:7" x14ac:dyDescent="0.2">
      <c r="A394" s="5"/>
      <c r="B394" s="3"/>
      <c r="C394" s="3"/>
      <c r="D394" s="3"/>
      <c r="E394" s="3"/>
      <c r="F394" s="3"/>
      <c r="G394" s="3"/>
    </row>
    <row r="395" spans="1:7" x14ac:dyDescent="0.2">
      <c r="A395" s="5"/>
      <c r="B395" s="3"/>
      <c r="C395" s="3"/>
      <c r="D395" s="3"/>
      <c r="E395" s="3"/>
      <c r="F395" s="3"/>
      <c r="G395" s="3"/>
    </row>
    <row r="396" spans="1:7" x14ac:dyDescent="0.2">
      <c r="A396" s="5"/>
      <c r="B396" s="3"/>
      <c r="C396" s="3"/>
      <c r="D396" s="3"/>
      <c r="E396" s="3"/>
      <c r="F396" s="3"/>
      <c r="G396" s="3"/>
    </row>
    <row r="397" spans="1:7" x14ac:dyDescent="0.2">
      <c r="A397" s="5"/>
      <c r="B397" s="3"/>
      <c r="C397" s="3"/>
      <c r="D397" s="3"/>
      <c r="E397" s="3"/>
      <c r="F397" s="3"/>
      <c r="G397" s="3"/>
    </row>
    <row r="398" spans="1:7" x14ac:dyDescent="0.2">
      <c r="A398" s="5"/>
      <c r="B398" s="3"/>
      <c r="C398" s="3"/>
      <c r="D398" s="3"/>
      <c r="E398" s="3"/>
      <c r="F398" s="3"/>
      <c r="G398" s="3"/>
    </row>
    <row r="399" spans="1:7" x14ac:dyDescent="0.2">
      <c r="A399" s="5"/>
      <c r="B399" s="3"/>
      <c r="C399" s="3"/>
      <c r="D399" s="3"/>
      <c r="E399" s="3"/>
      <c r="F399" s="3"/>
      <c r="G399" s="3"/>
    </row>
    <row r="400" spans="1:7" x14ac:dyDescent="0.2">
      <c r="A400" s="5"/>
      <c r="B400" s="3"/>
      <c r="C400" s="3"/>
      <c r="D400" s="3"/>
      <c r="E400" s="3"/>
      <c r="F400" s="3"/>
      <c r="G400" s="3"/>
    </row>
    <row r="401" spans="1:7" x14ac:dyDescent="0.2">
      <c r="A401" s="5"/>
      <c r="B401" s="3"/>
      <c r="C401" s="3"/>
      <c r="D401" s="3"/>
      <c r="E401" s="3"/>
      <c r="F401" s="3"/>
      <c r="G401" s="3"/>
    </row>
    <row r="402" spans="1:7" x14ac:dyDescent="0.2">
      <c r="A402" s="5"/>
      <c r="B402" s="3"/>
      <c r="C402" s="3"/>
      <c r="D402" s="3"/>
      <c r="E402" s="3"/>
      <c r="F402" s="3"/>
      <c r="G402" s="3"/>
    </row>
    <row r="403" spans="1:7" x14ac:dyDescent="0.2">
      <c r="A403" s="5"/>
      <c r="B403" s="3"/>
      <c r="C403" s="3"/>
      <c r="D403" s="3"/>
      <c r="E403" s="3"/>
      <c r="F403" s="3"/>
      <c r="G403" s="3"/>
    </row>
    <row r="404" spans="1:7" x14ac:dyDescent="0.2">
      <c r="A404" s="5"/>
      <c r="B404" s="3"/>
      <c r="C404" s="3"/>
      <c r="D404" s="3"/>
      <c r="E404" s="3"/>
      <c r="F404" s="3"/>
      <c r="G404" s="3"/>
    </row>
    <row r="405" spans="1:7" x14ac:dyDescent="0.2">
      <c r="A405" s="5"/>
      <c r="B405" s="3"/>
      <c r="C405" s="3"/>
      <c r="D405" s="3"/>
      <c r="E405" s="3"/>
      <c r="F405" s="3"/>
      <c r="G405" s="3"/>
    </row>
    <row r="406" spans="1:7" x14ac:dyDescent="0.2">
      <c r="A406" s="5"/>
      <c r="B406" s="3"/>
      <c r="C406" s="3"/>
      <c r="D406" s="3"/>
      <c r="E406" s="3"/>
      <c r="F406" s="3"/>
      <c r="G406" s="3"/>
    </row>
    <row r="407" spans="1:7" x14ac:dyDescent="0.2">
      <c r="A407" s="5"/>
      <c r="B407" s="3"/>
      <c r="C407" s="3"/>
      <c r="D407" s="3"/>
      <c r="E407" s="3"/>
      <c r="F407" s="3"/>
      <c r="G407" s="3"/>
    </row>
    <row r="408" spans="1:7" x14ac:dyDescent="0.2">
      <c r="A408" s="5"/>
      <c r="B408" s="3"/>
      <c r="C408" s="3"/>
      <c r="D408" s="3"/>
      <c r="E408" s="3"/>
      <c r="F408" s="3"/>
      <c r="G408" s="3"/>
    </row>
    <row r="409" spans="1:7" x14ac:dyDescent="0.2">
      <c r="A409" s="5"/>
      <c r="B409" s="3"/>
      <c r="C409" s="3"/>
      <c r="D409" s="3"/>
      <c r="E409" s="3"/>
      <c r="F409" s="3"/>
      <c r="G409" s="3"/>
    </row>
    <row r="410" spans="1:7" x14ac:dyDescent="0.2">
      <c r="A410" s="5"/>
      <c r="B410" s="3"/>
      <c r="C410" s="3"/>
      <c r="D410" s="3"/>
      <c r="E410" s="3"/>
      <c r="F410" s="3"/>
      <c r="G410" s="3"/>
    </row>
    <row r="411" spans="1:7" x14ac:dyDescent="0.2">
      <c r="A411" s="5"/>
      <c r="B411" s="3"/>
      <c r="C411" s="3"/>
      <c r="D411" s="3"/>
      <c r="E411" s="3"/>
      <c r="F411" s="3"/>
      <c r="G411" s="3"/>
    </row>
    <row r="412" spans="1:7" x14ac:dyDescent="0.2">
      <c r="A412" s="5"/>
      <c r="B412" s="3"/>
      <c r="C412" s="3"/>
      <c r="D412" s="3"/>
      <c r="E412" s="3"/>
      <c r="F412" s="3"/>
      <c r="G412" s="3"/>
    </row>
    <row r="413" spans="1:7" x14ac:dyDescent="0.2">
      <c r="A413" s="5"/>
      <c r="B413" s="3"/>
      <c r="C413" s="3"/>
      <c r="D413" s="3"/>
      <c r="E413" s="3"/>
      <c r="F413" s="3"/>
      <c r="G413" s="3"/>
    </row>
    <row r="414" spans="1:7" x14ac:dyDescent="0.2">
      <c r="A414" s="5"/>
      <c r="B414" s="3"/>
      <c r="C414" s="3"/>
      <c r="D414" s="3"/>
      <c r="E414" s="3"/>
      <c r="F414" s="3"/>
      <c r="G414" s="3"/>
    </row>
    <row r="415" spans="1:7" x14ac:dyDescent="0.2">
      <c r="A415" s="5"/>
      <c r="B415" s="3"/>
      <c r="C415" s="3"/>
      <c r="D415" s="3"/>
      <c r="E415" s="3"/>
      <c r="F415" s="3"/>
      <c r="G415" s="3"/>
    </row>
    <row r="416" spans="1:7" x14ac:dyDescent="0.2">
      <c r="A416" s="5"/>
      <c r="B416" s="3"/>
      <c r="C416" s="3"/>
      <c r="D416" s="3"/>
      <c r="E416" s="3"/>
      <c r="F416" s="3"/>
      <c r="G416" s="3"/>
    </row>
    <row r="417" spans="1:7" x14ac:dyDescent="0.2">
      <c r="A417" s="5"/>
      <c r="B417" s="3"/>
      <c r="C417" s="3"/>
      <c r="D417" s="3"/>
      <c r="E417" s="3"/>
      <c r="F417" s="3"/>
      <c r="G417" s="3"/>
    </row>
    <row r="418" spans="1:7" x14ac:dyDescent="0.2">
      <c r="A418" s="5"/>
      <c r="B418" s="3"/>
      <c r="C418" s="3"/>
      <c r="D418" s="3"/>
      <c r="E418" s="3"/>
      <c r="F418" s="3"/>
      <c r="G418" s="3"/>
    </row>
    <row r="419" spans="1:7" x14ac:dyDescent="0.2">
      <c r="A419" s="5"/>
      <c r="B419" s="3"/>
      <c r="C419" s="3"/>
      <c r="D419" s="3"/>
      <c r="E419" s="3"/>
      <c r="F419" s="3"/>
      <c r="G419" s="3"/>
    </row>
    <row r="420" spans="1:7" x14ac:dyDescent="0.2">
      <c r="A420" s="5"/>
      <c r="B420" s="3"/>
      <c r="C420" s="3"/>
      <c r="D420" s="3"/>
      <c r="E420" s="3"/>
      <c r="F420" s="3"/>
      <c r="G420" s="3"/>
    </row>
    <row r="421" spans="1:7" x14ac:dyDescent="0.2">
      <c r="A421" s="5"/>
      <c r="B421" s="3"/>
      <c r="C421" s="3"/>
      <c r="D421" s="3"/>
      <c r="E421" s="3"/>
      <c r="F421" s="3"/>
      <c r="G421" s="3"/>
    </row>
    <row r="422" spans="1:7" x14ac:dyDescent="0.2">
      <c r="A422" s="5"/>
      <c r="B422" s="3"/>
      <c r="C422" s="3"/>
      <c r="D422" s="3"/>
      <c r="E422" s="3"/>
      <c r="F422" s="3"/>
      <c r="G422" s="3"/>
    </row>
    <row r="423" spans="1:7" x14ac:dyDescent="0.2">
      <c r="A423" s="5"/>
      <c r="B423" s="3"/>
      <c r="C423" s="3"/>
      <c r="D423" s="3"/>
      <c r="E423" s="3"/>
      <c r="F423" s="3"/>
      <c r="G423" s="3"/>
    </row>
    <row r="424" spans="1:7" x14ac:dyDescent="0.2">
      <c r="A424" s="5"/>
      <c r="B424" s="3"/>
      <c r="C424" s="3"/>
      <c r="D424" s="3"/>
      <c r="E424" s="3"/>
      <c r="F424" s="3"/>
      <c r="G424" s="3"/>
    </row>
    <row r="425" spans="1:7" x14ac:dyDescent="0.2">
      <c r="A425" s="5"/>
      <c r="B425" s="3"/>
      <c r="C425" s="3"/>
      <c r="D425" s="3"/>
      <c r="E425" s="3"/>
      <c r="F425" s="3"/>
      <c r="G425" s="3"/>
    </row>
    <row r="426" spans="1:7" x14ac:dyDescent="0.2">
      <c r="A426" s="5"/>
      <c r="B426" s="3"/>
      <c r="C426" s="3"/>
      <c r="D426" s="3"/>
      <c r="E426" s="3"/>
      <c r="F426" s="3"/>
      <c r="G426" s="3"/>
    </row>
    <row r="427" spans="1:7" x14ac:dyDescent="0.2">
      <c r="A427" s="5"/>
      <c r="B427" s="3"/>
      <c r="C427" s="3"/>
      <c r="D427" s="3"/>
      <c r="E427" s="3"/>
      <c r="F427" s="3"/>
      <c r="G427" s="3"/>
    </row>
    <row r="428" spans="1:7" x14ac:dyDescent="0.2">
      <c r="A428" s="5"/>
      <c r="B428" s="3"/>
      <c r="C428" s="3"/>
      <c r="D428" s="3"/>
      <c r="E428" s="3"/>
      <c r="F428" s="3"/>
      <c r="G428" s="3"/>
    </row>
    <row r="429" spans="1:7" x14ac:dyDescent="0.2">
      <c r="A429" s="5"/>
      <c r="B429" s="3"/>
      <c r="C429" s="3"/>
      <c r="D429" s="3"/>
      <c r="E429" s="3"/>
      <c r="F429" s="3"/>
      <c r="G429" s="3"/>
    </row>
    <row r="430" spans="1:7" x14ac:dyDescent="0.2">
      <c r="A430" s="5"/>
      <c r="B430" s="3"/>
      <c r="C430" s="3"/>
      <c r="D430" s="3"/>
      <c r="E430" s="3"/>
      <c r="F430" s="3"/>
      <c r="G430" s="3"/>
    </row>
    <row r="431" spans="1:7" x14ac:dyDescent="0.2">
      <c r="A431" s="5"/>
      <c r="B431" s="3"/>
      <c r="C431" s="3"/>
      <c r="D431" s="3"/>
      <c r="E431" s="3"/>
      <c r="F431" s="3"/>
      <c r="G431" s="3"/>
    </row>
    <row r="432" spans="1:7" x14ac:dyDescent="0.2">
      <c r="A432" s="5"/>
      <c r="B432" s="3"/>
      <c r="C432" s="3"/>
      <c r="D432" s="3"/>
      <c r="E432" s="3"/>
      <c r="F432" s="3"/>
      <c r="G432" s="3"/>
    </row>
    <row r="433" spans="1:7" x14ac:dyDescent="0.2">
      <c r="A433" s="5"/>
      <c r="B433" s="3"/>
      <c r="C433" s="3"/>
      <c r="D433" s="3"/>
      <c r="E433" s="3"/>
      <c r="F433" s="3"/>
      <c r="G433" s="3"/>
    </row>
    <row r="434" spans="1:7" x14ac:dyDescent="0.2">
      <c r="A434" s="5"/>
      <c r="B434" s="3"/>
      <c r="C434" s="3"/>
      <c r="D434" s="3"/>
      <c r="E434" s="3"/>
      <c r="F434" s="3"/>
      <c r="G434" s="3"/>
    </row>
    <row r="435" spans="1:7" x14ac:dyDescent="0.2">
      <c r="A435" s="5"/>
      <c r="B435" s="3"/>
      <c r="C435" s="3"/>
      <c r="D435" s="3"/>
      <c r="E435" s="3"/>
      <c r="F435" s="3"/>
      <c r="G435" s="3"/>
    </row>
    <row r="436" spans="1:7" x14ac:dyDescent="0.2">
      <c r="A436" s="5"/>
      <c r="B436" s="3"/>
      <c r="C436" s="3"/>
      <c r="D436" s="3"/>
      <c r="E436" s="3"/>
      <c r="F436" s="3"/>
      <c r="G436" s="3"/>
    </row>
    <row r="437" spans="1:7" x14ac:dyDescent="0.2">
      <c r="A437" s="5"/>
      <c r="B437" s="3"/>
      <c r="C437" s="3"/>
      <c r="D437" s="3"/>
      <c r="E437" s="3"/>
      <c r="F437" s="3"/>
      <c r="G437" s="3"/>
    </row>
    <row r="438" spans="1:7" x14ac:dyDescent="0.2">
      <c r="A438" s="5"/>
      <c r="B438" s="3"/>
      <c r="C438" s="3"/>
      <c r="D438" s="3"/>
      <c r="E438" s="3"/>
      <c r="F438" s="3"/>
      <c r="G438" s="3"/>
    </row>
    <row r="439" spans="1:7" x14ac:dyDescent="0.2">
      <c r="A439" s="5"/>
      <c r="B439" s="3"/>
      <c r="C439" s="3"/>
      <c r="D439" s="3"/>
      <c r="E439" s="3"/>
      <c r="F439" s="3"/>
      <c r="G439" s="3"/>
    </row>
    <row r="440" spans="1:7" x14ac:dyDescent="0.2">
      <c r="A440" s="5"/>
      <c r="B440" s="3"/>
      <c r="C440" s="3"/>
      <c r="D440" s="3"/>
      <c r="E440" s="3"/>
      <c r="F440" s="3"/>
      <c r="G440" s="3"/>
    </row>
    <row r="441" spans="1:7" x14ac:dyDescent="0.2">
      <c r="A441" s="5"/>
      <c r="B441" s="3"/>
      <c r="C441" s="3"/>
      <c r="D441" s="3"/>
      <c r="E441" s="3"/>
      <c r="F441" s="3"/>
      <c r="G441" s="3"/>
    </row>
    <row r="442" spans="1:7" x14ac:dyDescent="0.2">
      <c r="A442" s="5"/>
      <c r="B442" s="3"/>
      <c r="C442" s="3"/>
      <c r="D442" s="3"/>
      <c r="E442" s="3"/>
      <c r="F442" s="3"/>
      <c r="G442" s="3"/>
    </row>
    <row r="443" spans="1:7" x14ac:dyDescent="0.2">
      <c r="A443" s="5"/>
      <c r="B443" s="3"/>
      <c r="C443" s="3"/>
      <c r="D443" s="3"/>
      <c r="E443" s="3"/>
      <c r="F443" s="3"/>
      <c r="G443" s="3"/>
    </row>
    <row r="444" spans="1:7" x14ac:dyDescent="0.2">
      <c r="A444" s="5"/>
      <c r="B444" s="3"/>
      <c r="C444" s="3"/>
      <c r="D444" s="3"/>
      <c r="E444" s="3"/>
      <c r="F444" s="3"/>
      <c r="G444" s="3"/>
    </row>
    <row r="445" spans="1:7" x14ac:dyDescent="0.2">
      <c r="A445" s="5"/>
      <c r="B445" s="3"/>
      <c r="C445" s="3"/>
      <c r="D445" s="3"/>
      <c r="E445" s="3"/>
      <c r="F445" s="3"/>
      <c r="G445" s="3"/>
    </row>
    <row r="446" spans="1:7" x14ac:dyDescent="0.2">
      <c r="A446" s="5"/>
      <c r="B446" s="3"/>
      <c r="C446" s="3"/>
      <c r="D446" s="3"/>
      <c r="E446" s="3"/>
      <c r="F446" s="3"/>
      <c r="G446" s="3"/>
    </row>
    <row r="447" spans="1:7" x14ac:dyDescent="0.2">
      <c r="A447" s="5"/>
      <c r="B447" s="3"/>
      <c r="C447" s="3"/>
      <c r="D447" s="3"/>
      <c r="E447" s="3"/>
      <c r="F447" s="3"/>
      <c r="G447" s="3"/>
    </row>
    <row r="448" spans="1:7" x14ac:dyDescent="0.2">
      <c r="A448" s="5"/>
      <c r="B448" s="3"/>
      <c r="C448" s="3"/>
      <c r="D448" s="3"/>
      <c r="E448" s="3"/>
      <c r="F448" s="3"/>
      <c r="G448" s="3"/>
    </row>
    <row r="449" spans="1:7" x14ac:dyDescent="0.2">
      <c r="A449" s="5"/>
      <c r="B449" s="3"/>
      <c r="C449" s="3"/>
      <c r="D449" s="3"/>
      <c r="E449" s="3"/>
      <c r="F449" s="3"/>
      <c r="G449" s="3"/>
    </row>
    <row r="450" spans="1:7" x14ac:dyDescent="0.2">
      <c r="A450" s="5"/>
      <c r="B450" s="3"/>
      <c r="C450" s="3"/>
      <c r="D450" s="3"/>
      <c r="E450" s="3"/>
      <c r="F450" s="3"/>
      <c r="G450" s="3"/>
    </row>
    <row r="451" spans="1:7" x14ac:dyDescent="0.2">
      <c r="A451" s="5"/>
      <c r="B451" s="3"/>
      <c r="C451" s="3"/>
      <c r="D451" s="3"/>
      <c r="E451" s="3"/>
      <c r="F451" s="3"/>
      <c r="G451" s="3"/>
    </row>
    <row r="452" spans="1:7" x14ac:dyDescent="0.2">
      <c r="A452" s="5"/>
      <c r="B452" s="3"/>
      <c r="C452" s="3"/>
      <c r="D452" s="3"/>
      <c r="E452" s="3"/>
      <c r="F452" s="3"/>
      <c r="G452" s="3"/>
    </row>
    <row r="453" spans="1:7" x14ac:dyDescent="0.2">
      <c r="A453" s="5"/>
      <c r="B453" s="3"/>
      <c r="C453" s="3"/>
      <c r="D453" s="3"/>
      <c r="E453" s="3"/>
      <c r="F453" s="3"/>
      <c r="G453" s="3"/>
    </row>
    <row r="454" spans="1:7" x14ac:dyDescent="0.2">
      <c r="A454" s="5"/>
      <c r="B454" s="3"/>
      <c r="C454" s="3"/>
      <c r="D454" s="3"/>
      <c r="E454" s="3"/>
      <c r="F454" s="3"/>
      <c r="G454" s="3"/>
    </row>
    <row r="455" spans="1:7" x14ac:dyDescent="0.2">
      <c r="A455" s="5"/>
      <c r="B455" s="3"/>
      <c r="C455" s="3"/>
      <c r="D455" s="3"/>
      <c r="E455" s="3"/>
      <c r="F455" s="3"/>
      <c r="G455" s="3"/>
    </row>
    <row r="456" spans="1:7" x14ac:dyDescent="0.2">
      <c r="A456" s="5"/>
      <c r="B456" s="3"/>
      <c r="C456" s="3"/>
      <c r="D456" s="3"/>
      <c r="E456" s="3"/>
      <c r="F456" s="3"/>
      <c r="G456" s="3"/>
    </row>
    <row r="457" spans="1:7" x14ac:dyDescent="0.2">
      <c r="A457" s="5"/>
      <c r="B457" s="3"/>
      <c r="C457" s="3"/>
      <c r="D457" s="3"/>
      <c r="E457" s="3"/>
      <c r="F457" s="3"/>
      <c r="G457" s="3"/>
    </row>
    <row r="458" spans="1:7" x14ac:dyDescent="0.2">
      <c r="A458" s="5"/>
      <c r="B458" s="3"/>
      <c r="C458" s="3"/>
      <c r="D458" s="3"/>
      <c r="E458" s="3"/>
      <c r="F458" s="3"/>
      <c r="G458" s="3"/>
    </row>
    <row r="459" spans="1:7" x14ac:dyDescent="0.2">
      <c r="A459" s="5"/>
      <c r="B459" s="3"/>
      <c r="C459" s="3"/>
      <c r="D459" s="3"/>
      <c r="E459" s="3"/>
      <c r="F459" s="3"/>
      <c r="G459" s="3"/>
    </row>
    <row r="460" spans="1:7" x14ac:dyDescent="0.2">
      <c r="A460" s="5"/>
      <c r="B460" s="3"/>
      <c r="C460" s="3"/>
      <c r="D460" s="3"/>
      <c r="E460" s="3"/>
      <c r="F460" s="3"/>
      <c r="G460" s="3"/>
    </row>
    <row r="461" spans="1:7" x14ac:dyDescent="0.2">
      <c r="A461" s="5"/>
      <c r="B461" s="3"/>
      <c r="C461" s="3"/>
      <c r="D461" s="3"/>
      <c r="E461" s="3"/>
      <c r="F461" s="3"/>
      <c r="G461" s="3"/>
    </row>
    <row r="462" spans="1:7" x14ac:dyDescent="0.2">
      <c r="A462" s="5"/>
      <c r="B462" s="3"/>
      <c r="C462" s="3"/>
      <c r="D462" s="3"/>
      <c r="E462" s="3"/>
      <c r="F462" s="3"/>
      <c r="G462" s="3"/>
    </row>
    <row r="463" spans="1:7" x14ac:dyDescent="0.2">
      <c r="A463" s="5"/>
      <c r="B463" s="3"/>
      <c r="C463" s="3"/>
      <c r="D463" s="3"/>
      <c r="E463" s="3"/>
      <c r="F463" s="3"/>
      <c r="G463" s="3"/>
    </row>
    <row r="464" spans="1:7" x14ac:dyDescent="0.2">
      <c r="A464" s="5"/>
      <c r="B464" s="3"/>
      <c r="C464" s="3"/>
      <c r="D464" s="3"/>
      <c r="E464" s="3"/>
      <c r="F464" s="3"/>
      <c r="G464" s="3"/>
    </row>
    <row r="465" spans="1:7" x14ac:dyDescent="0.2">
      <c r="A465" s="5"/>
      <c r="B465" s="3"/>
      <c r="C465" s="3"/>
      <c r="D465" s="3"/>
      <c r="E465" s="3"/>
      <c r="F465" s="3"/>
      <c r="G465" s="3"/>
    </row>
    <row r="466" spans="1:7" x14ac:dyDescent="0.2">
      <c r="A466" s="5"/>
      <c r="B466" s="3"/>
      <c r="C466" s="3"/>
      <c r="D466" s="3"/>
      <c r="E466" s="3"/>
      <c r="F466" s="3"/>
      <c r="G466" s="3"/>
    </row>
    <row r="467" spans="1:7" x14ac:dyDescent="0.2">
      <c r="A467" s="5"/>
      <c r="B467" s="3"/>
      <c r="C467" s="3"/>
      <c r="D467" s="3"/>
      <c r="E467" s="3"/>
      <c r="F467" s="3"/>
      <c r="G467" s="3"/>
    </row>
    <row r="468" spans="1:7" x14ac:dyDescent="0.2">
      <c r="A468" s="5"/>
      <c r="B468" s="3"/>
      <c r="C468" s="3"/>
      <c r="D468" s="3"/>
      <c r="E468" s="3"/>
      <c r="F468" s="3"/>
      <c r="G468" s="3"/>
    </row>
    <row r="469" spans="1:7" x14ac:dyDescent="0.2">
      <c r="A469" s="5"/>
      <c r="B469" s="3"/>
      <c r="C469" s="3"/>
      <c r="D469" s="3"/>
      <c r="E469" s="3"/>
      <c r="F469" s="3"/>
      <c r="G469" s="3"/>
    </row>
    <row r="470" spans="1:7" x14ac:dyDescent="0.2">
      <c r="A470" s="5"/>
      <c r="B470" s="3"/>
      <c r="C470" s="3"/>
      <c r="D470" s="3"/>
      <c r="E470" s="3"/>
      <c r="F470" s="3"/>
      <c r="G470" s="3"/>
    </row>
    <row r="471" spans="1:7" x14ac:dyDescent="0.2">
      <c r="A471" s="5"/>
      <c r="B471" s="3"/>
      <c r="C471" s="3"/>
      <c r="D471" s="3"/>
      <c r="E471" s="3"/>
      <c r="F471" s="3"/>
      <c r="G471" s="3"/>
    </row>
    <row r="472" spans="1:7" x14ac:dyDescent="0.2">
      <c r="A472" s="5"/>
      <c r="B472" s="3"/>
      <c r="C472" s="3"/>
      <c r="D472" s="3"/>
      <c r="E472" s="3"/>
      <c r="F472" s="3"/>
      <c r="G472" s="3"/>
    </row>
    <row r="473" spans="1:7" x14ac:dyDescent="0.2">
      <c r="A473" s="5"/>
      <c r="B473" s="3"/>
      <c r="C473" s="3"/>
      <c r="D473" s="3"/>
      <c r="E473" s="3"/>
      <c r="F473" s="3"/>
      <c r="G473" s="3"/>
    </row>
    <row r="474" spans="1:7" x14ac:dyDescent="0.2">
      <c r="A474" s="5"/>
      <c r="B474" s="3"/>
      <c r="C474" s="3"/>
      <c r="D474" s="3"/>
      <c r="E474" s="3"/>
      <c r="F474" s="3"/>
      <c r="G474" s="3"/>
    </row>
    <row r="475" spans="1:7" x14ac:dyDescent="0.2">
      <c r="A475" s="5"/>
      <c r="B475" s="3"/>
      <c r="C475" s="3"/>
      <c r="D475" s="3"/>
      <c r="E475" s="3"/>
      <c r="F475" s="3"/>
      <c r="G475" s="3"/>
    </row>
    <row r="476" spans="1:7" x14ac:dyDescent="0.2">
      <c r="A476" s="5"/>
      <c r="B476" s="3"/>
      <c r="C476" s="3"/>
      <c r="D476" s="3"/>
      <c r="E476" s="3"/>
      <c r="F476" s="3"/>
      <c r="G476" s="3"/>
    </row>
    <row r="477" spans="1:7" x14ac:dyDescent="0.2">
      <c r="A477" s="5"/>
      <c r="B477" s="3"/>
      <c r="C477" s="3"/>
      <c r="D477" s="3"/>
      <c r="E477" s="3"/>
      <c r="F477" s="3"/>
      <c r="G477" s="3"/>
    </row>
    <row r="478" spans="1:7" x14ac:dyDescent="0.2">
      <c r="A478" s="5"/>
      <c r="B478" s="3"/>
      <c r="C478" s="3"/>
      <c r="D478" s="3"/>
      <c r="E478" s="3"/>
      <c r="F478" s="3"/>
      <c r="G478" s="3"/>
    </row>
    <row r="479" spans="1:7" x14ac:dyDescent="0.2">
      <c r="A479" s="5"/>
      <c r="B479" s="3"/>
      <c r="C479" s="3"/>
      <c r="D479" s="3"/>
      <c r="E479" s="3"/>
      <c r="F479" s="3"/>
      <c r="G479" s="3"/>
    </row>
    <row r="480" spans="1:7" x14ac:dyDescent="0.2">
      <c r="A480" s="5"/>
      <c r="B480" s="3"/>
      <c r="C480" s="3"/>
      <c r="D480" s="3"/>
      <c r="E480" s="3"/>
      <c r="F480" s="3"/>
      <c r="G480" s="3"/>
    </row>
    <row r="481" spans="1:7" x14ac:dyDescent="0.2">
      <c r="A481" s="5"/>
      <c r="B481" s="3"/>
      <c r="C481" s="3"/>
      <c r="D481" s="3"/>
      <c r="E481" s="3"/>
      <c r="F481" s="3"/>
      <c r="G481" s="3"/>
    </row>
    <row r="482" spans="1:7" x14ac:dyDescent="0.2">
      <c r="A482" s="5"/>
      <c r="B482" s="3"/>
      <c r="C482" s="3"/>
      <c r="D482" s="3"/>
      <c r="E482" s="3"/>
      <c r="F482" s="3"/>
      <c r="G482" s="3"/>
    </row>
    <row r="483" spans="1:7" x14ac:dyDescent="0.2">
      <c r="A483" s="5"/>
      <c r="B483" s="3"/>
      <c r="C483" s="3"/>
      <c r="D483" s="3"/>
      <c r="E483" s="3"/>
      <c r="F483" s="3"/>
      <c r="G483" s="3"/>
    </row>
    <row r="484" spans="1:7" x14ac:dyDescent="0.2">
      <c r="A484" s="5"/>
      <c r="B484" s="3"/>
      <c r="C484" s="3"/>
      <c r="D484" s="3"/>
      <c r="E484" s="3"/>
      <c r="F484" s="3"/>
      <c r="G484" s="3"/>
    </row>
    <row r="485" spans="1:7" x14ac:dyDescent="0.2">
      <c r="A485" s="5"/>
      <c r="B485" s="3"/>
      <c r="C485" s="3"/>
      <c r="D485" s="3"/>
      <c r="E485" s="3"/>
      <c r="F485" s="3"/>
      <c r="G485" s="3"/>
    </row>
    <row r="486" spans="1:7" x14ac:dyDescent="0.2">
      <c r="A486" s="5"/>
      <c r="B486" s="3"/>
      <c r="C486" s="3"/>
      <c r="D486" s="3"/>
      <c r="E486" s="3"/>
      <c r="F486" s="3"/>
      <c r="G486" s="3"/>
    </row>
    <row r="487" spans="1:7" x14ac:dyDescent="0.2">
      <c r="A487" s="5"/>
      <c r="B487" s="3"/>
      <c r="C487" s="3"/>
      <c r="D487" s="3"/>
      <c r="E487" s="3"/>
      <c r="F487" s="3"/>
      <c r="G487" s="3"/>
    </row>
    <row r="488" spans="1:7" x14ac:dyDescent="0.2">
      <c r="A488" s="5"/>
      <c r="B488" s="3"/>
      <c r="C488" s="3"/>
      <c r="D488" s="3"/>
      <c r="E488" s="3"/>
      <c r="F488" s="3"/>
      <c r="G488" s="3"/>
    </row>
    <row r="489" spans="1:7" x14ac:dyDescent="0.2">
      <c r="A489" s="5"/>
      <c r="B489" s="3"/>
      <c r="C489" s="3"/>
      <c r="D489" s="3"/>
      <c r="E489" s="3"/>
      <c r="F489" s="3"/>
      <c r="G489" s="3"/>
    </row>
    <row r="490" spans="1:7" x14ac:dyDescent="0.2">
      <c r="A490" s="5"/>
      <c r="B490" s="3"/>
      <c r="C490" s="3"/>
      <c r="D490" s="3"/>
      <c r="E490" s="3"/>
      <c r="F490" s="3"/>
      <c r="G490" s="3"/>
    </row>
    <row r="491" spans="1:7" x14ac:dyDescent="0.2">
      <c r="A491" s="5"/>
      <c r="B491" s="3"/>
      <c r="C491" s="3"/>
      <c r="D491" s="3"/>
      <c r="E491" s="3"/>
      <c r="F491" s="3"/>
      <c r="G491" s="3"/>
    </row>
    <row r="492" spans="1:7" x14ac:dyDescent="0.2">
      <c r="A492" s="5"/>
      <c r="B492" s="3"/>
      <c r="C492" s="3"/>
      <c r="D492" s="3"/>
      <c r="E492" s="3"/>
      <c r="F492" s="3"/>
      <c r="G492" s="3"/>
    </row>
    <row r="493" spans="1:7" x14ac:dyDescent="0.2">
      <c r="A493" s="5"/>
      <c r="B493" s="3"/>
      <c r="C493" s="3"/>
      <c r="D493" s="3"/>
      <c r="E493" s="3"/>
      <c r="F493" s="3"/>
      <c r="G493" s="3"/>
    </row>
    <row r="494" spans="1:7" x14ac:dyDescent="0.2">
      <c r="A494" s="5"/>
      <c r="B494" s="3"/>
      <c r="C494" s="3"/>
      <c r="D494" s="3"/>
      <c r="E494" s="3"/>
      <c r="F494" s="3"/>
      <c r="G494" s="3"/>
    </row>
    <row r="495" spans="1:7" x14ac:dyDescent="0.2">
      <c r="A495" s="5"/>
      <c r="B495" s="3"/>
      <c r="C495" s="3"/>
      <c r="D495" s="3"/>
      <c r="E495" s="3"/>
      <c r="F495" s="3"/>
      <c r="G495" s="3"/>
    </row>
    <row r="496" spans="1:7" x14ac:dyDescent="0.2">
      <c r="A496" s="5"/>
      <c r="B496" s="3"/>
      <c r="C496" s="3"/>
      <c r="D496" s="3"/>
      <c r="E496" s="3"/>
      <c r="F496" s="3"/>
      <c r="G496" s="3"/>
    </row>
    <row r="497" spans="1:7" x14ac:dyDescent="0.2">
      <c r="A497" s="5"/>
      <c r="B497" s="3"/>
      <c r="C497" s="3"/>
      <c r="D497" s="3"/>
      <c r="E497" s="3"/>
      <c r="F497" s="3"/>
      <c r="G497" s="3"/>
    </row>
    <row r="498" spans="1:7" x14ac:dyDescent="0.2">
      <c r="A498" s="5"/>
      <c r="B498" s="3"/>
      <c r="C498" s="3"/>
      <c r="D498" s="3"/>
      <c r="E498" s="3"/>
      <c r="F498" s="3"/>
      <c r="G498" s="3"/>
    </row>
    <row r="499" spans="1:7" x14ac:dyDescent="0.2">
      <c r="A499" s="5"/>
      <c r="B499" s="3"/>
      <c r="C499" s="3"/>
      <c r="D499" s="3"/>
      <c r="E499" s="3"/>
      <c r="F499" s="3"/>
      <c r="G499" s="3"/>
    </row>
    <row r="500" spans="1:7" x14ac:dyDescent="0.2">
      <c r="A500" s="5"/>
      <c r="B500" s="3"/>
      <c r="C500" s="3"/>
      <c r="D500" s="3"/>
      <c r="E500" s="3"/>
      <c r="F500" s="3"/>
      <c r="G500" s="3"/>
    </row>
    <row r="501" spans="1:7" x14ac:dyDescent="0.2">
      <c r="A501" s="5"/>
      <c r="B501" s="3"/>
      <c r="C501" s="3"/>
      <c r="D501" s="3"/>
      <c r="E501" s="3"/>
      <c r="F501" s="3"/>
      <c r="G501" s="3"/>
    </row>
    <row r="502" spans="1:7" x14ac:dyDescent="0.2">
      <c r="A502" s="5"/>
      <c r="B502" s="3"/>
      <c r="C502" s="3"/>
      <c r="D502" s="3"/>
      <c r="E502" s="3"/>
      <c r="F502" s="3"/>
      <c r="G502" s="3"/>
    </row>
    <row r="503" spans="1:7" x14ac:dyDescent="0.2">
      <c r="A503" s="5"/>
      <c r="B503" s="3"/>
      <c r="C503" s="3"/>
      <c r="D503" s="3"/>
      <c r="E503" s="3"/>
      <c r="F503" s="3"/>
      <c r="G503" s="3"/>
    </row>
    <row r="504" spans="1:7" x14ac:dyDescent="0.2">
      <c r="A504" s="5"/>
      <c r="B504" s="3"/>
      <c r="C504" s="3"/>
      <c r="D504" s="3"/>
      <c r="E504" s="3"/>
      <c r="F504" s="3"/>
      <c r="G504" s="3"/>
    </row>
    <row r="505" spans="1:7" x14ac:dyDescent="0.2">
      <c r="A505" s="5"/>
      <c r="B505" s="3"/>
      <c r="C505" s="3"/>
      <c r="D505" s="3"/>
      <c r="E505" s="3"/>
      <c r="F505" s="3"/>
      <c r="G505" s="3"/>
    </row>
    <row r="506" spans="1:7" x14ac:dyDescent="0.2">
      <c r="A506" s="5"/>
      <c r="B506" s="3"/>
      <c r="C506" s="3"/>
      <c r="D506" s="3"/>
      <c r="E506" s="3"/>
      <c r="F506" s="3"/>
      <c r="G506" s="3"/>
    </row>
    <row r="507" spans="1:7" x14ac:dyDescent="0.2">
      <c r="A507" s="5"/>
      <c r="B507" s="3"/>
      <c r="C507" s="3"/>
      <c r="D507" s="3"/>
      <c r="E507" s="3"/>
      <c r="F507" s="3"/>
      <c r="G507" s="3"/>
    </row>
    <row r="508" spans="1:7" x14ac:dyDescent="0.2">
      <c r="A508" s="5"/>
      <c r="B508" s="3"/>
      <c r="C508" s="3"/>
      <c r="D508" s="3"/>
      <c r="E508" s="3"/>
      <c r="F508" s="3"/>
      <c r="G508" s="3"/>
    </row>
    <row r="509" spans="1:7" x14ac:dyDescent="0.2">
      <c r="A509" s="5"/>
      <c r="B509" s="3"/>
      <c r="C509" s="3"/>
      <c r="D509" s="3"/>
      <c r="E509" s="3"/>
      <c r="F509" s="3"/>
      <c r="G509" s="3"/>
    </row>
    <row r="510" spans="1:7" x14ac:dyDescent="0.2">
      <c r="A510" s="5"/>
      <c r="B510" s="3"/>
      <c r="C510" s="3"/>
      <c r="D510" s="3"/>
      <c r="E510" s="3"/>
      <c r="F510" s="3"/>
      <c r="G510" s="3"/>
    </row>
    <row r="511" spans="1:7" x14ac:dyDescent="0.2">
      <c r="A511" s="5"/>
      <c r="B511" s="3"/>
      <c r="C511" s="3"/>
      <c r="D511" s="3"/>
      <c r="E511" s="3"/>
      <c r="F511" s="3"/>
      <c r="G511" s="3"/>
    </row>
    <row r="512" spans="1:7" x14ac:dyDescent="0.2">
      <c r="A512" s="5"/>
      <c r="B512" s="3"/>
      <c r="C512" s="3"/>
      <c r="D512" s="3"/>
      <c r="E512" s="3"/>
      <c r="F512" s="3"/>
      <c r="G512" s="3"/>
    </row>
    <row r="513" spans="1:7" x14ac:dyDescent="0.2">
      <c r="A513" s="5"/>
      <c r="B513" s="3"/>
      <c r="C513" s="3"/>
      <c r="D513" s="3"/>
      <c r="E513" s="3"/>
      <c r="F513" s="3"/>
      <c r="G513" s="3"/>
    </row>
    <row r="514" spans="1:7" x14ac:dyDescent="0.2">
      <c r="A514" s="5"/>
      <c r="B514" s="3"/>
      <c r="C514" s="3"/>
      <c r="D514" s="3"/>
      <c r="E514" s="3"/>
      <c r="F514" s="3"/>
      <c r="G514" s="3"/>
    </row>
    <row r="515" spans="1:7" x14ac:dyDescent="0.2">
      <c r="A515" s="5"/>
      <c r="B515" s="3"/>
      <c r="C515" s="3"/>
      <c r="D515" s="3"/>
      <c r="E515" s="3"/>
      <c r="F515" s="3"/>
      <c r="G515" s="3"/>
    </row>
    <row r="516" spans="1:7" x14ac:dyDescent="0.2">
      <c r="A516" s="5"/>
      <c r="B516" s="3"/>
      <c r="C516" s="3"/>
      <c r="D516" s="3"/>
      <c r="E516" s="3"/>
      <c r="F516" s="3"/>
      <c r="G516" s="3"/>
    </row>
    <row r="517" spans="1:7" x14ac:dyDescent="0.2">
      <c r="A517" s="5"/>
      <c r="B517" s="3"/>
      <c r="C517" s="3"/>
      <c r="D517" s="3"/>
      <c r="E517" s="3"/>
      <c r="F517" s="3"/>
      <c r="G517" s="3"/>
    </row>
    <row r="518" spans="1:7" x14ac:dyDescent="0.2">
      <c r="A518" s="5"/>
      <c r="B518" s="3"/>
      <c r="C518" s="3"/>
      <c r="D518" s="3"/>
      <c r="E518" s="3"/>
      <c r="F518" s="3"/>
      <c r="G518" s="3"/>
    </row>
    <row r="519" spans="1:7" x14ac:dyDescent="0.2">
      <c r="A519" s="5"/>
      <c r="B519" s="3"/>
      <c r="C519" s="3"/>
      <c r="D519" s="3"/>
      <c r="E519" s="3"/>
      <c r="F519" s="3"/>
      <c r="G519" s="3"/>
    </row>
    <row r="520" spans="1:7" x14ac:dyDescent="0.2">
      <c r="A520" s="5"/>
      <c r="B520" s="3"/>
      <c r="C520" s="3"/>
      <c r="D520" s="3"/>
      <c r="E520" s="3"/>
      <c r="F520" s="3"/>
      <c r="G520" s="3"/>
    </row>
    <row r="521" spans="1:7" x14ac:dyDescent="0.2">
      <c r="A521" s="5"/>
      <c r="B521" s="3"/>
      <c r="C521" s="3"/>
      <c r="D521" s="3"/>
      <c r="E521" s="3"/>
      <c r="F521" s="3"/>
      <c r="G521" s="3"/>
    </row>
    <row r="522" spans="1:7" x14ac:dyDescent="0.2">
      <c r="A522" s="5"/>
      <c r="B522" s="3"/>
      <c r="C522" s="3"/>
      <c r="D522" s="3"/>
      <c r="E522" s="3"/>
      <c r="F522" s="3"/>
      <c r="G522" s="3"/>
    </row>
    <row r="523" spans="1:7" x14ac:dyDescent="0.2">
      <c r="A523" s="5"/>
      <c r="B523" s="3"/>
      <c r="C523" s="3"/>
      <c r="D523" s="3"/>
      <c r="E523" s="3"/>
      <c r="F523" s="3"/>
      <c r="G523" s="3"/>
    </row>
    <row r="524" spans="1:7" x14ac:dyDescent="0.2">
      <c r="A524" s="5"/>
      <c r="B524" s="3"/>
      <c r="C524" s="3"/>
      <c r="D524" s="3"/>
      <c r="E524" s="3"/>
      <c r="F524" s="3"/>
      <c r="G524" s="3"/>
    </row>
    <row r="525" spans="1:7" x14ac:dyDescent="0.2">
      <c r="A525" s="5"/>
      <c r="B525" s="3"/>
      <c r="C525" s="3"/>
      <c r="D525" s="3"/>
      <c r="E525" s="3"/>
      <c r="F525" s="3"/>
      <c r="G525" s="3"/>
    </row>
    <row r="526" spans="1:7" x14ac:dyDescent="0.2">
      <c r="A526" s="5"/>
      <c r="B526" s="3"/>
      <c r="C526" s="3"/>
      <c r="D526" s="3"/>
      <c r="E526" s="3"/>
      <c r="F526" s="3"/>
      <c r="G526" s="3"/>
    </row>
    <row r="527" spans="1:7" x14ac:dyDescent="0.2">
      <c r="A527" s="5"/>
      <c r="B527" s="3"/>
      <c r="C527" s="3"/>
      <c r="D527" s="3"/>
      <c r="E527" s="3"/>
      <c r="F527" s="3"/>
      <c r="G527" s="3"/>
    </row>
    <row r="528" spans="1:7" x14ac:dyDescent="0.2">
      <c r="A528" s="5"/>
      <c r="B528" s="3"/>
      <c r="C528" s="3"/>
      <c r="D528" s="3"/>
      <c r="E528" s="3"/>
      <c r="F528" s="3"/>
      <c r="G528" s="3"/>
    </row>
    <row r="529" spans="1:7" x14ac:dyDescent="0.2">
      <c r="A529" s="5"/>
      <c r="B529" s="3"/>
      <c r="C529" s="3"/>
      <c r="D529" s="3"/>
      <c r="E529" s="3"/>
      <c r="F529" s="3"/>
      <c r="G529" s="3"/>
    </row>
    <row r="530" spans="1:7" x14ac:dyDescent="0.2">
      <c r="A530" s="5"/>
      <c r="B530" s="3"/>
      <c r="C530" s="3"/>
      <c r="D530" s="3"/>
      <c r="E530" s="3"/>
      <c r="F530" s="3"/>
      <c r="G530" s="3"/>
    </row>
    <row r="531" spans="1:7" x14ac:dyDescent="0.2">
      <c r="A531" s="5"/>
      <c r="B531" s="3"/>
      <c r="C531" s="3"/>
      <c r="D531" s="3"/>
      <c r="E531" s="3"/>
      <c r="F531" s="3"/>
      <c r="G531" s="3"/>
    </row>
    <row r="532" spans="1:7" x14ac:dyDescent="0.2">
      <c r="A532" s="5"/>
      <c r="B532" s="3"/>
      <c r="C532" s="3"/>
      <c r="D532" s="3"/>
      <c r="E532" s="3"/>
      <c r="F532" s="3"/>
      <c r="G532" s="3"/>
    </row>
    <row r="533" spans="1:7" x14ac:dyDescent="0.2">
      <c r="A533" s="5"/>
      <c r="B533" s="3"/>
      <c r="C533" s="3"/>
      <c r="D533" s="3"/>
      <c r="E533" s="3"/>
      <c r="F533" s="3"/>
      <c r="G533" s="3"/>
    </row>
    <row r="534" spans="1:7" x14ac:dyDescent="0.2">
      <c r="A534" s="5"/>
      <c r="B534" s="3"/>
      <c r="C534" s="3"/>
      <c r="D534" s="3"/>
      <c r="E534" s="3"/>
      <c r="F534" s="3"/>
      <c r="G534" s="3"/>
    </row>
    <row r="535" spans="1:7" x14ac:dyDescent="0.2">
      <c r="A535" s="5"/>
      <c r="B535" s="3"/>
      <c r="C535" s="3"/>
      <c r="D535" s="3"/>
      <c r="E535" s="3"/>
      <c r="F535" s="3"/>
      <c r="G535" s="3"/>
    </row>
    <row r="536" spans="1:7" x14ac:dyDescent="0.2">
      <c r="A536" s="5"/>
      <c r="B536" s="3"/>
      <c r="C536" s="3"/>
      <c r="D536" s="3"/>
      <c r="E536" s="3"/>
      <c r="F536" s="3"/>
      <c r="G536" s="3"/>
    </row>
    <row r="537" spans="1:7" x14ac:dyDescent="0.2">
      <c r="A537" s="5"/>
      <c r="B537" s="3"/>
      <c r="C537" s="3"/>
      <c r="D537" s="3"/>
      <c r="E537" s="3"/>
      <c r="F537" s="3"/>
      <c r="G537" s="3"/>
    </row>
    <row r="538" spans="1:7" x14ac:dyDescent="0.2">
      <c r="A538" s="5"/>
      <c r="B538" s="3"/>
      <c r="C538" s="3"/>
      <c r="D538" s="3"/>
      <c r="E538" s="3"/>
      <c r="F538" s="3"/>
      <c r="G538" s="3"/>
    </row>
    <row r="539" spans="1:7" x14ac:dyDescent="0.2">
      <c r="A539" s="5"/>
      <c r="B539" s="3"/>
      <c r="C539" s="3"/>
      <c r="D539" s="3"/>
      <c r="E539" s="3"/>
      <c r="F539" s="3"/>
      <c r="G539" s="3"/>
    </row>
    <row r="540" spans="1:7" x14ac:dyDescent="0.2">
      <c r="A540" s="5"/>
      <c r="B540" s="3"/>
      <c r="C540" s="3"/>
      <c r="D540" s="3"/>
      <c r="E540" s="3"/>
      <c r="F540" s="3"/>
      <c r="G540" s="3"/>
    </row>
    <row r="541" spans="1:7" x14ac:dyDescent="0.2">
      <c r="A541" s="5"/>
      <c r="B541" s="3"/>
      <c r="C541" s="3"/>
      <c r="D541" s="3"/>
      <c r="E541" s="3"/>
      <c r="F541" s="3"/>
      <c r="G541" s="3"/>
    </row>
    <row r="542" spans="1:7" x14ac:dyDescent="0.2">
      <c r="A542" s="5"/>
      <c r="B542" s="3"/>
      <c r="C542" s="3"/>
      <c r="D542" s="3"/>
      <c r="E542" s="3"/>
      <c r="F542" s="3"/>
      <c r="G542" s="3"/>
    </row>
    <row r="543" spans="1:7" x14ac:dyDescent="0.2">
      <c r="A543" s="5"/>
      <c r="B543" s="3"/>
      <c r="C543" s="3"/>
      <c r="D543" s="3"/>
      <c r="E543" s="3"/>
      <c r="F543" s="3"/>
      <c r="G543" s="3"/>
    </row>
    <row r="544" spans="1:7" x14ac:dyDescent="0.2">
      <c r="A544" s="5"/>
      <c r="B544" s="3"/>
      <c r="C544" s="3"/>
      <c r="D544" s="3"/>
      <c r="E544" s="3"/>
      <c r="F544" s="3"/>
      <c r="G544" s="3"/>
    </row>
    <row r="545" spans="1:7" x14ac:dyDescent="0.2">
      <c r="A545" s="5"/>
      <c r="B545" s="3"/>
      <c r="C545" s="3"/>
      <c r="D545" s="3"/>
      <c r="E545" s="3"/>
      <c r="F545" s="3"/>
      <c r="G545" s="3"/>
    </row>
    <row r="546" spans="1:7" x14ac:dyDescent="0.2">
      <c r="A546" s="5"/>
      <c r="B546" s="3"/>
      <c r="C546" s="3"/>
      <c r="D546" s="3"/>
      <c r="E546" s="3"/>
      <c r="F546" s="3"/>
      <c r="G546" s="3"/>
    </row>
    <row r="547" spans="1:7" x14ac:dyDescent="0.2">
      <c r="A547" s="5"/>
      <c r="B547" s="3"/>
      <c r="C547" s="3"/>
      <c r="D547" s="3"/>
      <c r="E547" s="3"/>
      <c r="F547" s="3"/>
      <c r="G547" s="3"/>
    </row>
    <row r="548" spans="1:7" x14ac:dyDescent="0.2">
      <c r="A548" s="5"/>
      <c r="B548" s="3"/>
      <c r="C548" s="3"/>
      <c r="D548" s="3"/>
      <c r="E548" s="3"/>
      <c r="F548" s="3"/>
      <c r="G548" s="3"/>
    </row>
    <row r="549" spans="1:7" x14ac:dyDescent="0.2">
      <c r="A549" s="5"/>
      <c r="B549" s="3"/>
      <c r="C549" s="3"/>
      <c r="D549" s="3"/>
      <c r="E549" s="3"/>
      <c r="F549" s="3"/>
      <c r="G549" s="3"/>
    </row>
    <row r="550" spans="1:7" x14ac:dyDescent="0.2">
      <c r="A550" s="5"/>
      <c r="B550" s="3"/>
      <c r="C550" s="3"/>
      <c r="D550" s="3"/>
      <c r="E550" s="3"/>
      <c r="F550" s="3"/>
      <c r="G550" s="3"/>
    </row>
    <row r="551" spans="1:7" x14ac:dyDescent="0.2">
      <c r="A551" s="5"/>
      <c r="B551" s="3"/>
      <c r="C551" s="3"/>
      <c r="D551" s="3"/>
      <c r="E551" s="3"/>
      <c r="F551" s="3"/>
      <c r="G551" s="3"/>
    </row>
    <row r="552" spans="1:7" x14ac:dyDescent="0.2">
      <c r="A552" s="5"/>
      <c r="B552" s="3"/>
      <c r="C552" s="3"/>
      <c r="D552" s="3"/>
      <c r="E552" s="3"/>
      <c r="F552" s="3"/>
      <c r="G552" s="3"/>
    </row>
    <row r="553" spans="1:7" x14ac:dyDescent="0.2">
      <c r="A553" s="5"/>
      <c r="B553" s="3"/>
      <c r="C553" s="3"/>
      <c r="D553" s="3"/>
      <c r="E553" s="3"/>
      <c r="F553" s="3"/>
      <c r="G553" s="3"/>
    </row>
    <row r="554" spans="1:7" x14ac:dyDescent="0.2">
      <c r="A554" s="5"/>
      <c r="B554" s="3"/>
      <c r="C554" s="3"/>
      <c r="D554" s="3"/>
      <c r="E554" s="3"/>
      <c r="F554" s="3"/>
      <c r="G554" s="3"/>
    </row>
    <row r="555" spans="1:7" x14ac:dyDescent="0.2">
      <c r="A555" s="5"/>
      <c r="B555" s="3"/>
      <c r="C555" s="3"/>
      <c r="D555" s="3"/>
      <c r="E555" s="3"/>
      <c r="F555" s="3"/>
      <c r="G555" s="3"/>
    </row>
    <row r="556" spans="1:7" x14ac:dyDescent="0.2">
      <c r="A556" s="5"/>
      <c r="B556" s="3"/>
      <c r="C556" s="3"/>
      <c r="D556" s="3"/>
      <c r="E556" s="3"/>
      <c r="F556" s="3"/>
      <c r="G556" s="3"/>
    </row>
    <row r="557" spans="1:7" x14ac:dyDescent="0.2">
      <c r="A557" s="5"/>
      <c r="B557" s="3"/>
      <c r="C557" s="3"/>
      <c r="D557" s="3"/>
      <c r="E557" s="3"/>
      <c r="F557" s="3"/>
      <c r="G557" s="3"/>
    </row>
    <row r="558" spans="1:7" x14ac:dyDescent="0.2">
      <c r="A558" s="5"/>
      <c r="B558" s="3"/>
      <c r="C558" s="3"/>
      <c r="D558" s="3"/>
      <c r="E558" s="3"/>
      <c r="F558" s="3"/>
      <c r="G558" s="3"/>
    </row>
    <row r="559" spans="1:7" x14ac:dyDescent="0.2">
      <c r="A559" s="5"/>
      <c r="B559" s="3"/>
      <c r="C559" s="3"/>
      <c r="D559" s="3"/>
      <c r="E559" s="3"/>
      <c r="F559" s="3"/>
      <c r="G559" s="3"/>
    </row>
    <row r="560" spans="1:7" x14ac:dyDescent="0.2">
      <c r="A560" s="5"/>
      <c r="B560" s="3"/>
      <c r="C560" s="3"/>
      <c r="D560" s="3"/>
      <c r="E560" s="3"/>
      <c r="F560" s="3"/>
      <c r="G560" s="3"/>
    </row>
    <row r="561" spans="1:7" x14ac:dyDescent="0.2">
      <c r="A561" s="5"/>
      <c r="B561" s="3"/>
      <c r="C561" s="3"/>
      <c r="D561" s="3"/>
      <c r="E561" s="3"/>
      <c r="F561" s="3"/>
      <c r="G561" s="3"/>
    </row>
    <row r="562" spans="1:7" x14ac:dyDescent="0.2">
      <c r="A562" s="5"/>
      <c r="B562" s="3"/>
      <c r="C562" s="3"/>
      <c r="D562" s="3"/>
      <c r="E562" s="3"/>
      <c r="F562" s="3"/>
      <c r="G562" s="3"/>
    </row>
    <row r="563" spans="1:7" x14ac:dyDescent="0.2">
      <c r="A563" s="5"/>
      <c r="B563" s="3"/>
      <c r="C563" s="3"/>
      <c r="D563" s="3"/>
      <c r="E563" s="3"/>
      <c r="F563" s="3"/>
      <c r="G563" s="3"/>
    </row>
    <row r="564" spans="1:7" x14ac:dyDescent="0.2">
      <c r="A564" s="5"/>
      <c r="B564" s="3"/>
      <c r="C564" s="3"/>
      <c r="D564" s="3"/>
      <c r="E564" s="3"/>
      <c r="F564" s="3"/>
      <c r="G564" s="3"/>
    </row>
    <row r="565" spans="1:7" x14ac:dyDescent="0.2">
      <c r="A565" s="5"/>
      <c r="B565" s="3"/>
      <c r="C565" s="3"/>
      <c r="D565" s="3"/>
      <c r="E565" s="3"/>
      <c r="F565" s="3"/>
      <c r="G565" s="3"/>
    </row>
    <row r="566" spans="1:7" x14ac:dyDescent="0.2">
      <c r="A566" s="5"/>
      <c r="B566" s="3"/>
      <c r="C566" s="3"/>
      <c r="D566" s="3"/>
      <c r="E566" s="3"/>
      <c r="F566" s="3"/>
      <c r="G566" s="3"/>
    </row>
    <row r="567" spans="1:7" x14ac:dyDescent="0.2">
      <c r="A567" s="5"/>
      <c r="B567" s="3"/>
      <c r="C567" s="3"/>
      <c r="D567" s="3"/>
      <c r="E567" s="3"/>
      <c r="F567" s="3"/>
      <c r="G567" s="3"/>
    </row>
    <row r="568" spans="1:7" x14ac:dyDescent="0.2">
      <c r="A568" s="5"/>
      <c r="B568" s="3"/>
      <c r="C568" s="3"/>
      <c r="D568" s="3"/>
      <c r="E568" s="3"/>
      <c r="F568" s="3"/>
      <c r="G568" s="3"/>
    </row>
    <row r="569" spans="1:7" x14ac:dyDescent="0.2">
      <c r="A569" s="5"/>
      <c r="B569" s="3"/>
      <c r="C569" s="3"/>
      <c r="D569" s="3"/>
      <c r="E569" s="3"/>
      <c r="F569" s="3"/>
      <c r="G569" s="3"/>
    </row>
    <row r="570" spans="1:7" x14ac:dyDescent="0.2">
      <c r="A570" s="5"/>
      <c r="B570" s="3"/>
      <c r="C570" s="3"/>
      <c r="D570" s="3"/>
      <c r="E570" s="3"/>
      <c r="F570" s="3"/>
      <c r="G570" s="3"/>
    </row>
    <row r="571" spans="1:7" x14ac:dyDescent="0.2">
      <c r="A571" s="5"/>
      <c r="B571" s="3"/>
      <c r="C571" s="3"/>
      <c r="D571" s="3"/>
      <c r="E571" s="3"/>
      <c r="F571" s="3"/>
      <c r="G571" s="3"/>
    </row>
    <row r="572" spans="1:7" x14ac:dyDescent="0.2">
      <c r="A572" s="5"/>
      <c r="B572" s="3"/>
      <c r="C572" s="3"/>
      <c r="D572" s="3"/>
      <c r="E572" s="3"/>
      <c r="F572" s="3"/>
      <c r="G572" s="3"/>
    </row>
    <row r="573" spans="1:7" x14ac:dyDescent="0.2">
      <c r="A573" s="5"/>
      <c r="B573" s="3"/>
      <c r="C573" s="3"/>
      <c r="D573" s="3"/>
      <c r="E573" s="3"/>
      <c r="F573" s="3"/>
      <c r="G573" s="3"/>
    </row>
    <row r="574" spans="1:7" x14ac:dyDescent="0.2">
      <c r="A574" s="5"/>
      <c r="B574" s="3"/>
      <c r="C574" s="3"/>
      <c r="D574" s="3"/>
      <c r="E574" s="3"/>
      <c r="F574" s="3"/>
      <c r="G574" s="3"/>
    </row>
    <row r="575" spans="1:7" x14ac:dyDescent="0.2">
      <c r="A575" s="5"/>
      <c r="B575" s="3"/>
      <c r="C575" s="3"/>
      <c r="D575" s="3"/>
      <c r="E575" s="3"/>
      <c r="F575" s="3"/>
      <c r="G575" s="3"/>
    </row>
    <row r="576" spans="1:7" x14ac:dyDescent="0.2">
      <c r="A576" s="5"/>
      <c r="B576" s="3"/>
      <c r="C576" s="3"/>
      <c r="D576" s="3"/>
      <c r="E576" s="3"/>
      <c r="F576" s="3"/>
      <c r="G576" s="3"/>
    </row>
    <row r="577" spans="1:7" x14ac:dyDescent="0.2">
      <c r="A577" s="5"/>
      <c r="B577" s="3"/>
      <c r="C577" s="3"/>
      <c r="D577" s="3"/>
      <c r="E577" s="3"/>
      <c r="F577" s="3"/>
      <c r="G577" s="3"/>
    </row>
    <row r="578" spans="1:7" x14ac:dyDescent="0.2">
      <c r="A578" s="5"/>
      <c r="B578" s="3"/>
      <c r="C578" s="3"/>
      <c r="D578" s="3"/>
      <c r="E578" s="3"/>
      <c r="F578" s="3"/>
      <c r="G578" s="3"/>
    </row>
    <row r="579" spans="1:7" x14ac:dyDescent="0.2">
      <c r="A579" s="5"/>
      <c r="B579" s="3"/>
      <c r="C579" s="3"/>
      <c r="D579" s="3"/>
      <c r="E579" s="3"/>
      <c r="F579" s="3"/>
      <c r="G579" s="3"/>
    </row>
    <row r="580" spans="1:7" x14ac:dyDescent="0.2">
      <c r="A580" s="5"/>
      <c r="B580" s="3"/>
      <c r="C580" s="3"/>
      <c r="D580" s="3"/>
      <c r="E580" s="3"/>
      <c r="F580" s="3"/>
      <c r="G580" s="3"/>
    </row>
    <row r="581" spans="1:7" x14ac:dyDescent="0.2">
      <c r="A581" s="5"/>
      <c r="B581" s="3"/>
      <c r="C581" s="3"/>
      <c r="D581" s="3"/>
      <c r="E581" s="3"/>
      <c r="F581" s="3"/>
      <c r="G581" s="3"/>
    </row>
    <row r="582" spans="1:7" x14ac:dyDescent="0.2">
      <c r="A582" s="5"/>
      <c r="B582" s="3"/>
      <c r="C582" s="3"/>
      <c r="D582" s="3"/>
      <c r="E582" s="3"/>
      <c r="F582" s="3"/>
      <c r="G582" s="3"/>
    </row>
    <row r="583" spans="1:7" x14ac:dyDescent="0.2">
      <c r="A583" s="5"/>
      <c r="B583" s="3"/>
      <c r="C583" s="3"/>
      <c r="D583" s="3"/>
      <c r="E583" s="3"/>
      <c r="F583" s="3"/>
      <c r="G583" s="3"/>
    </row>
    <row r="584" spans="1:7" x14ac:dyDescent="0.2">
      <c r="A584" s="5"/>
      <c r="B584" s="3"/>
      <c r="C584" s="3"/>
      <c r="D584" s="3"/>
      <c r="E584" s="3"/>
      <c r="F584" s="3"/>
      <c r="G584" s="3"/>
    </row>
    <row r="585" spans="1:7" x14ac:dyDescent="0.2">
      <c r="A585" s="5"/>
      <c r="B585" s="3"/>
      <c r="C585" s="3"/>
      <c r="D585" s="3"/>
      <c r="E585" s="3"/>
      <c r="F585" s="3"/>
      <c r="G585" s="3"/>
    </row>
    <row r="586" spans="1:7" x14ac:dyDescent="0.2">
      <c r="A586" s="5"/>
      <c r="B586" s="3"/>
      <c r="C586" s="3"/>
      <c r="D586" s="3"/>
      <c r="E586" s="3"/>
      <c r="F586" s="3"/>
      <c r="G586" s="3"/>
    </row>
    <row r="587" spans="1:7" x14ac:dyDescent="0.2">
      <c r="A587" s="5"/>
      <c r="B587" s="3"/>
      <c r="C587" s="3"/>
      <c r="D587" s="3"/>
      <c r="E587" s="3"/>
      <c r="F587" s="3"/>
      <c r="G587" s="3"/>
    </row>
    <row r="588" spans="1:7" x14ac:dyDescent="0.2">
      <c r="A588" s="5"/>
      <c r="B588" s="3"/>
      <c r="C588" s="3"/>
      <c r="D588" s="3"/>
      <c r="E588" s="3"/>
      <c r="F588" s="3"/>
      <c r="G588" s="3"/>
    </row>
    <row r="589" spans="1:7" x14ac:dyDescent="0.2">
      <c r="A589" s="5"/>
      <c r="B589" s="3"/>
      <c r="C589" s="3"/>
      <c r="D589" s="3"/>
      <c r="E589" s="3"/>
      <c r="F589" s="3"/>
      <c r="G589" s="3"/>
    </row>
    <row r="590" spans="1:7" x14ac:dyDescent="0.2">
      <c r="A590" s="5"/>
      <c r="B590" s="3"/>
      <c r="C590" s="3"/>
      <c r="D590" s="3"/>
      <c r="E590" s="3"/>
      <c r="F590" s="3"/>
      <c r="G590" s="3"/>
    </row>
    <row r="591" spans="1:7" x14ac:dyDescent="0.2">
      <c r="A591" s="5"/>
      <c r="B591" s="3"/>
      <c r="C591" s="3"/>
      <c r="D591" s="3"/>
      <c r="E591" s="3"/>
      <c r="F591" s="3"/>
      <c r="G591" s="3"/>
    </row>
    <row r="592" spans="1:7" x14ac:dyDescent="0.2">
      <c r="A592" s="5"/>
      <c r="B592" s="3"/>
      <c r="C592" s="3"/>
      <c r="D592" s="3"/>
      <c r="E592" s="3"/>
      <c r="F592" s="3"/>
      <c r="G592" s="3"/>
    </row>
    <row r="593" spans="1:7" x14ac:dyDescent="0.2">
      <c r="A593" s="5"/>
      <c r="B593" s="3"/>
      <c r="C593" s="3"/>
      <c r="D593" s="3"/>
      <c r="E593" s="3"/>
      <c r="F593" s="3"/>
      <c r="G593" s="3"/>
    </row>
    <row r="594" spans="1:7" x14ac:dyDescent="0.2">
      <c r="A594" s="5"/>
      <c r="B594" s="3"/>
      <c r="C594" s="3"/>
      <c r="D594" s="3"/>
      <c r="E594" s="3"/>
      <c r="F594" s="3"/>
      <c r="G594" s="3"/>
    </row>
    <row r="595" spans="1:7" x14ac:dyDescent="0.2">
      <c r="A595" s="5"/>
      <c r="B595" s="3"/>
      <c r="C595" s="3"/>
      <c r="D595" s="3"/>
      <c r="E595" s="3"/>
      <c r="F595" s="3"/>
      <c r="G595" s="3"/>
    </row>
    <row r="596" spans="1:7" x14ac:dyDescent="0.2">
      <c r="A596" s="5"/>
      <c r="B596" s="3"/>
      <c r="C596" s="3"/>
      <c r="D596" s="3"/>
      <c r="E596" s="3"/>
      <c r="F596" s="3"/>
      <c r="G596" s="3"/>
    </row>
    <row r="597" spans="1:7" x14ac:dyDescent="0.2">
      <c r="A597" s="5"/>
      <c r="B597" s="3"/>
      <c r="C597" s="3"/>
      <c r="D597" s="3"/>
      <c r="E597" s="3"/>
      <c r="F597" s="3"/>
      <c r="G597" s="3"/>
    </row>
    <row r="598" spans="1:7" x14ac:dyDescent="0.2">
      <c r="A598" s="5"/>
      <c r="B598" s="3"/>
      <c r="C598" s="3"/>
      <c r="D598" s="3"/>
      <c r="E598" s="3"/>
      <c r="F598" s="3"/>
      <c r="G598" s="3"/>
    </row>
    <row r="599" spans="1:7" x14ac:dyDescent="0.2">
      <c r="A599" s="5"/>
      <c r="B599" s="3"/>
      <c r="C599" s="3"/>
      <c r="D599" s="3"/>
      <c r="E599" s="3"/>
      <c r="F599" s="3"/>
      <c r="G599" s="3"/>
    </row>
    <row r="600" spans="1:7" x14ac:dyDescent="0.2">
      <c r="A600" s="5"/>
      <c r="B600" s="3"/>
      <c r="C600" s="3"/>
      <c r="D600" s="3"/>
      <c r="E600" s="3"/>
      <c r="F600" s="3"/>
      <c r="G600" s="3"/>
    </row>
    <row r="601" spans="1:7" x14ac:dyDescent="0.2">
      <c r="A601" s="5"/>
      <c r="B601" s="3"/>
      <c r="C601" s="3"/>
      <c r="D601" s="3"/>
      <c r="E601" s="3"/>
      <c r="F601" s="3"/>
      <c r="G601" s="3"/>
    </row>
    <row r="602" spans="1:7" x14ac:dyDescent="0.2">
      <c r="A602" s="5"/>
      <c r="B602" s="3"/>
      <c r="C602" s="3"/>
      <c r="D602" s="3"/>
      <c r="E602" s="3"/>
      <c r="F602" s="3"/>
      <c r="G602" s="3"/>
    </row>
    <row r="603" spans="1:7" x14ac:dyDescent="0.2">
      <c r="A603" s="5"/>
      <c r="B603" s="3"/>
      <c r="C603" s="3"/>
      <c r="D603" s="3"/>
      <c r="E603" s="3"/>
      <c r="F603" s="3"/>
      <c r="G603" s="3"/>
    </row>
    <row r="604" spans="1:7" x14ac:dyDescent="0.2">
      <c r="A604" s="5"/>
      <c r="B604" s="3"/>
      <c r="C604" s="3"/>
      <c r="D604" s="3"/>
      <c r="E604" s="3"/>
      <c r="F604" s="3"/>
      <c r="G604" s="3"/>
    </row>
    <row r="605" spans="1:7" x14ac:dyDescent="0.2">
      <c r="A605" s="5"/>
      <c r="B605" s="3"/>
      <c r="C605" s="3"/>
      <c r="D605" s="3"/>
      <c r="E605" s="3"/>
      <c r="F605" s="3"/>
      <c r="G605" s="3"/>
    </row>
    <row r="606" spans="1:7" x14ac:dyDescent="0.2">
      <c r="A606" s="5"/>
      <c r="B606" s="3"/>
      <c r="C606" s="3"/>
      <c r="D606" s="3"/>
      <c r="E606" s="3"/>
      <c r="F606" s="3"/>
      <c r="G606" s="3"/>
    </row>
    <row r="607" spans="1:7" x14ac:dyDescent="0.2">
      <c r="A607" s="5"/>
      <c r="B607" s="3"/>
      <c r="C607" s="3"/>
      <c r="D607" s="3"/>
      <c r="E607" s="3"/>
      <c r="F607" s="3"/>
      <c r="G607" s="3"/>
    </row>
    <row r="608" spans="1:7" x14ac:dyDescent="0.2">
      <c r="A608" s="5"/>
      <c r="B608" s="3"/>
      <c r="C608" s="3"/>
      <c r="D608" s="3"/>
      <c r="E608" s="3"/>
      <c r="F608" s="3"/>
      <c r="G608" s="3"/>
    </row>
    <row r="609" spans="1:7" x14ac:dyDescent="0.2">
      <c r="A609" s="5"/>
      <c r="B609" s="3"/>
      <c r="C609" s="3"/>
      <c r="D609" s="3"/>
      <c r="E609" s="3"/>
      <c r="F609" s="3"/>
      <c r="G609" s="3"/>
    </row>
    <row r="610" spans="1:7" x14ac:dyDescent="0.2">
      <c r="A610" s="5"/>
      <c r="B610" s="3"/>
      <c r="C610" s="3"/>
      <c r="D610" s="3"/>
      <c r="E610" s="3"/>
      <c r="F610" s="3"/>
      <c r="G610" s="3"/>
    </row>
    <row r="611" spans="1:7" x14ac:dyDescent="0.2">
      <c r="A611" s="5"/>
      <c r="B611" s="3"/>
      <c r="C611" s="3"/>
      <c r="D611" s="3"/>
      <c r="E611" s="3"/>
      <c r="F611" s="3"/>
      <c r="G611" s="3"/>
    </row>
    <row r="612" spans="1:7" x14ac:dyDescent="0.2">
      <c r="A612" s="5"/>
      <c r="B612" s="3"/>
      <c r="C612" s="3"/>
      <c r="D612" s="3"/>
      <c r="E612" s="3"/>
      <c r="F612" s="3"/>
      <c r="G612" s="3"/>
    </row>
    <row r="613" spans="1:7" x14ac:dyDescent="0.2">
      <c r="A613" s="5"/>
      <c r="B613" s="3"/>
      <c r="C613" s="3"/>
      <c r="D613" s="3"/>
      <c r="E613" s="3"/>
      <c r="F613" s="3"/>
      <c r="G613" s="3"/>
    </row>
    <row r="614" spans="1:7" x14ac:dyDescent="0.2">
      <c r="A614" s="5"/>
      <c r="B614" s="3"/>
      <c r="C614" s="3"/>
      <c r="D614" s="3"/>
      <c r="E614" s="3"/>
      <c r="F614" s="3"/>
      <c r="G614" s="3"/>
    </row>
    <row r="615" spans="1:7" x14ac:dyDescent="0.2">
      <c r="A615" s="5"/>
      <c r="B615" s="3"/>
      <c r="C615" s="3"/>
      <c r="D615" s="3"/>
      <c r="E615" s="3"/>
      <c r="F615" s="3"/>
      <c r="G615" s="3"/>
    </row>
    <row r="616" spans="1:7" x14ac:dyDescent="0.2">
      <c r="A616" s="5"/>
      <c r="B616" s="3"/>
      <c r="C616" s="3"/>
      <c r="D616" s="3"/>
      <c r="E616" s="3"/>
      <c r="F616" s="3"/>
      <c r="G616" s="3"/>
    </row>
    <row r="617" spans="1:7" x14ac:dyDescent="0.2">
      <c r="A617" s="5"/>
      <c r="B617" s="3"/>
      <c r="C617" s="3"/>
      <c r="D617" s="3"/>
      <c r="E617" s="3"/>
      <c r="F617" s="3"/>
      <c r="G617" s="3"/>
    </row>
    <row r="618" spans="1:7" x14ac:dyDescent="0.2">
      <c r="A618" s="5"/>
      <c r="B618" s="3"/>
      <c r="C618" s="3"/>
      <c r="D618" s="3"/>
      <c r="E618" s="3"/>
      <c r="F618" s="3"/>
      <c r="G618" s="3"/>
    </row>
    <row r="619" spans="1:7" x14ac:dyDescent="0.2">
      <c r="A619" s="5"/>
      <c r="B619" s="3"/>
      <c r="C619" s="3"/>
      <c r="D619" s="3"/>
      <c r="E619" s="3"/>
      <c r="F619" s="3"/>
      <c r="G619" s="3"/>
    </row>
    <row r="620" spans="1:7" x14ac:dyDescent="0.2">
      <c r="A620" s="5"/>
      <c r="B620" s="3"/>
      <c r="C620" s="3"/>
      <c r="D620" s="3"/>
      <c r="E620" s="3"/>
      <c r="F620" s="3"/>
      <c r="G620" s="3"/>
    </row>
    <row r="621" spans="1:7" x14ac:dyDescent="0.2">
      <c r="A621" s="5"/>
      <c r="B621" s="3"/>
      <c r="C621" s="3"/>
      <c r="D621" s="3"/>
      <c r="E621" s="3"/>
      <c r="F621" s="3"/>
      <c r="G621" s="3"/>
    </row>
    <row r="622" spans="1:7" x14ac:dyDescent="0.2">
      <c r="A622" s="5"/>
      <c r="B622" s="3"/>
      <c r="C622" s="3"/>
      <c r="D622" s="3"/>
      <c r="E622" s="3"/>
      <c r="F622" s="3"/>
      <c r="G622" s="3"/>
    </row>
    <row r="623" spans="1:7" x14ac:dyDescent="0.2">
      <c r="A623" s="5"/>
      <c r="B623" s="3"/>
      <c r="C623" s="3"/>
      <c r="D623" s="3"/>
      <c r="E623" s="3"/>
      <c r="F623" s="3"/>
      <c r="G623" s="3"/>
    </row>
    <row r="624" spans="1:7" x14ac:dyDescent="0.2">
      <c r="A624" s="5"/>
      <c r="B624" s="3"/>
      <c r="C624" s="3"/>
      <c r="D624" s="3"/>
      <c r="E624" s="3"/>
      <c r="F624" s="3"/>
      <c r="G624" s="3"/>
    </row>
    <row r="625" spans="1:7" x14ac:dyDescent="0.2">
      <c r="A625" s="5"/>
      <c r="B625" s="3"/>
      <c r="C625" s="3"/>
      <c r="D625" s="3"/>
      <c r="E625" s="3"/>
      <c r="F625" s="3"/>
      <c r="G625" s="3"/>
    </row>
    <row r="626" spans="1:7" x14ac:dyDescent="0.2">
      <c r="A626" s="5"/>
      <c r="B626" s="3"/>
      <c r="C626" s="3"/>
      <c r="D626" s="3"/>
      <c r="E626" s="3"/>
      <c r="F626" s="3"/>
      <c r="G626" s="3"/>
    </row>
    <row r="627" spans="1:7" x14ac:dyDescent="0.2">
      <c r="A627" s="5"/>
      <c r="B627" s="3"/>
      <c r="C627" s="3"/>
      <c r="D627" s="3"/>
      <c r="E627" s="3"/>
      <c r="F627" s="3"/>
      <c r="G627" s="3"/>
    </row>
    <row r="628" spans="1:7" x14ac:dyDescent="0.2">
      <c r="A628" s="5"/>
      <c r="B628" s="3"/>
      <c r="C628" s="3"/>
      <c r="D628" s="3"/>
      <c r="E628" s="3"/>
      <c r="F628" s="3"/>
      <c r="G628" s="3"/>
    </row>
    <row r="629" spans="1:7" x14ac:dyDescent="0.2">
      <c r="A629" s="5"/>
      <c r="B629" s="3"/>
      <c r="C629" s="3"/>
      <c r="D629" s="3"/>
      <c r="E629" s="3"/>
      <c r="F629" s="3"/>
      <c r="G629" s="3"/>
    </row>
    <row r="630" spans="1:7" x14ac:dyDescent="0.2">
      <c r="A630" s="5"/>
      <c r="B630" s="3"/>
      <c r="C630" s="3"/>
      <c r="D630" s="3"/>
      <c r="E630" s="3"/>
      <c r="F630" s="3"/>
      <c r="G630" s="3"/>
    </row>
    <row r="631" spans="1:7" x14ac:dyDescent="0.2">
      <c r="A631" s="5"/>
      <c r="B631" s="3"/>
      <c r="C631" s="3"/>
      <c r="D631" s="3"/>
      <c r="E631" s="3"/>
      <c r="F631" s="3"/>
      <c r="G631" s="3"/>
    </row>
    <row r="632" spans="1:7" x14ac:dyDescent="0.2">
      <c r="A632" s="5"/>
      <c r="B632" s="3"/>
      <c r="C632" s="3"/>
      <c r="D632" s="3"/>
      <c r="E632" s="3"/>
      <c r="F632" s="3"/>
      <c r="G632" s="3"/>
    </row>
    <row r="633" spans="1:7" x14ac:dyDescent="0.2">
      <c r="A633" s="5"/>
      <c r="B633" s="3"/>
      <c r="C633" s="3"/>
      <c r="D633" s="3"/>
      <c r="E633" s="3"/>
      <c r="F633" s="3"/>
      <c r="G633" s="3"/>
    </row>
    <row r="634" spans="1:7" x14ac:dyDescent="0.2">
      <c r="A634" s="5"/>
      <c r="B634" s="3"/>
      <c r="C634" s="3"/>
      <c r="D634" s="3"/>
      <c r="E634" s="3"/>
      <c r="F634" s="3"/>
      <c r="G634" s="3"/>
    </row>
    <row r="635" spans="1:7" x14ac:dyDescent="0.2">
      <c r="A635" s="5"/>
      <c r="B635" s="3"/>
      <c r="C635" s="3"/>
      <c r="D635" s="3"/>
      <c r="E635" s="3"/>
      <c r="F635" s="3"/>
      <c r="G635" s="3"/>
    </row>
    <row r="636" spans="1:7" x14ac:dyDescent="0.2">
      <c r="A636" s="5"/>
      <c r="B636" s="3"/>
      <c r="C636" s="3"/>
      <c r="D636" s="3"/>
      <c r="E636" s="3"/>
      <c r="F636" s="3"/>
      <c r="G636" s="3"/>
    </row>
    <row r="637" spans="1:7" x14ac:dyDescent="0.2">
      <c r="A637" s="5"/>
      <c r="B637" s="3"/>
      <c r="C637" s="3"/>
      <c r="D637" s="3"/>
      <c r="E637" s="3"/>
      <c r="F637" s="3"/>
      <c r="G637" s="3"/>
    </row>
    <row r="638" spans="1:7" x14ac:dyDescent="0.2">
      <c r="A638" s="5"/>
      <c r="B638" s="3"/>
      <c r="C638" s="3"/>
      <c r="D638" s="3"/>
      <c r="E638" s="3"/>
      <c r="F638" s="3"/>
      <c r="G638" s="3"/>
    </row>
    <row r="639" spans="1:7" x14ac:dyDescent="0.2">
      <c r="A639" s="5"/>
      <c r="B639" s="3"/>
      <c r="C639" s="3"/>
      <c r="D639" s="3"/>
      <c r="E639" s="3"/>
      <c r="F639" s="3"/>
      <c r="G639" s="3"/>
    </row>
    <row r="640" spans="1:7" x14ac:dyDescent="0.2">
      <c r="A640" s="5"/>
      <c r="B640" s="3"/>
      <c r="C640" s="3"/>
      <c r="D640" s="3"/>
      <c r="E640" s="3"/>
      <c r="F640" s="3"/>
      <c r="G640" s="3"/>
    </row>
    <row r="641" spans="1:7" x14ac:dyDescent="0.2">
      <c r="A641" s="5"/>
      <c r="B641" s="3"/>
      <c r="C641" s="3"/>
      <c r="D641" s="3"/>
      <c r="E641" s="3"/>
      <c r="F641" s="3"/>
      <c r="G641" s="3"/>
    </row>
    <row r="642" spans="1:7" x14ac:dyDescent="0.2">
      <c r="A642" s="5"/>
      <c r="B642" s="3"/>
      <c r="C642" s="3"/>
      <c r="D642" s="3"/>
      <c r="E642" s="3"/>
      <c r="F642" s="3"/>
      <c r="G642" s="3"/>
    </row>
    <row r="643" spans="1:7" x14ac:dyDescent="0.2">
      <c r="A643" s="5"/>
      <c r="B643" s="3"/>
      <c r="C643" s="3"/>
      <c r="D643" s="3"/>
      <c r="E643" s="3"/>
      <c r="F643" s="3"/>
      <c r="G643" s="3"/>
    </row>
    <row r="644" spans="1:7" x14ac:dyDescent="0.2">
      <c r="A644" s="5"/>
      <c r="B644" s="3"/>
      <c r="C644" s="3"/>
      <c r="D644" s="3"/>
      <c r="E644" s="3"/>
      <c r="F644" s="3"/>
      <c r="G644" s="3"/>
    </row>
    <row r="645" spans="1:7" x14ac:dyDescent="0.2">
      <c r="A645" s="5"/>
      <c r="B645" s="3"/>
      <c r="C645" s="3"/>
      <c r="D645" s="3"/>
      <c r="E645" s="3"/>
      <c r="F645" s="3"/>
      <c r="G645" s="3"/>
    </row>
    <row r="646" spans="1:7" x14ac:dyDescent="0.2">
      <c r="A646" s="5"/>
      <c r="B646" s="3"/>
      <c r="C646" s="3"/>
      <c r="D646" s="3"/>
      <c r="E646" s="3"/>
      <c r="F646" s="3"/>
      <c r="G646" s="3"/>
    </row>
    <row r="647" spans="1:7" x14ac:dyDescent="0.2">
      <c r="A647" s="5"/>
      <c r="B647" s="3"/>
      <c r="C647" s="3"/>
      <c r="D647" s="3"/>
      <c r="E647" s="3"/>
      <c r="F647" s="3"/>
      <c r="G647" s="3"/>
    </row>
    <row r="648" spans="1:7" x14ac:dyDescent="0.2">
      <c r="A648" s="5"/>
      <c r="B648" s="3"/>
      <c r="C648" s="3"/>
      <c r="D648" s="3"/>
      <c r="E648" s="3"/>
      <c r="F648" s="3"/>
      <c r="G648" s="3"/>
    </row>
    <row r="649" spans="1:7" x14ac:dyDescent="0.2">
      <c r="A649" s="5"/>
      <c r="B649" s="3"/>
      <c r="C649" s="3"/>
      <c r="D649" s="3"/>
      <c r="E649" s="3"/>
      <c r="F649" s="3"/>
      <c r="G649" s="3"/>
    </row>
    <row r="650" spans="1:7" x14ac:dyDescent="0.2">
      <c r="A650" s="5"/>
      <c r="B650" s="3"/>
      <c r="C650" s="3"/>
      <c r="D650" s="3"/>
      <c r="E650" s="3"/>
      <c r="F650" s="3"/>
      <c r="G650" s="3"/>
    </row>
    <row r="651" spans="1:7" x14ac:dyDescent="0.2">
      <c r="A651" s="5"/>
      <c r="B651" s="3"/>
      <c r="C651" s="3"/>
      <c r="D651" s="3"/>
      <c r="E651" s="3"/>
      <c r="F651" s="3"/>
      <c r="G651" s="3"/>
    </row>
    <row r="652" spans="1:7" x14ac:dyDescent="0.2">
      <c r="A652" s="5"/>
      <c r="B652" s="3"/>
      <c r="C652" s="3"/>
      <c r="D652" s="3"/>
      <c r="E652" s="3"/>
      <c r="F652" s="3"/>
      <c r="G652" s="3"/>
    </row>
    <row r="653" spans="1:7" x14ac:dyDescent="0.2">
      <c r="A653" s="5"/>
      <c r="B653" s="3"/>
      <c r="C653" s="3"/>
      <c r="D653" s="3"/>
      <c r="E653" s="3"/>
      <c r="F653" s="3"/>
      <c r="G653" s="3"/>
    </row>
    <row r="654" spans="1:7" x14ac:dyDescent="0.2">
      <c r="A654" s="5"/>
      <c r="B654" s="3"/>
      <c r="C654" s="3"/>
      <c r="D654" s="3"/>
      <c r="E654" s="3"/>
      <c r="F654" s="3"/>
      <c r="G654" s="3"/>
    </row>
    <row r="655" spans="1:7" x14ac:dyDescent="0.2">
      <c r="A655" s="5"/>
      <c r="B655" s="3"/>
      <c r="C655" s="3"/>
      <c r="D655" s="3"/>
      <c r="E655" s="3"/>
      <c r="F655" s="3"/>
      <c r="G655" s="3"/>
    </row>
    <row r="656" spans="1:7" x14ac:dyDescent="0.2">
      <c r="A656" s="5"/>
      <c r="B656" s="3"/>
      <c r="C656" s="3"/>
      <c r="D656" s="3"/>
      <c r="E656" s="3"/>
      <c r="F656" s="3"/>
      <c r="G656" s="3"/>
    </row>
    <row r="657" spans="1:7" x14ac:dyDescent="0.2">
      <c r="A657" s="5"/>
      <c r="B657" s="3"/>
      <c r="C657" s="3"/>
      <c r="D657" s="3"/>
      <c r="E657" s="3"/>
      <c r="F657" s="3"/>
      <c r="G657" s="3"/>
    </row>
    <row r="658" spans="1:7" x14ac:dyDescent="0.2">
      <c r="A658" s="5"/>
      <c r="B658" s="3"/>
      <c r="C658" s="3"/>
      <c r="D658" s="3"/>
      <c r="E658" s="3"/>
      <c r="F658" s="3"/>
      <c r="G658" s="3"/>
    </row>
    <row r="659" spans="1:7" x14ac:dyDescent="0.2">
      <c r="A659" s="5"/>
      <c r="B659" s="3"/>
      <c r="C659" s="3"/>
      <c r="D659" s="3"/>
      <c r="E659" s="3"/>
      <c r="F659" s="3"/>
      <c r="G659" s="3"/>
    </row>
    <row r="660" spans="1:7" x14ac:dyDescent="0.2">
      <c r="A660" s="5"/>
      <c r="B660" s="3"/>
      <c r="C660" s="3"/>
      <c r="D660" s="3"/>
      <c r="E660" s="3"/>
      <c r="F660" s="3"/>
      <c r="G660" s="3"/>
    </row>
    <row r="661" spans="1:7" x14ac:dyDescent="0.2">
      <c r="A661" s="5"/>
      <c r="B661" s="3"/>
      <c r="C661" s="3"/>
      <c r="D661" s="3"/>
      <c r="E661" s="3"/>
      <c r="F661" s="3"/>
      <c r="G661" s="3"/>
    </row>
    <row r="662" spans="1:7" x14ac:dyDescent="0.2">
      <c r="A662" s="5"/>
      <c r="B662" s="3"/>
      <c r="C662" s="3"/>
      <c r="D662" s="3"/>
      <c r="E662" s="3"/>
      <c r="F662" s="3"/>
      <c r="G662" s="3"/>
    </row>
    <row r="663" spans="1:7" x14ac:dyDescent="0.2">
      <c r="A663" s="5"/>
      <c r="B663" s="3"/>
      <c r="C663" s="3"/>
      <c r="D663" s="3"/>
      <c r="E663" s="3"/>
      <c r="F663" s="3"/>
      <c r="G663" s="3"/>
    </row>
    <row r="664" spans="1:7" x14ac:dyDescent="0.2">
      <c r="A664" s="5"/>
      <c r="B664" s="3"/>
      <c r="C664" s="3"/>
      <c r="D664" s="3"/>
      <c r="E664" s="3"/>
      <c r="F664" s="3"/>
      <c r="G664" s="3"/>
    </row>
    <row r="665" spans="1:7" x14ac:dyDescent="0.2">
      <c r="A665" s="5"/>
      <c r="B665" s="3"/>
      <c r="C665" s="3"/>
      <c r="D665" s="3"/>
      <c r="E665" s="3"/>
      <c r="F665" s="3"/>
      <c r="G665" s="3"/>
    </row>
    <row r="666" spans="1:7" x14ac:dyDescent="0.2">
      <c r="A666" s="5"/>
      <c r="B666" s="3"/>
      <c r="C666" s="3"/>
      <c r="D666" s="3"/>
      <c r="E666" s="3"/>
      <c r="F666" s="3"/>
      <c r="G666" s="3"/>
    </row>
    <row r="667" spans="1:7" x14ac:dyDescent="0.2">
      <c r="A667" s="5"/>
      <c r="B667" s="3"/>
      <c r="C667" s="3"/>
      <c r="D667" s="3"/>
      <c r="E667" s="3"/>
      <c r="F667" s="3"/>
      <c r="G667" s="3"/>
    </row>
    <row r="668" spans="1:7" x14ac:dyDescent="0.2">
      <c r="A668" s="5"/>
      <c r="B668" s="3"/>
      <c r="C668" s="3"/>
      <c r="D668" s="3"/>
      <c r="E668" s="3"/>
      <c r="F668" s="3"/>
      <c r="G668" s="3"/>
    </row>
    <row r="669" spans="1:7" x14ac:dyDescent="0.2">
      <c r="A669" s="5"/>
      <c r="B669" s="3"/>
      <c r="C669" s="3"/>
      <c r="D669" s="3"/>
      <c r="E669" s="3"/>
      <c r="F669" s="3"/>
      <c r="G669" s="3"/>
    </row>
    <row r="670" spans="1:7" x14ac:dyDescent="0.2">
      <c r="A670" s="5"/>
      <c r="B670" s="3"/>
      <c r="C670" s="3"/>
      <c r="D670" s="3"/>
      <c r="E670" s="3"/>
      <c r="F670" s="3"/>
      <c r="G670" s="3"/>
    </row>
    <row r="671" spans="1:7" x14ac:dyDescent="0.2">
      <c r="A671" s="5"/>
      <c r="B671" s="3"/>
      <c r="C671" s="3"/>
      <c r="D671" s="3"/>
      <c r="E671" s="3"/>
      <c r="F671" s="3"/>
      <c r="G671" s="3"/>
    </row>
    <row r="672" spans="1:7" x14ac:dyDescent="0.2">
      <c r="A672" s="5"/>
      <c r="B672" s="3"/>
      <c r="C672" s="3"/>
      <c r="D672" s="3"/>
      <c r="E672" s="3"/>
      <c r="F672" s="3"/>
      <c r="G672" s="3"/>
    </row>
    <row r="673" spans="1:7" x14ac:dyDescent="0.2">
      <c r="A673" s="5"/>
      <c r="B673" s="3"/>
      <c r="C673" s="3"/>
      <c r="D673" s="3"/>
      <c r="E673" s="3"/>
      <c r="F673" s="3"/>
      <c r="G673" s="3"/>
    </row>
    <row r="674" spans="1:7" x14ac:dyDescent="0.2">
      <c r="A674" s="5"/>
      <c r="B674" s="3"/>
      <c r="C674" s="3"/>
      <c r="D674" s="3"/>
      <c r="E674" s="3"/>
      <c r="F674" s="3"/>
      <c r="G674" s="3"/>
    </row>
    <row r="675" spans="1:7" x14ac:dyDescent="0.2">
      <c r="A675" s="5"/>
      <c r="B675" s="3"/>
      <c r="C675" s="3"/>
      <c r="D675" s="3"/>
      <c r="E675" s="3"/>
      <c r="F675" s="3"/>
      <c r="G675" s="3"/>
    </row>
    <row r="676" spans="1:7" x14ac:dyDescent="0.2">
      <c r="A676" s="5"/>
      <c r="B676" s="3"/>
      <c r="C676" s="3"/>
      <c r="D676" s="3"/>
      <c r="E676" s="3"/>
      <c r="F676" s="3"/>
      <c r="G676" s="3"/>
    </row>
    <row r="677" spans="1:7" x14ac:dyDescent="0.2">
      <c r="A677" s="5"/>
      <c r="B677" s="3"/>
      <c r="C677" s="3"/>
      <c r="D677" s="3"/>
      <c r="E677" s="3"/>
      <c r="F677" s="3"/>
      <c r="G677" s="3"/>
    </row>
    <row r="678" spans="1:7" x14ac:dyDescent="0.2">
      <c r="A678" s="5"/>
      <c r="B678" s="3"/>
      <c r="C678" s="3"/>
      <c r="D678" s="3"/>
      <c r="E678" s="3"/>
      <c r="F678" s="3"/>
      <c r="G678" s="3"/>
    </row>
    <row r="679" spans="1:7" x14ac:dyDescent="0.2">
      <c r="A679" s="5"/>
      <c r="B679" s="3"/>
      <c r="C679" s="3"/>
      <c r="D679" s="3"/>
      <c r="E679" s="3"/>
      <c r="F679" s="3"/>
      <c r="G679" s="3"/>
    </row>
    <row r="680" spans="1:7" x14ac:dyDescent="0.2">
      <c r="A680" s="5"/>
      <c r="B680" s="3"/>
      <c r="C680" s="3"/>
      <c r="D680" s="3"/>
      <c r="E680" s="3"/>
      <c r="F680" s="3"/>
      <c r="G680" s="3"/>
    </row>
    <row r="681" spans="1:7" x14ac:dyDescent="0.2">
      <c r="A681" s="5"/>
      <c r="B681" s="3"/>
      <c r="C681" s="3"/>
      <c r="D681" s="3"/>
      <c r="E681" s="3"/>
      <c r="F681" s="3"/>
      <c r="G681" s="3"/>
    </row>
    <row r="682" spans="1:7" x14ac:dyDescent="0.2">
      <c r="A682" s="5"/>
      <c r="B682" s="3"/>
      <c r="C682" s="3"/>
      <c r="D682" s="3"/>
      <c r="E682" s="3"/>
      <c r="F682" s="3"/>
      <c r="G682" s="3"/>
    </row>
    <row r="683" spans="1:7" x14ac:dyDescent="0.2">
      <c r="A683" s="5"/>
      <c r="B683" s="3"/>
      <c r="C683" s="3"/>
      <c r="D683" s="3"/>
      <c r="E683" s="3"/>
      <c r="F683" s="3"/>
      <c r="G683" s="3"/>
    </row>
    <row r="684" spans="1:7" x14ac:dyDescent="0.2">
      <c r="A684" s="5"/>
      <c r="B684" s="3"/>
      <c r="C684" s="3"/>
      <c r="D684" s="3"/>
      <c r="E684" s="3"/>
      <c r="F684" s="3"/>
      <c r="G684" s="3"/>
    </row>
    <row r="685" spans="1:7" x14ac:dyDescent="0.2">
      <c r="A685" s="5"/>
      <c r="B685" s="3"/>
      <c r="C685" s="3"/>
      <c r="D685" s="3"/>
      <c r="E685" s="3"/>
      <c r="F685" s="3"/>
      <c r="G685" s="3"/>
    </row>
    <row r="686" spans="1:7" x14ac:dyDescent="0.2">
      <c r="A686" s="5"/>
      <c r="B686" s="3"/>
      <c r="C686" s="3"/>
      <c r="D686" s="3"/>
      <c r="E686" s="3"/>
      <c r="F686" s="3"/>
      <c r="G686" s="3"/>
    </row>
    <row r="687" spans="1:7" x14ac:dyDescent="0.2">
      <c r="A687" s="5"/>
      <c r="B687" s="3"/>
      <c r="C687" s="3"/>
      <c r="D687" s="3"/>
      <c r="E687" s="3"/>
      <c r="F687" s="3"/>
      <c r="G687" s="3"/>
    </row>
    <row r="688" spans="1:7" x14ac:dyDescent="0.2">
      <c r="A688" s="5"/>
      <c r="B688" s="3"/>
      <c r="C688" s="3"/>
      <c r="D688" s="3"/>
      <c r="E688" s="3"/>
      <c r="F688" s="3"/>
      <c r="G688" s="3"/>
    </row>
    <row r="689" spans="1:7" x14ac:dyDescent="0.2">
      <c r="A689" s="5"/>
      <c r="B689" s="3"/>
      <c r="C689" s="3"/>
      <c r="D689" s="3"/>
      <c r="E689" s="3"/>
      <c r="F689" s="3"/>
      <c r="G689" s="3"/>
    </row>
    <row r="690" spans="1:7" x14ac:dyDescent="0.2">
      <c r="A690" s="5"/>
      <c r="B690" s="3"/>
      <c r="C690" s="3"/>
      <c r="D690" s="3"/>
      <c r="E690" s="3"/>
      <c r="F690" s="3"/>
      <c r="G690" s="3"/>
    </row>
    <row r="691" spans="1:7" x14ac:dyDescent="0.2">
      <c r="A691" s="5"/>
      <c r="B691" s="3"/>
      <c r="C691" s="3"/>
      <c r="D691" s="3"/>
      <c r="E691" s="3"/>
      <c r="F691" s="3"/>
      <c r="G691" s="3"/>
    </row>
    <row r="692" spans="1:7" x14ac:dyDescent="0.2">
      <c r="A692" s="5"/>
      <c r="B692" s="3"/>
      <c r="C692" s="3"/>
      <c r="D692" s="3"/>
      <c r="E692" s="3"/>
      <c r="F692" s="3"/>
      <c r="G692" s="3"/>
    </row>
    <row r="693" spans="1:7" x14ac:dyDescent="0.2">
      <c r="A693" s="5"/>
      <c r="B693" s="3"/>
      <c r="C693" s="3"/>
      <c r="D693" s="3"/>
      <c r="E693" s="3"/>
      <c r="F693" s="3"/>
      <c r="G693" s="3"/>
    </row>
    <row r="694" spans="1:7" x14ac:dyDescent="0.2">
      <c r="A694" s="5"/>
      <c r="B694" s="3"/>
      <c r="C694" s="3"/>
      <c r="D694" s="3"/>
      <c r="E694" s="3"/>
      <c r="F694" s="3"/>
      <c r="G694" s="3"/>
    </row>
    <row r="695" spans="1:7" x14ac:dyDescent="0.2">
      <c r="A695" s="5"/>
      <c r="B695" s="3"/>
      <c r="C695" s="3"/>
      <c r="D695" s="3"/>
      <c r="E695" s="3"/>
      <c r="F695" s="3"/>
      <c r="G695" s="3"/>
    </row>
    <row r="696" spans="1:7" x14ac:dyDescent="0.2">
      <c r="A696" s="5"/>
      <c r="B696" s="3"/>
      <c r="C696" s="3"/>
      <c r="D696" s="3"/>
      <c r="E696" s="3"/>
      <c r="F696" s="3"/>
      <c r="G696" s="3"/>
    </row>
    <row r="697" spans="1:7" x14ac:dyDescent="0.2">
      <c r="A697" s="5"/>
      <c r="B697" s="3"/>
      <c r="C697" s="3"/>
      <c r="D697" s="3"/>
      <c r="E697" s="3"/>
      <c r="F697" s="3"/>
      <c r="G697" s="3"/>
    </row>
    <row r="698" spans="1:7" x14ac:dyDescent="0.2">
      <c r="A698" s="5"/>
      <c r="B698" s="3"/>
      <c r="C698" s="3"/>
      <c r="D698" s="3"/>
      <c r="E698" s="3"/>
      <c r="F698" s="3"/>
      <c r="G698" s="3"/>
    </row>
    <row r="699" spans="1:7" x14ac:dyDescent="0.2">
      <c r="A699" s="5"/>
      <c r="B699" s="3"/>
      <c r="C699" s="3"/>
      <c r="D699" s="3"/>
      <c r="E699" s="3"/>
      <c r="F699" s="3"/>
      <c r="G699" s="3"/>
    </row>
    <row r="700" spans="1:7" x14ac:dyDescent="0.2">
      <c r="A700" s="5"/>
      <c r="B700" s="3"/>
      <c r="C700" s="3"/>
      <c r="D700" s="3"/>
      <c r="E700" s="3"/>
      <c r="F700" s="3"/>
      <c r="G700" s="3"/>
    </row>
    <row r="701" spans="1:7" x14ac:dyDescent="0.2">
      <c r="A701" s="5"/>
      <c r="B701" s="3"/>
      <c r="C701" s="3"/>
      <c r="D701" s="3"/>
      <c r="E701" s="3"/>
      <c r="F701" s="3"/>
      <c r="G701" s="3"/>
    </row>
    <row r="702" spans="1:7" x14ac:dyDescent="0.2">
      <c r="A702" s="5"/>
      <c r="B702" s="3"/>
      <c r="C702" s="3"/>
      <c r="D702" s="3"/>
      <c r="E702" s="3"/>
      <c r="F702" s="3"/>
      <c r="G702" s="3"/>
    </row>
    <row r="703" spans="1:7" x14ac:dyDescent="0.2">
      <c r="A703" s="5"/>
      <c r="B703" s="3"/>
      <c r="C703" s="3"/>
      <c r="D703" s="3"/>
      <c r="E703" s="3"/>
      <c r="F703" s="3"/>
      <c r="G703" s="3"/>
    </row>
    <row r="704" spans="1:7" x14ac:dyDescent="0.2">
      <c r="A704" s="5"/>
      <c r="B704" s="3"/>
      <c r="C704" s="3"/>
      <c r="D704" s="3"/>
      <c r="E704" s="3"/>
      <c r="F704" s="3"/>
      <c r="G704" s="3"/>
    </row>
    <row r="705" spans="1:7" x14ac:dyDescent="0.2">
      <c r="A705" s="5"/>
      <c r="B705" s="3"/>
      <c r="C705" s="3"/>
      <c r="D705" s="3"/>
      <c r="E705" s="3"/>
      <c r="F705" s="3"/>
      <c r="G705" s="3"/>
    </row>
    <row r="706" spans="1:7" x14ac:dyDescent="0.2">
      <c r="A706" s="5"/>
      <c r="B706" s="3"/>
      <c r="C706" s="3"/>
      <c r="D706" s="3"/>
      <c r="E706" s="3"/>
      <c r="F706" s="3"/>
      <c r="G706" s="3"/>
    </row>
    <row r="707" spans="1:7" x14ac:dyDescent="0.2">
      <c r="A707" s="5"/>
      <c r="B707" s="3"/>
      <c r="C707" s="3"/>
      <c r="D707" s="3"/>
      <c r="E707" s="3"/>
      <c r="F707" s="3"/>
      <c r="G707" s="3"/>
    </row>
    <row r="708" spans="1:7" x14ac:dyDescent="0.2">
      <c r="A708" s="5"/>
      <c r="B708" s="3"/>
      <c r="C708" s="3"/>
      <c r="D708" s="3"/>
      <c r="E708" s="3"/>
      <c r="F708" s="3"/>
      <c r="G708" s="3"/>
    </row>
    <row r="709" spans="1:7" x14ac:dyDescent="0.2">
      <c r="A709" s="5"/>
      <c r="B709" s="3"/>
      <c r="C709" s="3"/>
      <c r="D709" s="3"/>
      <c r="E709" s="3"/>
      <c r="F709" s="3"/>
      <c r="G709" s="3"/>
    </row>
    <row r="710" spans="1:7" x14ac:dyDescent="0.2">
      <c r="A710" s="5"/>
      <c r="B710" s="3"/>
      <c r="C710" s="3"/>
      <c r="D710" s="3"/>
      <c r="E710" s="3"/>
      <c r="F710" s="3"/>
      <c r="G710" s="3"/>
    </row>
    <row r="711" spans="1:7" x14ac:dyDescent="0.2">
      <c r="A711" s="5"/>
      <c r="B711" s="3"/>
      <c r="C711" s="3"/>
      <c r="D711" s="3"/>
      <c r="E711" s="3"/>
      <c r="F711" s="3"/>
      <c r="G711" s="3"/>
    </row>
    <row r="712" spans="1:7" x14ac:dyDescent="0.2">
      <c r="A712" s="5"/>
      <c r="B712" s="3"/>
      <c r="C712" s="3"/>
      <c r="D712" s="3"/>
      <c r="E712" s="3"/>
      <c r="F712" s="3"/>
      <c r="G712" s="3"/>
    </row>
    <row r="713" spans="1:7" x14ac:dyDescent="0.2">
      <c r="A713" s="5"/>
      <c r="B713" s="3"/>
      <c r="C713" s="3"/>
      <c r="D713" s="3"/>
      <c r="E713" s="3"/>
      <c r="F713" s="3"/>
      <c r="G713" s="3"/>
    </row>
    <row r="714" spans="1:7" x14ac:dyDescent="0.2">
      <c r="A714" s="5"/>
      <c r="B714" s="3"/>
      <c r="C714" s="3"/>
      <c r="D714" s="3"/>
      <c r="E714" s="3"/>
      <c r="F714" s="3"/>
      <c r="G714" s="3"/>
    </row>
    <row r="715" spans="1:7" x14ac:dyDescent="0.2">
      <c r="A715" s="5"/>
      <c r="B715" s="3"/>
      <c r="C715" s="3"/>
      <c r="D715" s="3"/>
      <c r="E715" s="3"/>
      <c r="F715" s="3"/>
      <c r="G715" s="3"/>
    </row>
    <row r="716" spans="1:7" x14ac:dyDescent="0.2">
      <c r="A716" s="5"/>
      <c r="B716" s="3"/>
      <c r="C716" s="3"/>
      <c r="D716" s="3"/>
      <c r="E716" s="3"/>
      <c r="F716" s="3"/>
      <c r="G716" s="3"/>
    </row>
    <row r="717" spans="1:7" x14ac:dyDescent="0.2">
      <c r="A717" s="5"/>
      <c r="B717" s="3"/>
      <c r="C717" s="3"/>
      <c r="D717" s="3"/>
      <c r="E717" s="3"/>
      <c r="F717" s="3"/>
      <c r="G717" s="3"/>
    </row>
    <row r="718" spans="1:7" x14ac:dyDescent="0.2">
      <c r="A718" s="5"/>
      <c r="B718" s="3"/>
      <c r="C718" s="3"/>
      <c r="D718" s="3"/>
      <c r="E718" s="3"/>
      <c r="F718" s="3"/>
      <c r="G718" s="3"/>
    </row>
    <row r="719" spans="1:7" x14ac:dyDescent="0.2">
      <c r="A719" s="5"/>
      <c r="B719" s="3"/>
      <c r="C719" s="3"/>
      <c r="D719" s="3"/>
      <c r="E719" s="3"/>
      <c r="F719" s="3"/>
      <c r="G719" s="3"/>
    </row>
    <row r="720" spans="1:7" x14ac:dyDescent="0.2">
      <c r="A720" s="5"/>
      <c r="B720" s="3"/>
      <c r="C720" s="3"/>
      <c r="D720" s="3"/>
      <c r="E720" s="3"/>
      <c r="F720" s="3"/>
      <c r="G720" s="3"/>
    </row>
    <row r="721" spans="1:7" x14ac:dyDescent="0.2">
      <c r="A721" s="5"/>
      <c r="B721" s="3"/>
      <c r="C721" s="3"/>
      <c r="D721" s="3"/>
      <c r="E721" s="3"/>
      <c r="F721" s="3"/>
      <c r="G721" s="3"/>
    </row>
    <row r="722" spans="1:7" x14ac:dyDescent="0.2">
      <c r="A722" s="5"/>
      <c r="B722" s="3"/>
      <c r="C722" s="3"/>
      <c r="D722" s="3"/>
      <c r="E722" s="3"/>
      <c r="F722" s="3"/>
      <c r="G722" s="3"/>
    </row>
    <row r="723" spans="1:7" x14ac:dyDescent="0.2">
      <c r="A723" s="5"/>
      <c r="B723" s="3"/>
      <c r="C723" s="3"/>
      <c r="D723" s="3"/>
      <c r="E723" s="3"/>
      <c r="F723" s="3"/>
      <c r="G723" s="3"/>
    </row>
    <row r="724" spans="1:7" x14ac:dyDescent="0.2">
      <c r="A724" s="5"/>
      <c r="B724" s="3"/>
      <c r="C724" s="3"/>
      <c r="D724" s="3"/>
      <c r="E724" s="3"/>
      <c r="F724" s="3"/>
      <c r="G724" s="3"/>
    </row>
    <row r="725" spans="1:7" x14ac:dyDescent="0.2">
      <c r="A725" s="5"/>
      <c r="B725" s="3"/>
      <c r="C725" s="3"/>
      <c r="D725" s="3"/>
      <c r="E725" s="3"/>
      <c r="F725" s="3"/>
      <c r="G725" s="3"/>
    </row>
    <row r="726" spans="1:7" x14ac:dyDescent="0.2">
      <c r="A726" s="5"/>
      <c r="B726" s="3"/>
      <c r="C726" s="3"/>
      <c r="D726" s="3"/>
      <c r="E726" s="3"/>
      <c r="F726" s="3"/>
      <c r="G726" s="3"/>
    </row>
    <row r="727" spans="1:7" x14ac:dyDescent="0.2">
      <c r="A727" s="5"/>
      <c r="B727" s="3"/>
      <c r="C727" s="3"/>
      <c r="D727" s="3"/>
      <c r="E727" s="3"/>
      <c r="F727" s="3"/>
      <c r="G727" s="3"/>
    </row>
    <row r="728" spans="1:7" x14ac:dyDescent="0.2">
      <c r="A728" s="5"/>
      <c r="B728" s="3"/>
      <c r="C728" s="3"/>
      <c r="D728" s="3"/>
      <c r="E728" s="3"/>
      <c r="F728" s="3"/>
      <c r="G728" s="3"/>
    </row>
    <row r="729" spans="1:7" x14ac:dyDescent="0.2">
      <c r="A729" s="5"/>
      <c r="B729" s="3"/>
      <c r="C729" s="3"/>
      <c r="D729" s="3"/>
      <c r="E729" s="3"/>
      <c r="F729" s="3"/>
      <c r="G729" s="3"/>
    </row>
    <row r="730" spans="1:7" x14ac:dyDescent="0.2">
      <c r="A730" s="5"/>
      <c r="B730" s="3"/>
      <c r="C730" s="3"/>
      <c r="D730" s="3"/>
      <c r="E730" s="3"/>
      <c r="F730" s="3"/>
      <c r="G730" s="3"/>
    </row>
    <row r="731" spans="1:7" x14ac:dyDescent="0.2">
      <c r="A731" s="5"/>
      <c r="B731" s="3"/>
      <c r="C731" s="3"/>
      <c r="D731" s="3"/>
      <c r="E731" s="3"/>
      <c r="F731" s="3"/>
      <c r="G731" s="3"/>
    </row>
    <row r="732" spans="1:7" x14ac:dyDescent="0.2">
      <c r="A732" s="5"/>
      <c r="B732" s="3"/>
      <c r="C732" s="3"/>
      <c r="D732" s="3"/>
      <c r="E732" s="3"/>
      <c r="F732" s="3"/>
      <c r="G732" s="3"/>
    </row>
    <row r="733" spans="1:7" x14ac:dyDescent="0.2">
      <c r="A733" s="5"/>
      <c r="B733" s="3"/>
      <c r="C733" s="3"/>
      <c r="D733" s="3"/>
      <c r="E733" s="3"/>
      <c r="F733" s="3"/>
      <c r="G733" s="3"/>
    </row>
    <row r="734" spans="1:7" x14ac:dyDescent="0.2">
      <c r="A734" s="5"/>
      <c r="B734" s="3"/>
      <c r="C734" s="3"/>
      <c r="D734" s="3"/>
      <c r="E734" s="3"/>
      <c r="F734" s="3"/>
      <c r="G734" s="3"/>
    </row>
    <row r="735" spans="1:7" x14ac:dyDescent="0.2">
      <c r="A735" s="5"/>
      <c r="B735" s="3"/>
      <c r="C735" s="3"/>
      <c r="D735" s="3"/>
      <c r="E735" s="3"/>
      <c r="F735" s="3"/>
      <c r="G735" s="3"/>
    </row>
    <row r="736" spans="1:7" x14ac:dyDescent="0.2">
      <c r="A736" s="5"/>
      <c r="B736" s="3"/>
      <c r="C736" s="3"/>
      <c r="D736" s="3"/>
      <c r="E736" s="3"/>
      <c r="F736" s="3"/>
      <c r="G736" s="3"/>
    </row>
    <row r="737" spans="1:7" x14ac:dyDescent="0.2">
      <c r="A737" s="5"/>
      <c r="B737" s="3"/>
      <c r="C737" s="3"/>
      <c r="D737" s="3"/>
      <c r="E737" s="3"/>
      <c r="F737" s="3"/>
      <c r="G737" s="3"/>
    </row>
    <row r="738" spans="1:7" x14ac:dyDescent="0.2">
      <c r="A738" s="5"/>
      <c r="B738" s="3"/>
      <c r="C738" s="3"/>
      <c r="D738" s="3"/>
      <c r="E738" s="3"/>
      <c r="F738" s="3"/>
      <c r="G738" s="3"/>
    </row>
    <row r="739" spans="1:7" x14ac:dyDescent="0.2">
      <c r="A739" s="5"/>
      <c r="B739" s="3"/>
      <c r="C739" s="3"/>
      <c r="D739" s="3"/>
      <c r="E739" s="3"/>
      <c r="F739" s="3"/>
      <c r="G739" s="3"/>
    </row>
    <row r="740" spans="1:7" x14ac:dyDescent="0.2">
      <c r="A740" s="5"/>
      <c r="B740" s="3"/>
      <c r="C740" s="3"/>
      <c r="D740" s="3"/>
      <c r="E740" s="3"/>
      <c r="F740" s="3"/>
      <c r="G740" s="3"/>
    </row>
    <row r="741" spans="1:7" x14ac:dyDescent="0.2">
      <c r="A741" s="5"/>
      <c r="B741" s="3"/>
      <c r="C741" s="3"/>
      <c r="D741" s="3"/>
      <c r="E741" s="3"/>
      <c r="F741" s="3"/>
      <c r="G741" s="3"/>
    </row>
    <row r="742" spans="1:7" x14ac:dyDescent="0.2">
      <c r="A742" s="5"/>
      <c r="B742" s="3"/>
      <c r="C742" s="3"/>
      <c r="D742" s="3"/>
      <c r="E742" s="3"/>
      <c r="F742" s="3"/>
      <c r="G742" s="3"/>
    </row>
    <row r="743" spans="1:7" x14ac:dyDescent="0.2">
      <c r="A743" s="5"/>
      <c r="B743" s="3"/>
      <c r="C743" s="3"/>
      <c r="D743" s="3"/>
      <c r="E743" s="3"/>
      <c r="F743" s="3"/>
      <c r="G743" s="3"/>
    </row>
    <row r="744" spans="1:7" x14ac:dyDescent="0.2">
      <c r="A744" s="5"/>
      <c r="B744" s="3"/>
      <c r="C744" s="3"/>
      <c r="D744" s="3"/>
      <c r="E744" s="3"/>
      <c r="F744" s="3"/>
      <c r="G744" s="3"/>
    </row>
    <row r="745" spans="1:7" x14ac:dyDescent="0.2">
      <c r="A745" s="5"/>
      <c r="B745" s="3"/>
      <c r="C745" s="3"/>
      <c r="D745" s="3"/>
      <c r="E745" s="3"/>
      <c r="F745" s="3"/>
      <c r="G745" s="3"/>
    </row>
    <row r="746" spans="1:7" x14ac:dyDescent="0.2">
      <c r="A746" s="5"/>
      <c r="B746" s="3"/>
      <c r="C746" s="3"/>
      <c r="D746" s="3"/>
      <c r="E746" s="3"/>
      <c r="F746" s="3"/>
      <c r="G746" s="3"/>
    </row>
    <row r="747" spans="1:7" x14ac:dyDescent="0.2">
      <c r="A747" s="5"/>
      <c r="B747" s="3"/>
      <c r="C747" s="3"/>
      <c r="D747" s="3"/>
      <c r="E747" s="3"/>
      <c r="F747" s="3"/>
      <c r="G747" s="3"/>
    </row>
    <row r="748" spans="1:7" x14ac:dyDescent="0.2">
      <c r="A748" s="5"/>
      <c r="B748" s="3"/>
      <c r="C748" s="3"/>
      <c r="D748" s="3"/>
      <c r="E748" s="3"/>
      <c r="F748" s="3"/>
      <c r="G748" s="3"/>
    </row>
    <row r="749" spans="1:7" x14ac:dyDescent="0.2">
      <c r="A749" s="5"/>
      <c r="B749" s="3"/>
      <c r="C749" s="3"/>
      <c r="D749" s="3"/>
      <c r="E749" s="3"/>
      <c r="F749" s="3"/>
      <c r="G749" s="3"/>
    </row>
    <row r="750" spans="1:7" x14ac:dyDescent="0.2">
      <c r="A750" s="5"/>
      <c r="B750" s="3"/>
      <c r="C750" s="3"/>
      <c r="D750" s="3"/>
      <c r="E750" s="3"/>
      <c r="F750" s="3"/>
      <c r="G750" s="3"/>
    </row>
    <row r="751" spans="1:7" x14ac:dyDescent="0.2">
      <c r="A751" s="5"/>
      <c r="B751" s="3"/>
      <c r="C751" s="3"/>
      <c r="D751" s="3"/>
      <c r="E751" s="3"/>
      <c r="F751" s="3"/>
      <c r="G751" s="3"/>
    </row>
    <row r="752" spans="1:7" x14ac:dyDescent="0.2">
      <c r="A752" s="5"/>
      <c r="B752" s="3"/>
      <c r="C752" s="3"/>
      <c r="D752" s="3"/>
      <c r="E752" s="3"/>
      <c r="F752" s="3"/>
      <c r="G752" s="3"/>
    </row>
    <row r="753" spans="1:7" x14ac:dyDescent="0.2">
      <c r="A753" s="5"/>
      <c r="B753" s="3"/>
      <c r="C753" s="3"/>
      <c r="D753" s="3"/>
      <c r="E753" s="3"/>
      <c r="F753" s="3"/>
      <c r="G753" s="3"/>
    </row>
    <row r="754" spans="1:7" x14ac:dyDescent="0.2">
      <c r="A754" s="5"/>
      <c r="B754" s="3"/>
      <c r="C754" s="3"/>
      <c r="D754" s="3"/>
      <c r="E754" s="3"/>
      <c r="F754" s="3"/>
      <c r="G754" s="3"/>
    </row>
    <row r="755" spans="1:7" x14ac:dyDescent="0.2">
      <c r="A755" s="5"/>
      <c r="B755" s="3"/>
      <c r="C755" s="3"/>
      <c r="D755" s="3"/>
      <c r="E755" s="3"/>
      <c r="F755" s="3"/>
      <c r="G755" s="3"/>
    </row>
    <row r="756" spans="1:7" x14ac:dyDescent="0.2">
      <c r="A756" s="5"/>
      <c r="B756" s="3"/>
      <c r="C756" s="3"/>
      <c r="D756" s="3"/>
      <c r="E756" s="3"/>
      <c r="F756" s="3"/>
      <c r="G756" s="3"/>
    </row>
    <row r="757" spans="1:7" x14ac:dyDescent="0.2">
      <c r="A757" s="5"/>
      <c r="B757" s="3"/>
      <c r="C757" s="3"/>
      <c r="D757" s="3"/>
      <c r="E757" s="3"/>
      <c r="F757" s="3"/>
      <c r="G757" s="3"/>
    </row>
    <row r="758" spans="1:7" x14ac:dyDescent="0.2">
      <c r="A758" s="5"/>
      <c r="B758" s="3"/>
      <c r="C758" s="3"/>
      <c r="D758" s="3"/>
      <c r="E758" s="3"/>
      <c r="F758" s="3"/>
      <c r="G758" s="3"/>
    </row>
    <row r="759" spans="1:7" x14ac:dyDescent="0.2">
      <c r="A759" s="5"/>
      <c r="B759" s="3"/>
      <c r="C759" s="3"/>
      <c r="D759" s="3"/>
      <c r="E759" s="3"/>
      <c r="F759" s="3"/>
      <c r="G759" s="3"/>
    </row>
    <row r="760" spans="1:7" x14ac:dyDescent="0.2">
      <c r="A760" s="5"/>
      <c r="B760" s="3"/>
      <c r="C760" s="3"/>
      <c r="D760" s="3"/>
      <c r="E760" s="3"/>
      <c r="F760" s="3"/>
      <c r="G760" s="3"/>
    </row>
    <row r="761" spans="1:7" x14ac:dyDescent="0.2">
      <c r="A761" s="5"/>
      <c r="B761" s="3"/>
      <c r="C761" s="3"/>
      <c r="D761" s="3"/>
      <c r="E761" s="3"/>
      <c r="F761" s="3"/>
      <c r="G761" s="3"/>
    </row>
    <row r="762" spans="1:7" x14ac:dyDescent="0.2">
      <c r="A762" s="5"/>
      <c r="B762" s="3"/>
      <c r="C762" s="3"/>
      <c r="D762" s="3"/>
      <c r="E762" s="3"/>
      <c r="F762" s="3"/>
      <c r="G762" s="3"/>
    </row>
    <row r="763" spans="1:7" x14ac:dyDescent="0.2">
      <c r="A763" s="5"/>
      <c r="B763" s="3"/>
      <c r="C763" s="3"/>
      <c r="D763" s="3"/>
      <c r="E763" s="3"/>
      <c r="F763" s="3"/>
      <c r="G763" s="3"/>
    </row>
    <row r="764" spans="1:7" x14ac:dyDescent="0.2">
      <c r="A764" s="5"/>
      <c r="B764" s="3"/>
      <c r="C764" s="3"/>
      <c r="D764" s="3"/>
      <c r="E764" s="3"/>
      <c r="F764" s="3"/>
      <c r="G764" s="3"/>
    </row>
    <row r="765" spans="1:7" x14ac:dyDescent="0.2">
      <c r="A765" s="5"/>
      <c r="B765" s="3"/>
      <c r="C765" s="3"/>
      <c r="D765" s="3"/>
      <c r="E765" s="3"/>
      <c r="F765" s="3"/>
      <c r="G765" s="3"/>
    </row>
    <row r="766" spans="1:7" x14ac:dyDescent="0.2">
      <c r="A766" s="5"/>
      <c r="B766" s="3"/>
      <c r="C766" s="3"/>
      <c r="D766" s="3"/>
      <c r="E766" s="3"/>
      <c r="F766" s="3"/>
      <c r="G766" s="3"/>
    </row>
    <row r="767" spans="1:7" x14ac:dyDescent="0.2">
      <c r="A767" s="5"/>
      <c r="B767" s="3"/>
      <c r="C767" s="3"/>
      <c r="D767" s="3"/>
      <c r="E767" s="3"/>
      <c r="F767" s="3"/>
      <c r="G767" s="3"/>
    </row>
    <row r="768" spans="1:7" x14ac:dyDescent="0.2">
      <c r="A768" s="5"/>
      <c r="B768" s="3"/>
      <c r="C768" s="3"/>
      <c r="D768" s="3"/>
      <c r="E768" s="3"/>
      <c r="F768" s="3"/>
      <c r="G768" s="3"/>
    </row>
    <row r="769" spans="1:7" x14ac:dyDescent="0.2">
      <c r="A769" s="5"/>
      <c r="B769" s="3"/>
      <c r="C769" s="3"/>
      <c r="D769" s="3"/>
      <c r="E769" s="3"/>
      <c r="F769" s="3"/>
      <c r="G769" s="3"/>
    </row>
    <row r="770" spans="1:7" x14ac:dyDescent="0.2">
      <c r="A770" s="5"/>
      <c r="B770" s="3"/>
      <c r="C770" s="3"/>
      <c r="D770" s="3"/>
      <c r="E770" s="3"/>
      <c r="F770" s="3"/>
      <c r="G770" s="3"/>
    </row>
    <row r="771" spans="1:7" x14ac:dyDescent="0.2">
      <c r="A771" s="5"/>
      <c r="B771" s="3"/>
      <c r="C771" s="3"/>
      <c r="D771" s="3"/>
      <c r="E771" s="3"/>
      <c r="F771" s="3"/>
      <c r="G771" s="3"/>
    </row>
    <row r="772" spans="1:7" x14ac:dyDescent="0.2">
      <c r="A772" s="5"/>
      <c r="B772" s="3"/>
      <c r="C772" s="3"/>
      <c r="D772" s="3"/>
      <c r="E772" s="3"/>
      <c r="F772" s="3"/>
      <c r="G772" s="3"/>
    </row>
    <row r="773" spans="1:7" x14ac:dyDescent="0.2">
      <c r="A773" s="5"/>
      <c r="B773" s="3"/>
      <c r="C773" s="3"/>
      <c r="D773" s="3"/>
      <c r="E773" s="3"/>
      <c r="F773" s="3"/>
      <c r="G773" s="3"/>
    </row>
    <row r="774" spans="1:7" x14ac:dyDescent="0.2">
      <c r="A774" s="5"/>
      <c r="B774" s="3"/>
      <c r="C774" s="3"/>
      <c r="D774" s="3"/>
      <c r="E774" s="3"/>
      <c r="F774" s="3"/>
      <c r="G774" s="3"/>
    </row>
    <row r="775" spans="1:7" x14ac:dyDescent="0.2">
      <c r="A775" s="5"/>
      <c r="B775" s="3"/>
      <c r="C775" s="3"/>
      <c r="D775" s="3"/>
      <c r="E775" s="3"/>
      <c r="F775" s="3"/>
      <c r="G775" s="3"/>
    </row>
    <row r="776" spans="1:7" x14ac:dyDescent="0.2">
      <c r="A776" s="5"/>
      <c r="B776" s="3"/>
      <c r="C776" s="3"/>
      <c r="D776" s="3"/>
      <c r="E776" s="3"/>
      <c r="F776" s="3"/>
      <c r="G776" s="3"/>
    </row>
    <row r="777" spans="1:7" x14ac:dyDescent="0.2">
      <c r="A777" s="5"/>
      <c r="B777" s="3"/>
      <c r="C777" s="3"/>
      <c r="D777" s="3"/>
      <c r="E777" s="3"/>
      <c r="F777" s="3"/>
      <c r="G777" s="3"/>
    </row>
    <row r="778" spans="1:7" x14ac:dyDescent="0.2">
      <c r="A778" s="5"/>
      <c r="B778" s="3"/>
      <c r="C778" s="3"/>
      <c r="D778" s="3"/>
      <c r="E778" s="3"/>
      <c r="F778" s="3"/>
      <c r="G778" s="3"/>
    </row>
    <row r="779" spans="1:7" x14ac:dyDescent="0.2">
      <c r="A779" s="5"/>
      <c r="B779" s="3"/>
      <c r="C779" s="3"/>
      <c r="D779" s="3"/>
      <c r="E779" s="3"/>
      <c r="F779" s="3"/>
      <c r="G779" s="3"/>
    </row>
    <row r="780" spans="1:7" x14ac:dyDescent="0.2">
      <c r="A780" s="5"/>
      <c r="B780" s="3"/>
      <c r="C780" s="3"/>
      <c r="D780" s="3"/>
      <c r="E780" s="3"/>
      <c r="F780" s="3"/>
      <c r="G780" s="3"/>
    </row>
    <row r="781" spans="1:7" x14ac:dyDescent="0.2">
      <c r="A781" s="5"/>
      <c r="B781" s="3"/>
      <c r="C781" s="3"/>
      <c r="D781" s="3"/>
      <c r="E781" s="3"/>
      <c r="F781" s="3"/>
      <c r="G781" s="3"/>
    </row>
    <row r="782" spans="1:7" x14ac:dyDescent="0.2">
      <c r="A782" s="5"/>
      <c r="B782" s="3"/>
      <c r="C782" s="3"/>
      <c r="D782" s="3"/>
      <c r="E782" s="3"/>
      <c r="F782" s="3"/>
      <c r="G782" s="3"/>
    </row>
    <row r="783" spans="1:7" x14ac:dyDescent="0.2">
      <c r="A783" s="5"/>
      <c r="B783" s="3"/>
      <c r="C783" s="3"/>
      <c r="D783" s="3"/>
      <c r="E783" s="3"/>
      <c r="F783" s="3"/>
      <c r="G783" s="3"/>
    </row>
    <row r="784" spans="1:7" x14ac:dyDescent="0.2">
      <c r="A784" s="5"/>
      <c r="B784" s="3"/>
      <c r="C784" s="3"/>
      <c r="D784" s="3"/>
      <c r="E784" s="3"/>
      <c r="F784" s="3"/>
      <c r="G784" s="3"/>
    </row>
    <row r="785" spans="1:7" x14ac:dyDescent="0.2">
      <c r="A785" s="5"/>
      <c r="B785" s="3"/>
      <c r="C785" s="3"/>
      <c r="D785" s="3"/>
      <c r="E785" s="3"/>
      <c r="F785" s="3"/>
      <c r="G785" s="3"/>
    </row>
    <row r="786" spans="1:7" x14ac:dyDescent="0.2">
      <c r="A786" s="5"/>
      <c r="B786" s="3"/>
      <c r="C786" s="3"/>
      <c r="D786" s="3"/>
      <c r="E786" s="3"/>
      <c r="F786" s="3"/>
      <c r="G786" s="3"/>
    </row>
    <row r="787" spans="1:7" x14ac:dyDescent="0.2">
      <c r="A787" s="5"/>
      <c r="B787" s="3"/>
      <c r="C787" s="3"/>
      <c r="D787" s="3"/>
      <c r="E787" s="3"/>
      <c r="F787" s="3"/>
      <c r="G787" s="3"/>
    </row>
    <row r="788" spans="1:7" x14ac:dyDescent="0.2">
      <c r="A788" s="5"/>
      <c r="B788" s="3"/>
      <c r="C788" s="3"/>
      <c r="D788" s="3"/>
      <c r="E788" s="3"/>
      <c r="F788" s="3"/>
      <c r="G788" s="3"/>
    </row>
    <row r="789" spans="1:7" x14ac:dyDescent="0.2">
      <c r="A789" s="5"/>
      <c r="B789" s="3"/>
      <c r="C789" s="3"/>
      <c r="D789" s="3"/>
      <c r="E789" s="3"/>
      <c r="F789" s="3"/>
      <c r="G789" s="3"/>
    </row>
    <row r="790" spans="1:7" x14ac:dyDescent="0.2">
      <c r="A790" s="5"/>
      <c r="B790" s="3"/>
      <c r="C790" s="3"/>
      <c r="D790" s="3"/>
      <c r="E790" s="3"/>
      <c r="F790" s="3"/>
      <c r="G790" s="3"/>
    </row>
    <row r="791" spans="1:7" x14ac:dyDescent="0.2">
      <c r="A791" s="5"/>
      <c r="B791" s="3"/>
      <c r="C791" s="3"/>
      <c r="D791" s="3"/>
      <c r="E791" s="3"/>
      <c r="F791" s="3"/>
      <c r="G791" s="3"/>
    </row>
    <row r="792" spans="1:7" x14ac:dyDescent="0.2">
      <c r="A792" s="5"/>
      <c r="B792" s="3"/>
      <c r="C792" s="3"/>
      <c r="D792" s="3"/>
      <c r="E792" s="3"/>
      <c r="F792" s="3"/>
      <c r="G792" s="3"/>
    </row>
    <row r="793" spans="1:7" x14ac:dyDescent="0.2">
      <c r="A793" s="5"/>
      <c r="B793" s="3"/>
      <c r="C793" s="3"/>
      <c r="D793" s="3"/>
      <c r="E793" s="3"/>
      <c r="F793" s="3"/>
      <c r="G793" s="3"/>
    </row>
    <row r="794" spans="1:7" x14ac:dyDescent="0.2">
      <c r="A794" s="5"/>
      <c r="B794" s="3"/>
      <c r="C794" s="3"/>
      <c r="D794" s="3"/>
      <c r="E794" s="3"/>
      <c r="F794" s="3"/>
      <c r="G794" s="3"/>
    </row>
    <row r="795" spans="1:7" x14ac:dyDescent="0.2">
      <c r="A795" s="5"/>
      <c r="B795" s="3"/>
      <c r="C795" s="3"/>
      <c r="D795" s="3"/>
      <c r="E795" s="3"/>
      <c r="F795" s="3"/>
      <c r="G795" s="3"/>
    </row>
    <row r="796" spans="1:7" x14ac:dyDescent="0.2">
      <c r="A796" s="5"/>
      <c r="B796" s="3"/>
      <c r="C796" s="3"/>
      <c r="D796" s="3"/>
      <c r="E796" s="3"/>
      <c r="F796" s="3"/>
      <c r="G796" s="3"/>
    </row>
    <row r="797" spans="1:7" x14ac:dyDescent="0.2">
      <c r="A797" s="5"/>
      <c r="B797" s="3"/>
      <c r="C797" s="3"/>
      <c r="D797" s="3"/>
      <c r="E797" s="3"/>
      <c r="F797" s="3"/>
      <c r="G797" s="3"/>
    </row>
    <row r="798" spans="1:7" x14ac:dyDescent="0.2">
      <c r="A798" s="5"/>
      <c r="B798" s="3"/>
      <c r="C798" s="3"/>
      <c r="D798" s="3"/>
      <c r="E798" s="3"/>
      <c r="F798" s="3"/>
      <c r="G798" s="3"/>
    </row>
    <row r="799" spans="1:7" x14ac:dyDescent="0.2">
      <c r="A799" s="5"/>
      <c r="B799" s="3"/>
      <c r="C799" s="3"/>
      <c r="D799" s="3"/>
      <c r="E799" s="3"/>
      <c r="F799" s="3"/>
      <c r="G799" s="3"/>
    </row>
    <row r="800" spans="1:7" x14ac:dyDescent="0.2">
      <c r="A800" s="5"/>
      <c r="B800" s="3"/>
      <c r="C800" s="3"/>
      <c r="D800" s="3"/>
      <c r="E800" s="3"/>
      <c r="F800" s="3"/>
      <c r="G800" s="3"/>
    </row>
    <row r="801" spans="1:7" x14ac:dyDescent="0.2">
      <c r="A801" s="5"/>
      <c r="B801" s="3"/>
      <c r="C801" s="3"/>
      <c r="D801" s="3"/>
      <c r="E801" s="3"/>
      <c r="F801" s="3"/>
      <c r="G801" s="3"/>
    </row>
    <row r="802" spans="1:7" x14ac:dyDescent="0.2">
      <c r="A802" s="5"/>
      <c r="B802" s="3"/>
      <c r="C802" s="3"/>
      <c r="D802" s="3"/>
      <c r="E802" s="3"/>
      <c r="F802" s="3"/>
      <c r="G802" s="3"/>
    </row>
    <row r="803" spans="1:7" x14ac:dyDescent="0.2">
      <c r="A803" s="5"/>
      <c r="B803" s="3"/>
      <c r="C803" s="3"/>
      <c r="D803" s="3"/>
      <c r="E803" s="3"/>
      <c r="F803" s="3"/>
      <c r="G803" s="3"/>
    </row>
    <row r="804" spans="1:7" x14ac:dyDescent="0.2">
      <c r="A804" s="5"/>
      <c r="B804" s="3"/>
      <c r="C804" s="3"/>
      <c r="D804" s="3"/>
      <c r="E804" s="3"/>
      <c r="F804" s="3"/>
      <c r="G804" s="3"/>
    </row>
    <row r="805" spans="1:7" x14ac:dyDescent="0.2">
      <c r="A805" s="5"/>
      <c r="B805" s="3"/>
      <c r="C805" s="3"/>
      <c r="D805" s="3"/>
      <c r="E805" s="3"/>
      <c r="F805" s="3"/>
      <c r="G805" s="3"/>
    </row>
    <row r="806" spans="1:7" x14ac:dyDescent="0.2">
      <c r="A806" s="5"/>
      <c r="B806" s="3"/>
      <c r="C806" s="3"/>
      <c r="D806" s="3"/>
      <c r="E806" s="3"/>
      <c r="F806" s="3"/>
      <c r="G806" s="3"/>
    </row>
    <row r="807" spans="1:7" x14ac:dyDescent="0.2">
      <c r="A807" s="5"/>
      <c r="B807" s="3"/>
      <c r="C807" s="3"/>
      <c r="D807" s="3"/>
      <c r="E807" s="3"/>
      <c r="F807" s="3"/>
      <c r="G807" s="3"/>
    </row>
    <row r="808" spans="1:7" x14ac:dyDescent="0.2">
      <c r="A808" s="5"/>
      <c r="B808" s="3"/>
      <c r="C808" s="3"/>
      <c r="D808" s="3"/>
      <c r="E808" s="3"/>
      <c r="F808" s="3"/>
      <c r="G808" s="3"/>
    </row>
    <row r="809" spans="1:7" x14ac:dyDescent="0.2">
      <c r="A809" s="5"/>
      <c r="B809" s="3"/>
      <c r="C809" s="3"/>
      <c r="D809" s="3"/>
      <c r="E809" s="3"/>
      <c r="F809" s="3"/>
      <c r="G809" s="3"/>
    </row>
    <row r="810" spans="1:7" x14ac:dyDescent="0.2">
      <c r="A810" s="5"/>
      <c r="B810" s="3"/>
      <c r="C810" s="3"/>
      <c r="D810" s="3"/>
      <c r="E810" s="3"/>
      <c r="F810" s="3"/>
      <c r="G810" s="3"/>
    </row>
    <row r="811" spans="1:7" x14ac:dyDescent="0.2">
      <c r="A811" s="5"/>
      <c r="B811" s="3"/>
      <c r="C811" s="3"/>
      <c r="D811" s="3"/>
      <c r="E811" s="3"/>
      <c r="F811" s="3"/>
      <c r="G811" s="3"/>
    </row>
    <row r="812" spans="1:7" x14ac:dyDescent="0.2">
      <c r="A812" s="5"/>
      <c r="B812" s="3"/>
      <c r="C812" s="3"/>
      <c r="D812" s="3"/>
      <c r="E812" s="3"/>
      <c r="F812" s="3"/>
      <c r="G812" s="3"/>
    </row>
    <row r="813" spans="1:7" x14ac:dyDescent="0.2">
      <c r="A813" s="5"/>
      <c r="B813" s="3"/>
      <c r="C813" s="3"/>
      <c r="D813" s="3"/>
      <c r="E813" s="3"/>
      <c r="F813" s="3"/>
      <c r="G813" s="3"/>
    </row>
    <row r="814" spans="1:7" x14ac:dyDescent="0.2">
      <c r="A814" s="5"/>
      <c r="B814" s="3"/>
      <c r="C814" s="3"/>
      <c r="D814" s="3"/>
      <c r="E814" s="3"/>
      <c r="F814" s="3"/>
      <c r="G814" s="3"/>
    </row>
    <row r="815" spans="1:7" x14ac:dyDescent="0.2">
      <c r="A815" s="5"/>
      <c r="B815" s="3"/>
      <c r="C815" s="3"/>
      <c r="D815" s="3"/>
      <c r="E815" s="3"/>
      <c r="F815" s="3"/>
      <c r="G815" s="3"/>
    </row>
    <row r="816" spans="1:7" x14ac:dyDescent="0.2">
      <c r="A816" s="5"/>
      <c r="B816" s="3"/>
      <c r="C816" s="3"/>
      <c r="D816" s="3"/>
      <c r="E816" s="3"/>
      <c r="F816" s="3"/>
      <c r="G816" s="3"/>
    </row>
    <row r="817" spans="1:7" x14ac:dyDescent="0.2">
      <c r="A817" s="5"/>
      <c r="B817" s="3"/>
      <c r="C817" s="3"/>
      <c r="D817" s="3"/>
      <c r="E817" s="3"/>
      <c r="F817" s="3"/>
      <c r="G817" s="3"/>
    </row>
    <row r="818" spans="1:7" x14ac:dyDescent="0.2">
      <c r="A818" s="5"/>
      <c r="B818" s="3"/>
      <c r="C818" s="3"/>
      <c r="D818" s="3"/>
      <c r="E818" s="3"/>
      <c r="F818" s="3"/>
      <c r="G818" s="3"/>
    </row>
    <row r="819" spans="1:7" x14ac:dyDescent="0.2">
      <c r="A819" s="5"/>
      <c r="B819" s="3"/>
      <c r="C819" s="3"/>
      <c r="D819" s="3"/>
      <c r="E819" s="3"/>
      <c r="F819" s="3"/>
      <c r="G819" s="3"/>
    </row>
    <row r="820" spans="1:7" x14ac:dyDescent="0.2">
      <c r="A820" s="5"/>
      <c r="B820" s="3"/>
      <c r="C820" s="3"/>
      <c r="D820" s="3"/>
      <c r="E820" s="3"/>
      <c r="F820" s="3"/>
      <c r="G820" s="3"/>
    </row>
    <row r="821" spans="1:7" x14ac:dyDescent="0.2">
      <c r="A821" s="5"/>
      <c r="B821" s="3"/>
      <c r="C821" s="3"/>
      <c r="D821" s="3"/>
      <c r="E821" s="3"/>
      <c r="F821" s="3"/>
      <c r="G821" s="3"/>
    </row>
    <row r="822" spans="1:7" x14ac:dyDescent="0.2">
      <c r="A822" s="5"/>
      <c r="B822" s="3"/>
      <c r="C822" s="3"/>
      <c r="D822" s="3"/>
      <c r="E822" s="3"/>
      <c r="F822" s="3"/>
      <c r="G822" s="3"/>
    </row>
    <row r="823" spans="1:7" x14ac:dyDescent="0.2">
      <c r="A823" s="5"/>
      <c r="B823" s="3"/>
      <c r="C823" s="3"/>
      <c r="D823" s="3"/>
      <c r="E823" s="3"/>
      <c r="F823" s="3"/>
      <c r="G823" s="3"/>
    </row>
    <row r="824" spans="1:7" x14ac:dyDescent="0.2">
      <c r="A824" s="5"/>
      <c r="B824" s="3"/>
      <c r="C824" s="3"/>
      <c r="D824" s="3"/>
      <c r="E824" s="3"/>
      <c r="F824" s="3"/>
      <c r="G824" s="3"/>
    </row>
    <row r="825" spans="1:7" x14ac:dyDescent="0.2">
      <c r="A825" s="5"/>
      <c r="B825" s="3"/>
      <c r="C825" s="3"/>
      <c r="D825" s="3"/>
      <c r="E825" s="3"/>
      <c r="F825" s="3"/>
      <c r="G825" s="3"/>
    </row>
    <row r="826" spans="1:7" x14ac:dyDescent="0.2">
      <c r="A826" s="5"/>
      <c r="B826" s="3"/>
      <c r="C826" s="3"/>
      <c r="D826" s="3"/>
      <c r="E826" s="3"/>
      <c r="F826" s="3"/>
      <c r="G826" s="3"/>
    </row>
    <row r="827" spans="1:7" x14ac:dyDescent="0.2">
      <c r="A827" s="5"/>
      <c r="B827" s="3"/>
      <c r="C827" s="3"/>
      <c r="D827" s="3"/>
      <c r="E827" s="3"/>
      <c r="F827" s="3"/>
      <c r="G827" s="3"/>
    </row>
    <row r="828" spans="1:7" x14ac:dyDescent="0.2">
      <c r="A828" s="5"/>
      <c r="B828" s="3"/>
      <c r="C828" s="3"/>
      <c r="D828" s="3"/>
      <c r="E828" s="3"/>
      <c r="F828" s="3"/>
      <c r="G828" s="3"/>
    </row>
    <row r="829" spans="1:7" x14ac:dyDescent="0.2">
      <c r="A829" s="5"/>
      <c r="B829" s="3"/>
      <c r="C829" s="3"/>
      <c r="D829" s="3"/>
      <c r="E829" s="3"/>
      <c r="F829" s="3"/>
      <c r="G829" s="3"/>
    </row>
    <row r="830" spans="1:7" x14ac:dyDescent="0.2">
      <c r="A830" s="5"/>
      <c r="B830" s="3"/>
      <c r="C830" s="3"/>
      <c r="D830" s="3"/>
      <c r="E830" s="3"/>
      <c r="F830" s="3"/>
      <c r="G830" s="3"/>
    </row>
    <row r="831" spans="1:7" x14ac:dyDescent="0.2">
      <c r="A831" s="5"/>
      <c r="B831" s="3"/>
      <c r="C831" s="3"/>
      <c r="D831" s="3"/>
      <c r="E831" s="3"/>
      <c r="F831" s="3"/>
      <c r="G831" s="3"/>
    </row>
    <row r="832" spans="1:7" x14ac:dyDescent="0.2">
      <c r="A832" s="5"/>
      <c r="B832" s="3"/>
      <c r="C832" s="3"/>
      <c r="D832" s="3"/>
      <c r="E832" s="3"/>
      <c r="F832" s="3"/>
      <c r="G832" s="3"/>
    </row>
    <row r="833" spans="1:7" x14ac:dyDescent="0.2">
      <c r="A833" s="5"/>
      <c r="B833" s="3"/>
      <c r="C833" s="3"/>
      <c r="D833" s="3"/>
      <c r="E833" s="3"/>
      <c r="F833" s="3"/>
      <c r="G833" s="3"/>
    </row>
    <row r="834" spans="1:7" x14ac:dyDescent="0.2">
      <c r="A834" s="5"/>
      <c r="B834" s="3"/>
      <c r="C834" s="3"/>
      <c r="D834" s="3"/>
      <c r="E834" s="3"/>
      <c r="F834" s="3"/>
      <c r="G834" s="3"/>
    </row>
    <row r="835" spans="1:7" x14ac:dyDescent="0.2">
      <c r="A835" s="5"/>
      <c r="B835" s="3"/>
      <c r="C835" s="3"/>
      <c r="D835" s="3"/>
      <c r="E835" s="3"/>
      <c r="F835" s="3"/>
      <c r="G835" s="3"/>
    </row>
    <row r="836" spans="1:7" x14ac:dyDescent="0.2">
      <c r="A836" s="5"/>
      <c r="B836" s="3"/>
      <c r="C836" s="3"/>
      <c r="D836" s="3"/>
      <c r="E836" s="3"/>
      <c r="F836" s="3"/>
      <c r="G836" s="3"/>
    </row>
    <row r="837" spans="1:7" x14ac:dyDescent="0.2">
      <c r="A837" s="5"/>
      <c r="B837" s="3"/>
      <c r="C837" s="3"/>
      <c r="D837" s="3"/>
      <c r="E837" s="3"/>
      <c r="F837" s="3"/>
      <c r="G837" s="3"/>
    </row>
    <row r="838" spans="1:7" x14ac:dyDescent="0.2">
      <c r="A838" s="5"/>
      <c r="B838" s="3"/>
      <c r="C838" s="3"/>
      <c r="D838" s="3"/>
      <c r="E838" s="3"/>
      <c r="F838" s="3"/>
      <c r="G838" s="3"/>
    </row>
    <row r="839" spans="1:7" x14ac:dyDescent="0.2">
      <c r="A839" s="5"/>
      <c r="B839" s="3"/>
      <c r="C839" s="3"/>
      <c r="D839" s="3"/>
      <c r="E839" s="3"/>
      <c r="F839" s="3"/>
      <c r="G839" s="3"/>
    </row>
    <row r="840" spans="1:7" x14ac:dyDescent="0.2">
      <c r="A840" s="5"/>
      <c r="B840" s="3"/>
      <c r="C840" s="3"/>
      <c r="D840" s="3"/>
      <c r="E840" s="3"/>
      <c r="F840" s="3"/>
      <c r="G840" s="3"/>
    </row>
  </sheetData>
  <customSheetViews>
    <customSheetView guid="{FF05580A-A727-4092-B60E-2BB176745255}" state="hidden">
      <pane ySplit="1" topLeftCell="A2" activePane="bottomLeft" state="frozen"/>
      <selection pane="bottomLeft" activeCell="N2" sqref="N2"/>
      <pageMargins left="0" right="0" top="0" bottom="0" header="0" footer="0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ETF_SECTOR</vt:lpstr>
      <vt:lpstr>1M_TEST</vt:lpstr>
      <vt:lpstr>3M_TEST</vt:lpstr>
      <vt:lpstr>12M_TEST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Ameet Talwadker</dc:creator>
  <cp:keywords/>
  <dc:description/>
  <cp:lastModifiedBy>Ameet Talwadker</cp:lastModifiedBy>
  <cp:revision/>
  <dcterms:created xsi:type="dcterms:W3CDTF">2025-04-02T09:32:15Z</dcterms:created>
  <dcterms:modified xsi:type="dcterms:W3CDTF">2026-08-31T04:35:09Z</dcterms:modified>
  <cp:category/>
  <cp:contentStatus/>
</cp:coreProperties>
</file>